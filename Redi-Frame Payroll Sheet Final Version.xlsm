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227" codeName="{8C4F1C90-05EB-6A55-5F09-09C24B55AC0B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D:\TFP_Dropbox\Dropbox\__Internal\Self\Old Excel Sheets\"/>
    </mc:Choice>
  </mc:AlternateContent>
  <xr:revisionPtr revIDLastSave="0" documentId="8_{8D338643-CC70-4CE2-958C-E7D865377B5E}" xr6:coauthVersionLast="47" xr6:coauthVersionMax="47" xr10:uidLastSave="{00000000-0000-0000-0000-000000000000}"/>
  <bookViews>
    <workbookView xWindow="-120" yWindow="-120" windowWidth="38640" windowHeight="21390" tabRatio="840" firstSheet="1" activeTab="3" xr2:uid="{00000000-000D-0000-FFFF-FFFF00000000}"/>
  </bookViews>
  <sheets>
    <sheet name="Retired Kup pricelist" sheetId="38" state="hidden" r:id="rId1"/>
    <sheet name="Pricelist" sheetId="3" r:id="rId2"/>
    <sheet name="Payroll Transmittal Form (Acct)" sheetId="37" r:id="rId3"/>
    <sheet name="Floor Manager Sheet" sheetId="46" r:id="rId4"/>
    <sheet name="REDI FRAME PAYROLL" sheetId="29" r:id="rId5"/>
    <sheet name="WEEKLY TOTALS" sheetId="20" state="hidden" r:id="rId6"/>
    <sheet name="Kup 1" sheetId="4" r:id="rId7"/>
    <sheet name="Sup 1" sheetId="17" r:id="rId8"/>
    <sheet name="Sup 2" sheetId="18" r:id="rId9"/>
  </sheets>
  <externalReferences>
    <externalReference r:id="rId10"/>
  </externalReferences>
  <definedNames>
    <definedName name="_xlnm._FilterDatabase" localSheetId="6" hidden="1">'Kup 1'!$C$84:$D$224</definedName>
    <definedName name="_xlnm._FilterDatabase" localSheetId="7" hidden="1">'Sup 1'!$C$84:$D$231</definedName>
    <definedName name="_xlnm._FilterDatabase" localSheetId="8" hidden="1">'Sup 2'!$C$84:$D$225</definedName>
    <definedName name="Pricelist">[1]Pricelist!$A$1:$J$1210</definedName>
    <definedName name="_xlnm.Print_Area" localSheetId="1">Table1[#All]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8" l="1"/>
  <c r="D2" i="17"/>
  <c r="E16" i="46"/>
  <c r="E870" i="3" l="1"/>
  <c r="E869" i="3"/>
  <c r="E867" i="3" l="1"/>
  <c r="E868" i="3"/>
  <c r="D221" i="17" l="1"/>
  <c r="D222" i="17"/>
  <c r="E866" i="3" l="1"/>
  <c r="E865" i="3" l="1"/>
  <c r="E864" i="3"/>
  <c r="E863" i="3"/>
  <c r="E862" i="3"/>
  <c r="E861" i="3"/>
  <c r="E860" i="3"/>
  <c r="E859" i="3" l="1"/>
  <c r="E858" i="3"/>
  <c r="E857" i="3" l="1"/>
  <c r="E856" i="3" l="1"/>
  <c r="E855" i="3" l="1"/>
  <c r="E854" i="3" l="1"/>
  <c r="E853" i="3" l="1"/>
  <c r="E852" i="3"/>
  <c r="E842" i="3"/>
  <c r="E843" i="3"/>
  <c r="E844" i="3"/>
  <c r="E845" i="3"/>
  <c r="E846" i="3"/>
  <c r="E847" i="3"/>
  <c r="E848" i="3"/>
  <c r="E849" i="3"/>
  <c r="E850" i="3"/>
  <c r="E851" i="3"/>
  <c r="E841" i="3" l="1"/>
  <c r="F14" i="46" l="1"/>
  <c r="G14" i="46"/>
  <c r="H14" i="46"/>
  <c r="C8" i="4"/>
  <c r="D8" i="4"/>
  <c r="C9" i="4"/>
  <c r="C10" i="4"/>
  <c r="C11" i="4"/>
  <c r="D11" i="4"/>
  <c r="C12" i="4"/>
  <c r="D12" i="4"/>
  <c r="C13" i="4"/>
  <c r="D13" i="4"/>
  <c r="C14" i="4"/>
  <c r="D14" i="4"/>
  <c r="C15" i="4"/>
  <c r="D15" i="4"/>
  <c r="C16" i="4"/>
  <c r="D16" i="4"/>
  <c r="C17" i="4"/>
  <c r="D17" i="4"/>
  <c r="C18" i="4"/>
  <c r="D18" i="4"/>
  <c r="E839" i="3" l="1"/>
  <c r="E840" i="3"/>
  <c r="C173" i="4" l="1"/>
  <c r="D173" i="4"/>
  <c r="E838" i="3" l="1"/>
  <c r="E837" i="3"/>
  <c r="E836" i="3"/>
  <c r="E835" i="3" l="1"/>
  <c r="C142" i="4"/>
  <c r="D142" i="4"/>
  <c r="C143" i="4"/>
  <c r="D143" i="4"/>
  <c r="C144" i="4"/>
  <c r="D144" i="4"/>
  <c r="C145" i="4"/>
  <c r="D145" i="4"/>
  <c r="C146" i="4"/>
  <c r="D146" i="4"/>
  <c r="C147" i="4"/>
  <c r="D147" i="4"/>
  <c r="C148" i="4"/>
  <c r="D148" i="4"/>
  <c r="C149" i="4"/>
  <c r="D149" i="4"/>
  <c r="C150" i="4"/>
  <c r="D150" i="4"/>
  <c r="C151" i="4"/>
  <c r="D151" i="4"/>
  <c r="C152" i="4"/>
  <c r="D152" i="4"/>
  <c r="C153" i="4"/>
  <c r="D153" i="4"/>
  <c r="C154" i="4"/>
  <c r="D154" i="4"/>
  <c r="C155" i="4"/>
  <c r="D155" i="4"/>
  <c r="C156" i="4"/>
  <c r="D156" i="4"/>
  <c r="C157" i="4"/>
  <c r="D157" i="4"/>
  <c r="C158" i="4"/>
  <c r="D158" i="4"/>
  <c r="C159" i="4"/>
  <c r="D159" i="4"/>
  <c r="C160" i="4"/>
  <c r="D160" i="4"/>
  <c r="C161" i="4"/>
  <c r="D161" i="4"/>
  <c r="C162" i="4"/>
  <c r="D162" i="4"/>
  <c r="C163" i="4"/>
  <c r="D163" i="4"/>
  <c r="C164" i="4"/>
  <c r="D164" i="4"/>
  <c r="C165" i="4"/>
  <c r="D165" i="4"/>
  <c r="C166" i="4"/>
  <c r="D166" i="4"/>
  <c r="E834" i="3" l="1"/>
  <c r="E833" i="3"/>
  <c r="C4" i="4" l="1"/>
  <c r="C5" i="4"/>
  <c r="C6" i="4"/>
  <c r="C7" i="4"/>
  <c r="C3" i="4"/>
  <c r="D2" i="4"/>
  <c r="G4" i="46" l="1"/>
  <c r="E832" i="3" l="1"/>
  <c r="E831" i="3"/>
  <c r="E830" i="3" l="1"/>
  <c r="B2" i="46" l="1"/>
  <c r="C2" i="46"/>
  <c r="D2" i="46"/>
  <c r="E2" i="46"/>
  <c r="F2" i="46"/>
  <c r="G2" i="46"/>
  <c r="H2" i="46"/>
  <c r="B3" i="46"/>
  <c r="C3" i="46"/>
  <c r="D3" i="46"/>
  <c r="E3" i="46"/>
  <c r="F3" i="46"/>
  <c r="G3" i="46"/>
  <c r="H3" i="46"/>
  <c r="B4" i="46"/>
  <c r="C4" i="46"/>
  <c r="D4" i="46"/>
  <c r="E4" i="46"/>
  <c r="F4" i="46"/>
  <c r="H4" i="46"/>
  <c r="B5" i="46"/>
  <c r="C5" i="46"/>
  <c r="D5" i="46"/>
  <c r="E5" i="46"/>
  <c r="F5" i="46"/>
  <c r="G5" i="46"/>
  <c r="H5" i="46"/>
  <c r="B6" i="46"/>
  <c r="C6" i="46"/>
  <c r="D6" i="46"/>
  <c r="E6" i="46"/>
  <c r="F6" i="46"/>
  <c r="G6" i="46"/>
  <c r="H6" i="46"/>
  <c r="B7" i="46"/>
  <c r="C7" i="46"/>
  <c r="D7" i="46"/>
  <c r="E7" i="46"/>
  <c r="F7" i="46"/>
  <c r="G7" i="46"/>
  <c r="H7" i="46"/>
  <c r="B8" i="46"/>
  <c r="C8" i="46"/>
  <c r="D8" i="46"/>
  <c r="E8" i="46"/>
  <c r="F8" i="46"/>
  <c r="G8" i="46"/>
  <c r="H8" i="46"/>
  <c r="B9" i="46"/>
  <c r="C9" i="46"/>
  <c r="D9" i="46"/>
  <c r="E9" i="46"/>
  <c r="F9" i="46"/>
  <c r="G9" i="46"/>
  <c r="H9" i="46"/>
  <c r="B10" i="46"/>
  <c r="C10" i="46"/>
  <c r="D10" i="46"/>
  <c r="E10" i="46"/>
  <c r="F10" i="46"/>
  <c r="G10" i="46"/>
  <c r="H10" i="46"/>
  <c r="B11" i="46"/>
  <c r="C11" i="46"/>
  <c r="D11" i="46"/>
  <c r="E11" i="46"/>
  <c r="F11" i="46"/>
  <c r="G11" i="46"/>
  <c r="H11" i="46"/>
  <c r="B12" i="46"/>
  <c r="C12" i="46"/>
  <c r="D12" i="46"/>
  <c r="E12" i="46"/>
  <c r="F12" i="46"/>
  <c r="G12" i="46"/>
  <c r="H12" i="46"/>
  <c r="B13" i="46"/>
  <c r="C13" i="46"/>
  <c r="D13" i="46"/>
  <c r="E13" i="46"/>
  <c r="F13" i="46"/>
  <c r="G13" i="46"/>
  <c r="H13" i="46"/>
  <c r="B14" i="46"/>
  <c r="C14" i="46"/>
  <c r="D14" i="46"/>
  <c r="E14" i="46"/>
  <c r="B15" i="46"/>
  <c r="C15" i="46"/>
  <c r="D15" i="46"/>
  <c r="E15" i="46"/>
  <c r="F15" i="46"/>
  <c r="G15" i="46"/>
  <c r="H15" i="46"/>
  <c r="B16" i="46"/>
  <c r="C16" i="46"/>
  <c r="D16" i="46"/>
  <c r="F16" i="46"/>
  <c r="G16" i="46"/>
  <c r="H16" i="46"/>
  <c r="B17" i="46"/>
  <c r="C17" i="46"/>
  <c r="D17" i="46"/>
  <c r="E17" i="46"/>
  <c r="F17" i="46"/>
  <c r="G17" i="46"/>
  <c r="H17" i="46"/>
  <c r="B18" i="46"/>
  <c r="C18" i="46"/>
  <c r="D18" i="46"/>
  <c r="E18" i="46"/>
  <c r="F18" i="46"/>
  <c r="G18" i="46"/>
  <c r="H18" i="46"/>
  <c r="B19" i="46"/>
  <c r="C19" i="46"/>
  <c r="D19" i="46"/>
  <c r="E19" i="46"/>
  <c r="F19" i="46"/>
  <c r="G19" i="46"/>
  <c r="H19" i="46"/>
  <c r="B20" i="46"/>
  <c r="C20" i="46"/>
  <c r="D20" i="46"/>
  <c r="E20" i="46"/>
  <c r="F20" i="46"/>
  <c r="G20" i="46"/>
  <c r="H20" i="46"/>
  <c r="E106" i="3" l="1"/>
  <c r="E629" i="3" l="1"/>
  <c r="E613" i="3" l="1"/>
  <c r="E710" i="3" l="1"/>
  <c r="E707" i="3" l="1"/>
  <c r="E702" i="3" l="1"/>
  <c r="E184" i="3"/>
  <c r="E181" i="3" l="1"/>
  <c r="E708" i="3" l="1"/>
  <c r="E709" i="3" l="1"/>
  <c r="E645" i="3" l="1"/>
  <c r="E383" i="3" l="1"/>
  <c r="E382" i="3" l="1"/>
  <c r="E628" i="3" l="1"/>
  <c r="E639" i="3" l="1"/>
  <c r="E705" i="3" l="1"/>
  <c r="E706" i="3"/>
  <c r="C186" i="3" l="1"/>
  <c r="E186" i="3"/>
  <c r="D10" i="4" l="1"/>
  <c r="D9" i="4"/>
  <c r="E704" i="3"/>
  <c r="E703" i="3"/>
  <c r="E641" i="3"/>
  <c r="I21" i="29" l="1"/>
  <c r="I22" i="29"/>
  <c r="F12" i="37" s="1"/>
  <c r="I19" i="46" l="1"/>
  <c r="F19" i="37"/>
  <c r="H12" i="37"/>
  <c r="G12" i="37" s="1"/>
  <c r="H19" i="37"/>
  <c r="I20" i="46"/>
  <c r="G19" i="37" l="1"/>
  <c r="E624" i="3"/>
  <c r="E353" i="3"/>
  <c r="C73" i="18" l="1"/>
  <c r="D73" i="18"/>
  <c r="C74" i="18"/>
  <c r="D74" i="18"/>
  <c r="C75" i="18"/>
  <c r="D75" i="18"/>
  <c r="C76" i="18"/>
  <c r="D76" i="18"/>
  <c r="C77" i="18"/>
  <c r="D77" i="18"/>
  <c r="C78" i="18"/>
  <c r="D78" i="18"/>
  <c r="C79" i="18"/>
  <c r="D79" i="18"/>
  <c r="C80" i="18"/>
  <c r="D80" i="18"/>
  <c r="C81" i="18"/>
  <c r="D81" i="18"/>
  <c r="C72" i="18"/>
  <c r="C68" i="18"/>
  <c r="I20" i="29" l="1"/>
  <c r="H18" i="37" l="1"/>
  <c r="F18" i="37"/>
  <c r="I18" i="46"/>
  <c r="E387" i="3"/>
  <c r="G18" i="37" l="1"/>
  <c r="E600" i="3"/>
  <c r="E637" i="3" l="1"/>
  <c r="E321" i="3" l="1"/>
  <c r="E50" i="3" l="1"/>
  <c r="E632" i="3" l="1"/>
  <c r="E631" i="3" l="1"/>
  <c r="C120" i="17" l="1"/>
  <c r="E630" i="3" l="1"/>
  <c r="E535" i="3" l="1"/>
  <c r="C344" i="18" l="1"/>
  <c r="C345" i="18"/>
  <c r="C346" i="18"/>
  <c r="E640" i="3" l="1"/>
  <c r="E638" i="3" l="1"/>
  <c r="C2" i="4" l="1"/>
  <c r="E627" i="3" l="1"/>
  <c r="E625" i="3" l="1"/>
  <c r="E626" i="3" l="1"/>
  <c r="E368" i="3" l="1"/>
  <c r="E548" i="3" l="1"/>
  <c r="E583" i="3" l="1"/>
  <c r="E582" i="3"/>
  <c r="E633" i="3"/>
  <c r="E634" i="3"/>
  <c r="E585" i="3" l="1"/>
  <c r="E584" i="3"/>
  <c r="E635" i="3"/>
  <c r="E636" i="3"/>
  <c r="E33" i="3" l="1"/>
  <c r="E595" i="3" l="1"/>
  <c r="E21" i="3" l="1"/>
  <c r="E730" i="3"/>
  <c r="E556" i="3" l="1"/>
  <c r="E596" i="3" l="1"/>
  <c r="E729" i="3" l="1"/>
  <c r="E733" i="3" l="1"/>
  <c r="E539" i="3" l="1"/>
  <c r="E533" i="3" l="1"/>
  <c r="E534" i="3"/>
  <c r="E731" i="3" l="1"/>
  <c r="E738" i="3" l="1"/>
  <c r="E541" i="3" l="1"/>
  <c r="C129" i="18" l="1"/>
  <c r="E527" i="3"/>
  <c r="E528" i="3"/>
  <c r="C141" i="17" l="1"/>
  <c r="C142" i="17"/>
  <c r="D43" i="17" l="1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108" i="17"/>
  <c r="D109" i="17"/>
  <c r="D110" i="17"/>
  <c r="D111" i="17"/>
  <c r="D112" i="17"/>
  <c r="D113" i="17"/>
  <c r="D114" i="17"/>
  <c r="D115" i="17"/>
  <c r="D116" i="17"/>
  <c r="D117" i="17"/>
  <c r="D118" i="17"/>
  <c r="D119" i="17"/>
  <c r="D120" i="17"/>
  <c r="D121" i="17"/>
  <c r="D122" i="17"/>
  <c r="D123" i="17"/>
  <c r="D124" i="17"/>
  <c r="D125" i="17"/>
  <c r="D126" i="17"/>
  <c r="D127" i="17"/>
  <c r="D128" i="17"/>
  <c r="D129" i="17"/>
  <c r="D130" i="17"/>
  <c r="D131" i="17"/>
  <c r="D132" i="17"/>
  <c r="D133" i="17"/>
  <c r="D134" i="17"/>
  <c r="D135" i="17"/>
  <c r="D136" i="17"/>
  <c r="D137" i="17"/>
  <c r="D138" i="17"/>
  <c r="D139" i="17"/>
  <c r="D140" i="17"/>
  <c r="D141" i="17"/>
  <c r="D142" i="17"/>
  <c r="D143" i="17"/>
  <c r="D144" i="17"/>
  <c r="D145" i="17"/>
  <c r="D146" i="17"/>
  <c r="D147" i="17"/>
  <c r="D148" i="17"/>
  <c r="D149" i="17"/>
  <c r="D150" i="17"/>
  <c r="D151" i="17"/>
  <c r="D152" i="17"/>
  <c r="D153" i="17"/>
  <c r="D154" i="17"/>
  <c r="D155" i="17"/>
  <c r="D156" i="17"/>
  <c r="D157" i="17"/>
  <c r="D158" i="17"/>
  <c r="D159" i="17"/>
  <c r="D160" i="17"/>
  <c r="D161" i="17"/>
  <c r="D162" i="17"/>
  <c r="D163" i="17"/>
  <c r="D164" i="17"/>
  <c r="D165" i="17"/>
  <c r="D166" i="17"/>
  <c r="D167" i="17"/>
  <c r="D168" i="17"/>
  <c r="D169" i="17"/>
  <c r="D170" i="17"/>
  <c r="D171" i="17"/>
  <c r="D172" i="17"/>
  <c r="D173" i="17"/>
  <c r="D174" i="17"/>
  <c r="D175" i="17"/>
  <c r="D176" i="17"/>
  <c r="D177" i="17"/>
  <c r="D178" i="17"/>
  <c r="D179" i="17"/>
  <c r="D180" i="17"/>
  <c r="D181" i="17"/>
  <c r="D182" i="17"/>
  <c r="D183" i="17"/>
  <c r="D184" i="17"/>
  <c r="D185" i="17"/>
  <c r="D186" i="17"/>
  <c r="D187" i="17"/>
  <c r="D188" i="17"/>
  <c r="D189" i="17"/>
  <c r="D190" i="17"/>
  <c r="D191" i="17"/>
  <c r="D192" i="17"/>
  <c r="D193" i="17"/>
  <c r="D194" i="17"/>
  <c r="D195" i="17"/>
  <c r="D196" i="17"/>
  <c r="D197" i="17"/>
  <c r="D198" i="17"/>
  <c r="D199" i="17"/>
  <c r="D200" i="17"/>
  <c r="D201" i="17"/>
  <c r="D202" i="17"/>
  <c r="D203" i="17"/>
  <c r="D204" i="17"/>
  <c r="D205" i="17"/>
  <c r="D206" i="17"/>
  <c r="D207" i="17"/>
  <c r="D208" i="17"/>
  <c r="D209" i="17"/>
  <c r="D210" i="17"/>
  <c r="D211" i="17"/>
  <c r="D212" i="17"/>
  <c r="D213" i="17"/>
  <c r="D214" i="17"/>
  <c r="D215" i="17"/>
  <c r="D216" i="17"/>
  <c r="D217" i="17"/>
  <c r="D218" i="17"/>
  <c r="D219" i="17"/>
  <c r="D220" i="17"/>
  <c r="D223" i="17"/>
  <c r="D224" i="17"/>
  <c r="D225" i="17"/>
  <c r="D226" i="17"/>
  <c r="D227" i="17"/>
  <c r="D228" i="17"/>
  <c r="D229" i="17"/>
  <c r="D230" i="17"/>
  <c r="D231" i="17"/>
  <c r="D232" i="17"/>
  <c r="D233" i="17"/>
  <c r="D234" i="17"/>
  <c r="D235" i="17"/>
  <c r="D236" i="17"/>
  <c r="D237" i="17"/>
  <c r="D238" i="17"/>
  <c r="D239" i="17"/>
  <c r="D240" i="17"/>
  <c r="D241" i="17"/>
  <c r="D242" i="17"/>
  <c r="D243" i="17"/>
  <c r="D244" i="17"/>
  <c r="D245" i="17"/>
  <c r="D246" i="17"/>
  <c r="D247" i="17"/>
  <c r="D248" i="17"/>
  <c r="D249" i="17"/>
  <c r="D250" i="17"/>
  <c r="D251" i="17"/>
  <c r="D252" i="17"/>
  <c r="D253" i="17"/>
  <c r="D254" i="17"/>
  <c r="D255" i="17"/>
  <c r="D256" i="17"/>
  <c r="D257" i="17"/>
  <c r="D258" i="17"/>
  <c r="D259" i="17"/>
  <c r="D260" i="17"/>
  <c r="D261" i="17"/>
  <c r="D262" i="17"/>
  <c r="D263" i="17"/>
  <c r="D264" i="17"/>
  <c r="D265" i="17"/>
  <c r="D266" i="17"/>
  <c r="D267" i="17"/>
  <c r="D268" i="17"/>
  <c r="D269" i="17"/>
  <c r="D270" i="17"/>
  <c r="D271" i="17"/>
  <c r="D272" i="17"/>
  <c r="D273" i="17"/>
  <c r="D274" i="17"/>
  <c r="D275" i="17"/>
  <c r="D276" i="17"/>
  <c r="D277" i="17"/>
  <c r="D278" i="17"/>
  <c r="D279" i="17"/>
  <c r="D280" i="17"/>
  <c r="D281" i="17"/>
  <c r="D282" i="17"/>
  <c r="D283" i="17"/>
  <c r="D284" i="17"/>
  <c r="D285" i="17"/>
  <c r="D286" i="17"/>
  <c r="D287" i="17"/>
  <c r="D288" i="17"/>
  <c r="D289" i="17"/>
  <c r="D290" i="17"/>
  <c r="D291" i="17"/>
  <c r="D292" i="17"/>
  <c r="D293" i="17"/>
  <c r="D294" i="17"/>
  <c r="D295" i="17"/>
  <c r="D296" i="17"/>
  <c r="D297" i="17"/>
  <c r="D298" i="17"/>
  <c r="D299" i="17"/>
  <c r="D300" i="17"/>
  <c r="D301" i="17"/>
  <c r="D302" i="17"/>
  <c r="D303" i="17"/>
  <c r="D304" i="17"/>
  <c r="D305" i="17"/>
  <c r="D306" i="17"/>
  <c r="D307" i="17"/>
  <c r="D308" i="17"/>
  <c r="D309" i="17"/>
  <c r="D310" i="17"/>
  <c r="D311" i="17"/>
  <c r="D312" i="17"/>
  <c r="D313" i="17"/>
  <c r="D314" i="17"/>
  <c r="D315" i="17"/>
  <c r="D316" i="17"/>
  <c r="D317" i="17"/>
  <c r="D318" i="17"/>
  <c r="D319" i="17"/>
  <c r="D320" i="17"/>
  <c r="D321" i="17"/>
  <c r="D322" i="17"/>
  <c r="D323" i="17"/>
  <c r="D324" i="17"/>
  <c r="D325" i="17"/>
  <c r="D326" i="17"/>
  <c r="D327" i="17"/>
  <c r="D328" i="17"/>
  <c r="D329" i="17"/>
  <c r="D330" i="17"/>
  <c r="D331" i="17"/>
  <c r="D332" i="17"/>
  <c r="D333" i="17"/>
  <c r="D334" i="17"/>
  <c r="D335" i="17"/>
  <c r="D336" i="17"/>
  <c r="D337" i="17"/>
  <c r="D338" i="17"/>
  <c r="D339" i="17"/>
  <c r="D340" i="17"/>
  <c r="D341" i="17"/>
  <c r="D342" i="17"/>
  <c r="D343" i="17"/>
  <c r="D344" i="17"/>
  <c r="D345" i="17"/>
  <c r="D346" i="17"/>
  <c r="D347" i="17"/>
  <c r="D348" i="17"/>
  <c r="D349" i="17"/>
  <c r="D350" i="17"/>
  <c r="D351" i="17"/>
  <c r="D352" i="17"/>
  <c r="D353" i="17"/>
  <c r="D354" i="17"/>
  <c r="D355" i="17"/>
  <c r="D356" i="17"/>
  <c r="D357" i="17"/>
  <c r="D358" i="17"/>
  <c r="D359" i="17"/>
  <c r="D360" i="17"/>
  <c r="D361" i="17"/>
  <c r="D362" i="17"/>
  <c r="D363" i="17"/>
  <c r="D364" i="17"/>
  <c r="D365" i="17"/>
  <c r="D366" i="17"/>
  <c r="D367" i="17"/>
  <c r="D368" i="17"/>
  <c r="D369" i="17"/>
  <c r="D370" i="17"/>
  <c r="D371" i="17"/>
  <c r="D372" i="17"/>
  <c r="D373" i="17"/>
  <c r="D374" i="17"/>
  <c r="D375" i="17"/>
  <c r="D376" i="17"/>
  <c r="D377" i="17"/>
  <c r="D378" i="17"/>
  <c r="D379" i="17"/>
  <c r="D380" i="17"/>
  <c r="D381" i="17"/>
  <c r="D382" i="17"/>
  <c r="D383" i="17"/>
  <c r="D384" i="17"/>
  <c r="D385" i="17"/>
  <c r="D386" i="17"/>
  <c r="D387" i="17"/>
  <c r="D388" i="17"/>
  <c r="D389" i="17"/>
  <c r="D390" i="17"/>
  <c r="D391" i="17"/>
  <c r="D392" i="17"/>
  <c r="D393" i="17"/>
  <c r="D394" i="17"/>
  <c r="D395" i="17"/>
  <c r="D396" i="17"/>
  <c r="D397" i="17"/>
  <c r="D398" i="17"/>
  <c r="D399" i="17"/>
  <c r="D400" i="17"/>
  <c r="D401" i="17"/>
  <c r="D402" i="17"/>
  <c r="D403" i="17"/>
  <c r="D404" i="17"/>
  <c r="D405" i="17"/>
  <c r="D406" i="17"/>
  <c r="D407" i="17"/>
  <c r="D408" i="17"/>
  <c r="D409" i="17"/>
  <c r="D410" i="17"/>
  <c r="D411" i="17"/>
  <c r="D412" i="17"/>
  <c r="D413" i="17"/>
  <c r="D414" i="17"/>
  <c r="D415" i="17"/>
  <c r="D416" i="17"/>
  <c r="D417" i="17"/>
  <c r="D418" i="17"/>
  <c r="D419" i="17"/>
  <c r="D420" i="17"/>
  <c r="D421" i="17"/>
  <c r="D422" i="17"/>
  <c r="D423" i="17"/>
  <c r="D424" i="17"/>
  <c r="D425" i="17"/>
  <c r="D426" i="17"/>
  <c r="D427" i="17"/>
  <c r="D428" i="17"/>
  <c r="D429" i="17"/>
  <c r="D430" i="17"/>
  <c r="D431" i="17"/>
  <c r="D432" i="17"/>
  <c r="D433" i="17"/>
  <c r="D434" i="17"/>
  <c r="D435" i="17"/>
  <c r="D436" i="17"/>
  <c r="D437" i="17"/>
  <c r="D438" i="17"/>
  <c r="D439" i="17"/>
  <c r="D440" i="17"/>
  <c r="D441" i="17"/>
  <c r="D442" i="17"/>
  <c r="D443" i="17"/>
  <c r="D444" i="17"/>
  <c r="D445" i="17"/>
  <c r="D446" i="17"/>
  <c r="D447" i="17"/>
  <c r="D448" i="17"/>
  <c r="D449" i="17"/>
  <c r="D450" i="17"/>
  <c r="D451" i="17"/>
  <c r="D452" i="17"/>
  <c r="D453" i="17"/>
  <c r="D454" i="17"/>
  <c r="D455" i="17"/>
  <c r="D456" i="17"/>
  <c r="D457" i="17"/>
  <c r="D458" i="17"/>
  <c r="D459" i="17"/>
  <c r="D460" i="17"/>
  <c r="D461" i="17"/>
  <c r="D462" i="17"/>
  <c r="D463" i="17"/>
  <c r="D464" i="17"/>
  <c r="D465" i="17"/>
  <c r="D466" i="17"/>
  <c r="D467" i="17"/>
  <c r="D468" i="17"/>
  <c r="D469" i="17"/>
  <c r="D470" i="17"/>
  <c r="D471" i="17"/>
  <c r="D472" i="17"/>
  <c r="D473" i="17"/>
  <c r="D474" i="17"/>
  <c r="D475" i="17"/>
  <c r="D476" i="17"/>
  <c r="D477" i="17"/>
  <c r="D478" i="17"/>
  <c r="D479" i="17"/>
  <c r="D480" i="17"/>
  <c r="D481" i="17"/>
  <c r="D482" i="17"/>
  <c r="D483" i="17"/>
  <c r="D484" i="17"/>
  <c r="D485" i="17"/>
  <c r="D486" i="17"/>
  <c r="D487" i="17"/>
  <c r="D488" i="17"/>
  <c r="D489" i="17"/>
  <c r="D490" i="17"/>
  <c r="D491" i="17"/>
  <c r="D492" i="17"/>
  <c r="D493" i="17"/>
  <c r="D494" i="17"/>
  <c r="D495" i="17"/>
  <c r="D496" i="17"/>
  <c r="D497" i="17"/>
  <c r="D498" i="17"/>
  <c r="D499" i="17"/>
  <c r="D500" i="17"/>
  <c r="D501" i="17"/>
  <c r="D502" i="17"/>
  <c r="D503" i="17"/>
  <c r="D504" i="17"/>
  <c r="D505" i="17"/>
  <c r="D506" i="17"/>
  <c r="D507" i="17"/>
  <c r="D508" i="17"/>
  <c r="D509" i="17"/>
  <c r="D510" i="17"/>
  <c r="D511" i="17"/>
  <c r="D512" i="17"/>
  <c r="D513" i="17"/>
  <c r="D514" i="17"/>
  <c r="D515" i="17"/>
  <c r="D516" i="17"/>
  <c r="D517" i="17"/>
  <c r="D518" i="17"/>
  <c r="D519" i="17"/>
  <c r="D520" i="17"/>
  <c r="D521" i="17"/>
  <c r="D522" i="17"/>
  <c r="D523" i="17"/>
  <c r="D524" i="17"/>
  <c r="D525" i="17"/>
  <c r="D526" i="17"/>
  <c r="D527" i="17"/>
  <c r="D528" i="17"/>
  <c r="D529" i="17"/>
  <c r="D530" i="17"/>
  <c r="D531" i="17"/>
  <c r="D532" i="17"/>
  <c r="D533" i="17"/>
  <c r="D534" i="17"/>
  <c r="D535" i="17"/>
  <c r="D536" i="17"/>
  <c r="D537" i="17"/>
  <c r="D538" i="17"/>
  <c r="D539" i="17"/>
  <c r="D540" i="17"/>
  <c r="D541" i="17"/>
  <c r="D542" i="17"/>
  <c r="D543" i="17"/>
  <c r="D544" i="17"/>
  <c r="D545" i="17"/>
  <c r="D546" i="17"/>
  <c r="D547" i="17"/>
  <c r="D548" i="17"/>
  <c r="D549" i="17"/>
  <c r="D550" i="17"/>
  <c r="D551" i="17"/>
  <c r="D552" i="17"/>
  <c r="D553" i="17"/>
  <c r="D554" i="17"/>
  <c r="D555" i="17"/>
  <c r="D556" i="17"/>
  <c r="D557" i="17"/>
  <c r="D558" i="17"/>
  <c r="D559" i="17"/>
  <c r="D560" i="17"/>
  <c r="D561" i="17"/>
  <c r="D562" i="17"/>
  <c r="D563" i="17"/>
  <c r="D564" i="17"/>
  <c r="D565" i="17"/>
  <c r="D566" i="17"/>
  <c r="D567" i="17"/>
  <c r="D568" i="17"/>
  <c r="D569" i="17"/>
  <c r="D570" i="17"/>
  <c r="D571" i="17"/>
  <c r="D572" i="17"/>
  <c r="D573" i="17"/>
  <c r="D574" i="17"/>
  <c r="D575" i="17"/>
  <c r="D576" i="17"/>
  <c r="D577" i="17"/>
  <c r="D578" i="17"/>
  <c r="D579" i="17"/>
  <c r="D580" i="17"/>
  <c r="D581" i="17"/>
  <c r="D582" i="17"/>
  <c r="D583" i="17"/>
  <c r="D584" i="17"/>
  <c r="D585" i="17"/>
  <c r="D586" i="17"/>
  <c r="D587" i="17"/>
  <c r="D588" i="17"/>
  <c r="D589" i="17"/>
  <c r="D590" i="17"/>
  <c r="D591" i="17"/>
  <c r="D592" i="17"/>
  <c r="D593" i="17"/>
  <c r="D594" i="17"/>
  <c r="D595" i="17"/>
  <c r="D596" i="17"/>
  <c r="D597" i="17"/>
  <c r="D598" i="17"/>
  <c r="D599" i="17"/>
  <c r="D600" i="17"/>
  <c r="D601" i="17"/>
  <c r="D602" i="17"/>
  <c r="D603" i="17"/>
  <c r="D604" i="17"/>
  <c r="D605" i="17"/>
  <c r="D606" i="17"/>
  <c r="D607" i="17"/>
  <c r="D608" i="17"/>
  <c r="D609" i="17"/>
  <c r="D610" i="17"/>
  <c r="D611" i="17"/>
  <c r="D612" i="17"/>
  <c r="D613" i="17"/>
  <c r="D614" i="17"/>
  <c r="D615" i="17"/>
  <c r="D616" i="17"/>
  <c r="D617" i="17"/>
  <c r="D618" i="17"/>
  <c r="D619" i="17"/>
  <c r="D620" i="17"/>
  <c r="D621" i="17"/>
  <c r="D622" i="17"/>
  <c r="D623" i="17"/>
  <c r="D624" i="17"/>
  <c r="D625" i="17"/>
  <c r="D626" i="17"/>
  <c r="D627" i="17"/>
  <c r="D628" i="17"/>
  <c r="D629" i="17"/>
  <c r="D630" i="17"/>
  <c r="D631" i="17"/>
  <c r="D632" i="17"/>
  <c r="D633" i="17"/>
  <c r="D634" i="17"/>
  <c r="D635" i="17"/>
  <c r="D636" i="17"/>
  <c r="D637" i="17"/>
  <c r="D638" i="17"/>
  <c r="D639" i="17"/>
  <c r="D640" i="17"/>
  <c r="D641" i="17"/>
  <c r="D642" i="17"/>
  <c r="D643" i="17"/>
  <c r="D644" i="17"/>
  <c r="D645" i="17"/>
  <c r="D646" i="17"/>
  <c r="D647" i="17"/>
  <c r="D648" i="17"/>
  <c r="D649" i="17"/>
  <c r="D650" i="17"/>
  <c r="D651" i="17"/>
  <c r="D652" i="17"/>
  <c r="D653" i="17"/>
  <c r="D654" i="17"/>
  <c r="D655" i="17"/>
  <c r="D656" i="17"/>
  <c r="D657" i="17"/>
  <c r="D658" i="17"/>
  <c r="D659" i="17"/>
  <c r="D660" i="17"/>
  <c r="D661" i="17"/>
  <c r="D662" i="17"/>
  <c r="D663" i="17"/>
  <c r="D664" i="17"/>
  <c r="D665" i="17"/>
  <c r="D666" i="17"/>
  <c r="D667" i="17"/>
  <c r="D668" i="17"/>
  <c r="D669" i="17"/>
  <c r="D670" i="17"/>
  <c r="D671" i="17"/>
  <c r="D672" i="17"/>
  <c r="D673" i="17"/>
  <c r="D674" i="17"/>
  <c r="D675" i="17"/>
  <c r="D676" i="17"/>
  <c r="D677" i="17"/>
  <c r="D678" i="17"/>
  <c r="D679" i="17"/>
  <c r="D680" i="17"/>
  <c r="D681" i="17"/>
  <c r="D682" i="17"/>
  <c r="D683" i="17"/>
  <c r="D684" i="17"/>
  <c r="D685" i="17"/>
  <c r="D686" i="17"/>
  <c r="D687" i="17"/>
  <c r="D688" i="17"/>
  <c r="D689" i="17"/>
  <c r="D690" i="17"/>
  <c r="D691" i="17"/>
  <c r="D692" i="17"/>
  <c r="D693" i="17"/>
  <c r="D694" i="17"/>
  <c r="D695" i="17"/>
  <c r="D696" i="17"/>
  <c r="D697" i="17"/>
  <c r="D698" i="17"/>
  <c r="D699" i="17"/>
  <c r="D700" i="17"/>
  <c r="D701" i="17"/>
  <c r="D702" i="17"/>
  <c r="D703" i="17"/>
  <c r="D704" i="17"/>
  <c r="D705" i="17"/>
  <c r="D706" i="17"/>
  <c r="D707" i="17"/>
  <c r="D708" i="17"/>
  <c r="D709" i="17"/>
  <c r="D710" i="17"/>
  <c r="D711" i="17"/>
  <c r="D712" i="17"/>
  <c r="D713" i="17"/>
  <c r="D714" i="17"/>
  <c r="D715" i="17"/>
  <c r="D716" i="17"/>
  <c r="D717" i="17"/>
  <c r="D718" i="17"/>
  <c r="D719" i="17"/>
  <c r="D720" i="17"/>
  <c r="D721" i="17"/>
  <c r="D722" i="17"/>
  <c r="D723" i="17"/>
  <c r="D724" i="17"/>
  <c r="D725" i="17"/>
  <c r="D726" i="17"/>
  <c r="D727" i="17"/>
  <c r="D728" i="17"/>
  <c r="D729" i="17"/>
  <c r="D730" i="17"/>
  <c r="C4" i="17" l="1"/>
  <c r="C5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C101" i="17"/>
  <c r="C102" i="17"/>
  <c r="C103" i="17"/>
  <c r="C104" i="17"/>
  <c r="C105" i="17"/>
  <c r="C106" i="17"/>
  <c r="C107" i="17"/>
  <c r="C108" i="17"/>
  <c r="C109" i="17"/>
  <c r="C110" i="17"/>
  <c r="C111" i="17"/>
  <c r="C112" i="17"/>
  <c r="C113" i="17"/>
  <c r="C114" i="17"/>
  <c r="C115" i="17"/>
  <c r="C116" i="17"/>
  <c r="C117" i="17"/>
  <c r="C118" i="17"/>
  <c r="C119" i="17"/>
  <c r="C121" i="17"/>
  <c r="C122" i="17"/>
  <c r="C123" i="17"/>
  <c r="C124" i="17"/>
  <c r="C125" i="17"/>
  <c r="C126" i="17"/>
  <c r="C127" i="17"/>
  <c r="C128" i="17"/>
  <c r="C129" i="17"/>
  <c r="C130" i="17"/>
  <c r="C131" i="17"/>
  <c r="C132" i="17"/>
  <c r="C133" i="17"/>
  <c r="C134" i="17"/>
  <c r="C135" i="17"/>
  <c r="C136" i="17"/>
  <c r="C137" i="17"/>
  <c r="C138" i="17"/>
  <c r="C139" i="17"/>
  <c r="C140" i="17"/>
  <c r="C143" i="17"/>
  <c r="C144" i="17"/>
  <c r="C145" i="17"/>
  <c r="C146" i="17"/>
  <c r="C147" i="17"/>
  <c r="C148" i="17"/>
  <c r="C149" i="17"/>
  <c r="C150" i="17"/>
  <c r="C151" i="17"/>
  <c r="C152" i="17"/>
  <c r="C153" i="17"/>
  <c r="C154" i="17"/>
  <c r="C155" i="17"/>
  <c r="C156" i="17"/>
  <c r="C157" i="17"/>
  <c r="C158" i="17"/>
  <c r="C159" i="17"/>
  <c r="C160" i="17"/>
  <c r="C161" i="17"/>
  <c r="C162" i="17"/>
  <c r="C163" i="17"/>
  <c r="C164" i="17"/>
  <c r="C165" i="17"/>
  <c r="C166" i="17"/>
  <c r="C167" i="17"/>
  <c r="C168" i="17"/>
  <c r="C169" i="17"/>
  <c r="C170" i="17"/>
  <c r="C171" i="17"/>
  <c r="C172" i="17"/>
  <c r="C173" i="17"/>
  <c r="C174" i="17"/>
  <c r="C175" i="17"/>
  <c r="C176" i="17"/>
  <c r="C177" i="17"/>
  <c r="C178" i="17"/>
  <c r="C179" i="17"/>
  <c r="C180" i="17"/>
  <c r="C181" i="17"/>
  <c r="C182" i="17"/>
  <c r="C183" i="17"/>
  <c r="C184" i="17"/>
  <c r="C185" i="17"/>
  <c r="C186" i="17"/>
  <c r="C187" i="17"/>
  <c r="C188" i="17"/>
  <c r="C189" i="17"/>
  <c r="C190" i="17"/>
  <c r="C191" i="17"/>
  <c r="C192" i="17"/>
  <c r="C193" i="17"/>
  <c r="C194" i="17"/>
  <c r="C195" i="17"/>
  <c r="C196" i="17"/>
  <c r="C197" i="17"/>
  <c r="C198" i="17"/>
  <c r="C199" i="17"/>
  <c r="C200" i="17"/>
  <c r="C201" i="17"/>
  <c r="C202" i="17"/>
  <c r="C203" i="17"/>
  <c r="C204" i="17"/>
  <c r="C205" i="17"/>
  <c r="C206" i="17"/>
  <c r="C207" i="17"/>
  <c r="C208" i="17"/>
  <c r="C209" i="17"/>
  <c r="C210" i="17"/>
  <c r="C211" i="17"/>
  <c r="C212" i="17"/>
  <c r="C213" i="17"/>
  <c r="C214" i="17"/>
  <c r="C215" i="17"/>
  <c r="C216" i="17"/>
  <c r="C217" i="17"/>
  <c r="C218" i="17"/>
  <c r="C219" i="17"/>
  <c r="C220" i="17"/>
  <c r="C222" i="17"/>
  <c r="C223" i="17"/>
  <c r="C224" i="17"/>
  <c r="C225" i="17"/>
  <c r="C226" i="17"/>
  <c r="C227" i="17"/>
  <c r="C228" i="17"/>
  <c r="C229" i="17"/>
  <c r="C230" i="17"/>
  <c r="C231" i="17"/>
  <c r="C232" i="17"/>
  <c r="C233" i="17"/>
  <c r="C234" i="17"/>
  <c r="C235" i="17"/>
  <c r="C236" i="17"/>
  <c r="C237" i="17"/>
  <c r="C238" i="17"/>
  <c r="C239" i="17"/>
  <c r="C240" i="17"/>
  <c r="C241" i="17"/>
  <c r="C242" i="17"/>
  <c r="C243" i="17"/>
  <c r="C244" i="17"/>
  <c r="C245" i="17"/>
  <c r="C246" i="17"/>
  <c r="C247" i="17"/>
  <c r="C248" i="17"/>
  <c r="C249" i="17"/>
  <c r="C250" i="17"/>
  <c r="C251" i="17"/>
  <c r="C252" i="17"/>
  <c r="C253" i="17"/>
  <c r="C254" i="17"/>
  <c r="C255" i="17"/>
  <c r="C256" i="17"/>
  <c r="C257" i="17"/>
  <c r="C258" i="17"/>
  <c r="C259" i="17"/>
  <c r="C260" i="17"/>
  <c r="C261" i="17"/>
  <c r="C262" i="17"/>
  <c r="C263" i="17"/>
  <c r="C264" i="17"/>
  <c r="C265" i="17"/>
  <c r="C266" i="17"/>
  <c r="C267" i="17"/>
  <c r="C268" i="17"/>
  <c r="C269" i="17"/>
  <c r="C270" i="17"/>
  <c r="C271" i="17"/>
  <c r="C272" i="17"/>
  <c r="C273" i="17"/>
  <c r="C274" i="17"/>
  <c r="C275" i="17"/>
  <c r="C276" i="17"/>
  <c r="C277" i="17"/>
  <c r="C278" i="17"/>
  <c r="C279" i="17"/>
  <c r="C280" i="17"/>
  <c r="C281" i="17"/>
  <c r="C282" i="17"/>
  <c r="C283" i="17"/>
  <c r="C284" i="17"/>
  <c r="C285" i="17"/>
  <c r="C286" i="17"/>
  <c r="C287" i="17"/>
  <c r="C288" i="17"/>
  <c r="C289" i="17"/>
  <c r="C290" i="17"/>
  <c r="C291" i="17"/>
  <c r="C292" i="17"/>
  <c r="C293" i="17"/>
  <c r="C294" i="17"/>
  <c r="C295" i="17"/>
  <c r="C296" i="17"/>
  <c r="C297" i="17"/>
  <c r="C298" i="17"/>
  <c r="C299" i="17"/>
  <c r="C300" i="17"/>
  <c r="C301" i="17"/>
  <c r="C302" i="17"/>
  <c r="C303" i="17"/>
  <c r="C304" i="17"/>
  <c r="C305" i="17"/>
  <c r="C306" i="17"/>
  <c r="C307" i="17"/>
  <c r="C308" i="17"/>
  <c r="C309" i="17"/>
  <c r="C310" i="17"/>
  <c r="C311" i="17"/>
  <c r="C312" i="17"/>
  <c r="C313" i="17"/>
  <c r="C314" i="17"/>
  <c r="C315" i="17"/>
  <c r="C316" i="17"/>
  <c r="C317" i="17"/>
  <c r="C318" i="17"/>
  <c r="C319" i="17"/>
  <c r="C320" i="17"/>
  <c r="C321" i="17"/>
  <c r="C322" i="17"/>
  <c r="C323" i="17"/>
  <c r="C324" i="17"/>
  <c r="C325" i="17"/>
  <c r="C326" i="17"/>
  <c r="C327" i="17"/>
  <c r="C328" i="17"/>
  <c r="C329" i="17"/>
  <c r="C330" i="17"/>
  <c r="C331" i="17"/>
  <c r="C332" i="17"/>
  <c r="C333" i="17"/>
  <c r="C334" i="17"/>
  <c r="C335" i="17"/>
  <c r="C336" i="17"/>
  <c r="C337" i="17"/>
  <c r="C338" i="17"/>
  <c r="C339" i="17"/>
  <c r="C340" i="17"/>
  <c r="C341" i="17"/>
  <c r="C342" i="17"/>
  <c r="C343" i="17"/>
  <c r="C344" i="17"/>
  <c r="C345" i="17"/>
  <c r="C346" i="17"/>
  <c r="C347" i="17"/>
  <c r="C348" i="17"/>
  <c r="C349" i="17"/>
  <c r="C350" i="17"/>
  <c r="C351" i="17"/>
  <c r="C352" i="17"/>
  <c r="C353" i="17"/>
  <c r="C354" i="17"/>
  <c r="C355" i="17"/>
  <c r="C356" i="17"/>
  <c r="C357" i="17"/>
  <c r="C358" i="17"/>
  <c r="C359" i="17"/>
  <c r="C360" i="17"/>
  <c r="C361" i="17"/>
  <c r="C362" i="17"/>
  <c r="C363" i="17"/>
  <c r="C364" i="17"/>
  <c r="C365" i="17"/>
  <c r="C366" i="17"/>
  <c r="C367" i="17"/>
  <c r="C368" i="17"/>
  <c r="C369" i="17"/>
  <c r="C370" i="17"/>
  <c r="C371" i="17"/>
  <c r="C372" i="17"/>
  <c r="C373" i="17"/>
  <c r="C374" i="17"/>
  <c r="C375" i="17"/>
  <c r="C376" i="17"/>
  <c r="C377" i="17"/>
  <c r="C378" i="17"/>
  <c r="C379" i="17"/>
  <c r="C380" i="17"/>
  <c r="C381" i="17"/>
  <c r="C382" i="17"/>
  <c r="C383" i="17"/>
  <c r="C384" i="17"/>
  <c r="C385" i="17"/>
  <c r="C386" i="17"/>
  <c r="C387" i="17"/>
  <c r="C388" i="17"/>
  <c r="C389" i="17"/>
  <c r="C390" i="17"/>
  <c r="C391" i="17"/>
  <c r="C392" i="17"/>
  <c r="C393" i="17"/>
  <c r="C394" i="17"/>
  <c r="C395" i="17"/>
  <c r="C396" i="17"/>
  <c r="C397" i="17"/>
  <c r="C398" i="17"/>
  <c r="C399" i="17"/>
  <c r="C400" i="17"/>
  <c r="C401" i="17"/>
  <c r="C402" i="17"/>
  <c r="C403" i="17"/>
  <c r="C404" i="17"/>
  <c r="C405" i="17"/>
  <c r="C406" i="17"/>
  <c r="C407" i="17"/>
  <c r="C408" i="17"/>
  <c r="C409" i="17"/>
  <c r="C410" i="17"/>
  <c r="C411" i="17"/>
  <c r="C412" i="17"/>
  <c r="C413" i="17"/>
  <c r="C414" i="17"/>
  <c r="C415" i="17"/>
  <c r="C416" i="17"/>
  <c r="C417" i="17"/>
  <c r="C418" i="17"/>
  <c r="C419" i="17"/>
  <c r="C420" i="17"/>
  <c r="C421" i="17"/>
  <c r="C422" i="17"/>
  <c r="C423" i="17"/>
  <c r="C424" i="17"/>
  <c r="C425" i="17"/>
  <c r="C426" i="17"/>
  <c r="C427" i="17"/>
  <c r="C428" i="17"/>
  <c r="C429" i="17"/>
  <c r="C430" i="17"/>
  <c r="C431" i="17"/>
  <c r="C432" i="17"/>
  <c r="C433" i="17"/>
  <c r="C434" i="17"/>
  <c r="C435" i="17"/>
  <c r="C436" i="17"/>
  <c r="C437" i="17"/>
  <c r="C438" i="17"/>
  <c r="C439" i="17"/>
  <c r="C440" i="17"/>
  <c r="C441" i="17"/>
  <c r="C442" i="17"/>
  <c r="C443" i="17"/>
  <c r="C444" i="17"/>
  <c r="C445" i="17"/>
  <c r="C446" i="17"/>
  <c r="C447" i="17"/>
  <c r="C448" i="17"/>
  <c r="C449" i="17"/>
  <c r="C450" i="17"/>
  <c r="C451" i="17"/>
  <c r="C452" i="17"/>
  <c r="C453" i="17"/>
  <c r="C454" i="17"/>
  <c r="C455" i="17"/>
  <c r="C456" i="17"/>
  <c r="C457" i="17"/>
  <c r="C458" i="17"/>
  <c r="C459" i="17"/>
  <c r="C460" i="17"/>
  <c r="C461" i="17"/>
  <c r="C462" i="17"/>
  <c r="C463" i="17"/>
  <c r="C464" i="17"/>
  <c r="C465" i="17"/>
  <c r="C466" i="17"/>
  <c r="C467" i="17"/>
  <c r="C468" i="17"/>
  <c r="C469" i="17"/>
  <c r="C470" i="17"/>
  <c r="C471" i="17"/>
  <c r="C472" i="17"/>
  <c r="C473" i="17"/>
  <c r="C474" i="17"/>
  <c r="C475" i="17"/>
  <c r="C476" i="17"/>
  <c r="C477" i="17"/>
  <c r="C478" i="17"/>
  <c r="C479" i="17"/>
  <c r="C480" i="17"/>
  <c r="C481" i="17"/>
  <c r="C482" i="17"/>
  <c r="C483" i="17"/>
  <c r="C484" i="17"/>
  <c r="C485" i="17"/>
  <c r="C486" i="17"/>
  <c r="C487" i="17"/>
  <c r="C488" i="17"/>
  <c r="C489" i="17"/>
  <c r="C490" i="17"/>
  <c r="C491" i="17"/>
  <c r="C492" i="17"/>
  <c r="C493" i="17"/>
  <c r="C494" i="17"/>
  <c r="C495" i="17"/>
  <c r="C496" i="17"/>
  <c r="C497" i="17"/>
  <c r="C498" i="17"/>
  <c r="C499" i="17"/>
  <c r="C500" i="17"/>
  <c r="C501" i="17"/>
  <c r="C502" i="17"/>
  <c r="C503" i="17"/>
  <c r="C504" i="17"/>
  <c r="C505" i="17"/>
  <c r="C506" i="17"/>
  <c r="C507" i="17"/>
  <c r="C508" i="17"/>
  <c r="C509" i="17"/>
  <c r="C510" i="17"/>
  <c r="C511" i="17"/>
  <c r="C512" i="17"/>
  <c r="C513" i="17"/>
  <c r="C514" i="17"/>
  <c r="C515" i="17"/>
  <c r="C516" i="17"/>
  <c r="C517" i="17"/>
  <c r="C518" i="17"/>
  <c r="C519" i="17"/>
  <c r="C520" i="17"/>
  <c r="C521" i="17"/>
  <c r="C522" i="17"/>
  <c r="C523" i="17"/>
  <c r="C524" i="17"/>
  <c r="C525" i="17"/>
  <c r="C526" i="17"/>
  <c r="C527" i="17"/>
  <c r="C528" i="17"/>
  <c r="C529" i="17"/>
  <c r="C530" i="17"/>
  <c r="C531" i="17"/>
  <c r="C532" i="17"/>
  <c r="C533" i="17"/>
  <c r="C534" i="17"/>
  <c r="C535" i="17"/>
  <c r="C536" i="17"/>
  <c r="C537" i="17"/>
  <c r="C538" i="17"/>
  <c r="C539" i="17"/>
  <c r="C540" i="17"/>
  <c r="C541" i="17"/>
  <c r="C542" i="17"/>
  <c r="C543" i="17"/>
  <c r="C544" i="17"/>
  <c r="C545" i="17"/>
  <c r="C546" i="17"/>
  <c r="C547" i="17"/>
  <c r="C548" i="17"/>
  <c r="C549" i="17"/>
  <c r="C550" i="17"/>
  <c r="C551" i="17"/>
  <c r="C552" i="17"/>
  <c r="C553" i="17"/>
  <c r="C554" i="17"/>
  <c r="C555" i="17"/>
  <c r="C556" i="17"/>
  <c r="C557" i="17"/>
  <c r="C558" i="17"/>
  <c r="C559" i="17"/>
  <c r="C560" i="17"/>
  <c r="C561" i="17"/>
  <c r="C562" i="17"/>
  <c r="C563" i="17"/>
  <c r="C564" i="17"/>
  <c r="C565" i="17"/>
  <c r="C566" i="17"/>
  <c r="C567" i="17"/>
  <c r="C568" i="17"/>
  <c r="C569" i="17"/>
  <c r="C570" i="17"/>
  <c r="C571" i="17"/>
  <c r="C572" i="17"/>
  <c r="C573" i="17"/>
  <c r="C574" i="17"/>
  <c r="C575" i="17"/>
  <c r="C576" i="17"/>
  <c r="C577" i="17"/>
  <c r="C578" i="17"/>
  <c r="C579" i="17"/>
  <c r="C580" i="17"/>
  <c r="C581" i="17"/>
  <c r="C582" i="17"/>
  <c r="C583" i="17"/>
  <c r="C584" i="17"/>
  <c r="C585" i="17"/>
  <c r="C586" i="17"/>
  <c r="C587" i="17"/>
  <c r="C588" i="17"/>
  <c r="C589" i="17"/>
  <c r="C590" i="17"/>
  <c r="C591" i="17"/>
  <c r="C592" i="17"/>
  <c r="C593" i="17"/>
  <c r="C594" i="17"/>
  <c r="C595" i="17"/>
  <c r="C596" i="17"/>
  <c r="C597" i="17"/>
  <c r="C598" i="17"/>
  <c r="C599" i="17"/>
  <c r="C600" i="17"/>
  <c r="C601" i="17"/>
  <c r="C602" i="17"/>
  <c r="C603" i="17"/>
  <c r="C604" i="17"/>
  <c r="C605" i="17"/>
  <c r="C606" i="17"/>
  <c r="C607" i="17"/>
  <c r="C608" i="17"/>
  <c r="C609" i="17"/>
  <c r="C610" i="17"/>
  <c r="C611" i="17"/>
  <c r="C612" i="17"/>
  <c r="C613" i="17"/>
  <c r="C614" i="17"/>
  <c r="C615" i="17"/>
  <c r="C616" i="17"/>
  <c r="C617" i="17"/>
  <c r="C618" i="17"/>
  <c r="C619" i="17"/>
  <c r="C620" i="17"/>
  <c r="C621" i="17"/>
  <c r="C622" i="17"/>
  <c r="C623" i="17"/>
  <c r="C624" i="17"/>
  <c r="C625" i="17"/>
  <c r="C626" i="17"/>
  <c r="C627" i="17"/>
  <c r="C628" i="17"/>
  <c r="C629" i="17"/>
  <c r="C630" i="17"/>
  <c r="C631" i="17"/>
  <c r="C632" i="17"/>
  <c r="C633" i="17"/>
  <c r="C634" i="17"/>
  <c r="C635" i="17"/>
  <c r="C636" i="17"/>
  <c r="C637" i="17"/>
  <c r="C638" i="17"/>
  <c r="C639" i="17"/>
  <c r="C640" i="17"/>
  <c r="C641" i="17"/>
  <c r="C642" i="17"/>
  <c r="C643" i="17"/>
  <c r="C644" i="17"/>
  <c r="C645" i="17"/>
  <c r="C646" i="17"/>
  <c r="C647" i="17"/>
  <c r="C648" i="17"/>
  <c r="C649" i="17"/>
  <c r="C650" i="17"/>
  <c r="C651" i="17"/>
  <c r="C652" i="17"/>
  <c r="A194" i="17"/>
  <c r="A103" i="17"/>
  <c r="C3" i="17"/>
  <c r="D3" i="17"/>
  <c r="D4" i="17"/>
  <c r="D5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C2" i="17"/>
  <c r="E594" i="3" l="1"/>
  <c r="E169" i="3" l="1"/>
  <c r="E67" i="3" l="1"/>
  <c r="E355" i="3" l="1"/>
  <c r="E354" i="3"/>
  <c r="E323" i="3" l="1"/>
  <c r="E325" i="3" l="1"/>
  <c r="E402" i="3" l="1"/>
  <c r="E549" i="3" l="1"/>
  <c r="E550" i="3" l="1"/>
  <c r="E551" i="3" l="1"/>
  <c r="E545" i="3" l="1"/>
  <c r="E561" i="3" l="1"/>
  <c r="E562" i="3" l="1"/>
  <c r="E563" i="3" l="1"/>
  <c r="E526" i="3" l="1"/>
  <c r="E363" i="3" l="1"/>
  <c r="E366" i="3" l="1"/>
  <c r="E674" i="3" l="1"/>
  <c r="E675" i="3" l="1"/>
  <c r="E677" i="3" l="1"/>
  <c r="E379" i="3" l="1"/>
  <c r="E380" i="3" l="1"/>
  <c r="E381" i="3" l="1"/>
  <c r="E362" i="3" l="1"/>
  <c r="E361" i="3"/>
  <c r="E367" i="3" l="1"/>
  <c r="E536" i="3" l="1"/>
  <c r="E601" i="3"/>
  <c r="E51" i="3" l="1"/>
  <c r="E602" i="3" l="1"/>
  <c r="E603" i="3" l="1"/>
  <c r="E581" i="3" l="1"/>
  <c r="E579" i="3" l="1"/>
  <c r="E580" i="3" l="1"/>
  <c r="E558" i="3" l="1"/>
  <c r="E559" i="3" l="1"/>
  <c r="E560" i="3" l="1"/>
  <c r="E577" i="3" l="1"/>
  <c r="E578" i="3" l="1"/>
  <c r="E572" i="3" l="1"/>
  <c r="E571" i="3"/>
  <c r="E576" i="3" l="1"/>
  <c r="E575" i="3"/>
  <c r="E574" i="3" l="1"/>
  <c r="E573" i="3"/>
  <c r="E622" i="3" l="1"/>
  <c r="E564" i="3" l="1"/>
  <c r="E565" i="3" l="1"/>
  <c r="E566" i="3" l="1"/>
  <c r="E344" i="3" l="1"/>
  <c r="E343" i="3"/>
  <c r="H172" i="17" l="1"/>
  <c r="E40" i="3" l="1"/>
  <c r="E299" i="3" l="1"/>
  <c r="E298" i="3" l="1"/>
  <c r="E370" i="3" l="1"/>
  <c r="E530" i="3"/>
  <c r="E529" i="3"/>
  <c r="E543" i="3" l="1"/>
  <c r="E542" i="3" l="1"/>
  <c r="E553" i="3" l="1"/>
  <c r="E369" i="3" l="1"/>
  <c r="E676" i="3"/>
  <c r="E555" i="3" l="1"/>
  <c r="E557" i="3" l="1"/>
  <c r="E547" i="3" l="1"/>
  <c r="E567" i="3" l="1"/>
  <c r="E568" i="3"/>
  <c r="E570" i="3" l="1"/>
  <c r="E569" i="3"/>
  <c r="E303" i="3" l="1"/>
  <c r="E302" i="3"/>
  <c r="E240" i="3" l="1"/>
  <c r="E301" i="3" l="1"/>
  <c r="E300" i="3"/>
  <c r="E304" i="3" l="1"/>
  <c r="E587" i="3" l="1"/>
  <c r="E588" i="3" l="1"/>
  <c r="E589" i="3" l="1"/>
  <c r="E270" i="3" l="1"/>
  <c r="E586" i="3" l="1"/>
  <c r="E517" i="3" l="1"/>
  <c r="E425" i="3"/>
  <c r="L30" i="46" l="1"/>
  <c r="G30" i="46" s="1"/>
  <c r="E538" i="3" l="1"/>
  <c r="E537" i="3"/>
  <c r="E552" i="3" l="1"/>
  <c r="E554" i="3" l="1"/>
  <c r="E532" i="3" l="1"/>
  <c r="E531" i="3"/>
  <c r="E306" i="3" l="1"/>
  <c r="E544" i="3" l="1"/>
  <c r="E546" i="3" l="1"/>
  <c r="D131" i="4" l="1"/>
  <c r="D132" i="4"/>
  <c r="D133" i="4"/>
  <c r="E342" i="3" l="1"/>
  <c r="E341" i="3"/>
  <c r="E329" i="3" l="1"/>
  <c r="E326" i="3" l="1"/>
  <c r="A194" i="18" l="1"/>
  <c r="E289" i="3" l="1"/>
  <c r="E524" i="3" l="1"/>
  <c r="E399" i="3" l="1"/>
  <c r="E393" i="3"/>
  <c r="E267" i="3" l="1"/>
  <c r="E817" i="3" l="1"/>
  <c r="A99" i="18" l="1"/>
  <c r="E807" i="3" l="1"/>
  <c r="E29" i="3"/>
  <c r="E350" i="3"/>
  <c r="E351" i="3"/>
  <c r="E352" i="3"/>
  <c r="A4" i="18"/>
  <c r="E43" i="3"/>
  <c r="E305" i="3"/>
  <c r="E307" i="3"/>
  <c r="E357" i="3"/>
  <c r="E356" i="3"/>
  <c r="E30" i="3"/>
  <c r="E27" i="3"/>
  <c r="E127" i="3"/>
  <c r="E337" i="3"/>
  <c r="E812" i="3"/>
  <c r="E811" i="3"/>
  <c r="E813" i="3"/>
  <c r="E814" i="3"/>
  <c r="E815" i="3"/>
  <c r="E816" i="3"/>
  <c r="E809" i="3"/>
  <c r="E810" i="3"/>
  <c r="E194" i="3"/>
  <c r="E31" i="3"/>
  <c r="E25" i="3"/>
  <c r="E28" i="3"/>
  <c r="E26" i="3"/>
  <c r="E24" i="3"/>
  <c r="E32" i="3"/>
  <c r="E268" i="3"/>
  <c r="E819" i="3"/>
  <c r="A128" i="4"/>
  <c r="E334" i="3"/>
  <c r="E525" i="3"/>
  <c r="E523" i="3"/>
  <c r="E522" i="3"/>
  <c r="E260" i="3"/>
  <c r="E261" i="3"/>
  <c r="E262" i="3"/>
  <c r="E269" i="3"/>
  <c r="E179" i="3"/>
  <c r="E360" i="3"/>
  <c r="E365" i="3"/>
  <c r="E364" i="3"/>
  <c r="E358" i="3"/>
  <c r="E359" i="3"/>
  <c r="E275" i="3"/>
  <c r="E668" i="3"/>
  <c r="E47" i="3"/>
  <c r="E48" i="3"/>
  <c r="E49" i="3"/>
  <c r="E518" i="3"/>
  <c r="E331" i="3"/>
  <c r="E330" i="3"/>
  <c r="E336" i="3"/>
  <c r="E335" i="3"/>
  <c r="E328" i="3"/>
  <c r="E327" i="3"/>
  <c r="E333" i="3"/>
  <c r="E332" i="3"/>
  <c r="E324" i="3"/>
  <c r="E322" i="3"/>
  <c r="E338" i="3"/>
  <c r="E339" i="3"/>
  <c r="E340" i="3"/>
  <c r="E604" i="3"/>
  <c r="E241" i="3"/>
  <c r="A194" i="4"/>
  <c r="A285" i="17"/>
  <c r="A406" i="17"/>
  <c r="E112" i="3"/>
  <c r="E191" i="3"/>
  <c r="E220" i="3"/>
  <c r="E217" i="3"/>
  <c r="E218" i="3"/>
  <c r="E219" i="3"/>
  <c r="E680" i="3"/>
  <c r="E808" i="3"/>
  <c r="E806" i="3"/>
  <c r="A73" i="4"/>
  <c r="E195" i="3"/>
  <c r="E203" i="3"/>
  <c r="E608" i="3"/>
  <c r="I4" i="20"/>
  <c r="F4" i="20"/>
  <c r="D4" i="20"/>
  <c r="E805" i="3"/>
  <c r="E476" i="3"/>
  <c r="E75" i="3"/>
  <c r="E76" i="3"/>
  <c r="E761" i="3"/>
  <c r="E36" i="3"/>
  <c r="E753" i="3"/>
  <c r="E758" i="3"/>
  <c r="E762" i="3"/>
  <c r="A419" i="18"/>
  <c r="D618" i="18"/>
  <c r="C618" i="18"/>
  <c r="E266" i="3"/>
  <c r="E265" i="3"/>
  <c r="E264" i="3"/>
  <c r="E263" i="3"/>
  <c r="E224" i="3"/>
  <c r="E183" i="3"/>
  <c r="E182" i="3"/>
  <c r="E180" i="3"/>
  <c r="E759" i="3"/>
  <c r="E247" i="3"/>
  <c r="E249" i="3"/>
  <c r="E243" i="3"/>
  <c r="E244" i="3"/>
  <c r="E732" i="3"/>
  <c r="E734" i="3"/>
  <c r="A4" i="4"/>
  <c r="H5" i="4"/>
  <c r="F3" i="20" s="1"/>
  <c r="E23" i="46" s="1"/>
  <c r="H6" i="17"/>
  <c r="F9" i="20" s="1"/>
  <c r="E28" i="46" s="1"/>
  <c r="H6" i="18"/>
  <c r="F10" i="20" s="1"/>
  <c r="E29" i="46" s="1"/>
  <c r="E85" i="3"/>
  <c r="E58" i="3"/>
  <c r="E272" i="3"/>
  <c r="E271" i="3"/>
  <c r="E39" i="3"/>
  <c r="E274" i="3"/>
  <c r="E273" i="3"/>
  <c r="D135" i="18"/>
  <c r="D136" i="18"/>
  <c r="E66" i="3"/>
  <c r="E216" i="3"/>
  <c r="E213" i="3"/>
  <c r="E214" i="3"/>
  <c r="E215" i="3"/>
  <c r="E233" i="3"/>
  <c r="E234" i="3"/>
  <c r="E44" i="3"/>
  <c r="E210" i="3"/>
  <c r="E209" i="3"/>
  <c r="E212" i="3"/>
  <c r="E211" i="3"/>
  <c r="E206" i="3"/>
  <c r="E205" i="3"/>
  <c r="E208" i="3"/>
  <c r="E207" i="3"/>
  <c r="E804" i="3"/>
  <c r="E62" i="3"/>
  <c r="E61" i="3"/>
  <c r="E60" i="3"/>
  <c r="C2" i="18"/>
  <c r="E178" i="3"/>
  <c r="E171" i="3"/>
  <c r="E170" i="3"/>
  <c r="E177" i="3"/>
  <c r="E176" i="3"/>
  <c r="E245" i="3"/>
  <c r="E246" i="3"/>
  <c r="E251" i="3"/>
  <c r="E250" i="3"/>
  <c r="E45" i="3"/>
  <c r="E239" i="3"/>
  <c r="E803" i="3"/>
  <c r="E801" i="3"/>
  <c r="E754" i="3"/>
  <c r="E185" i="3"/>
  <c r="E802" i="3"/>
  <c r="E196" i="3"/>
  <c r="E87" i="3"/>
  <c r="E259" i="3"/>
  <c r="E258" i="3"/>
  <c r="E257" i="3"/>
  <c r="E256" i="3"/>
  <c r="E800" i="3"/>
  <c r="E22" i="3"/>
  <c r="E114" i="3"/>
  <c r="E612" i="3"/>
  <c r="E23" i="3"/>
  <c r="E714" i="3"/>
  <c r="E20" i="3"/>
  <c r="E286" i="3"/>
  <c r="E190" i="3"/>
  <c r="E189" i="3"/>
  <c r="E197" i="3"/>
  <c r="E238" i="3"/>
  <c r="E235" i="3"/>
  <c r="E236" i="3"/>
  <c r="E237" i="3"/>
  <c r="E86" i="3"/>
  <c r="E89" i="3"/>
  <c r="E750" i="3"/>
  <c r="E204" i="3"/>
  <c r="E749" i="3"/>
  <c r="E757" i="3"/>
  <c r="E752" i="3"/>
  <c r="E458" i="3"/>
  <c r="E255" i="3"/>
  <c r="E200" i="3"/>
  <c r="E202" i="3"/>
  <c r="E201" i="3"/>
  <c r="E41" i="3"/>
  <c r="E88" i="3"/>
  <c r="E175" i="3"/>
  <c r="E174" i="3"/>
  <c r="E46" i="3"/>
  <c r="E173" i="3"/>
  <c r="E172" i="3"/>
  <c r="E65" i="3"/>
  <c r="E81" i="3"/>
  <c r="E248" i="3"/>
  <c r="E242" i="3"/>
  <c r="E521" i="3"/>
  <c r="E57" i="3"/>
  <c r="E42" i="3"/>
  <c r="E56" i="3"/>
  <c r="E225" i="3"/>
  <c r="E59" i="3"/>
  <c r="E19" i="3"/>
  <c r="E18" i="3"/>
  <c r="E735" i="3"/>
  <c r="I15" i="29"/>
  <c r="I14" i="29"/>
  <c r="D3" i="18"/>
  <c r="D4" i="18"/>
  <c r="D5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4" i="18"/>
  <c r="D95" i="18"/>
  <c r="D96" i="18"/>
  <c r="D97" i="18"/>
  <c r="D98" i="18"/>
  <c r="D99" i="18"/>
  <c r="D100" i="18"/>
  <c r="D101" i="18"/>
  <c r="D102" i="18"/>
  <c r="D103" i="18"/>
  <c r="D104" i="18"/>
  <c r="D105" i="18"/>
  <c r="D106" i="18"/>
  <c r="D107" i="18"/>
  <c r="D108" i="18"/>
  <c r="D109" i="18"/>
  <c r="D110" i="18"/>
  <c r="D111" i="18"/>
  <c r="D112" i="18"/>
  <c r="D113" i="18"/>
  <c r="D114" i="18"/>
  <c r="D115" i="18"/>
  <c r="D116" i="18"/>
  <c r="D117" i="18"/>
  <c r="D118" i="18"/>
  <c r="D119" i="18"/>
  <c r="D120" i="18"/>
  <c r="D121" i="18"/>
  <c r="D122" i="18"/>
  <c r="D123" i="18"/>
  <c r="D124" i="18"/>
  <c r="D125" i="18"/>
  <c r="D126" i="18"/>
  <c r="D127" i="18"/>
  <c r="D128" i="18"/>
  <c r="D129" i="18"/>
  <c r="D130" i="18"/>
  <c r="D131" i="18"/>
  <c r="D132" i="18"/>
  <c r="D133" i="18"/>
  <c r="D134" i="18"/>
  <c r="D137" i="18"/>
  <c r="D138" i="18"/>
  <c r="D139" i="18"/>
  <c r="D140" i="18"/>
  <c r="D141" i="18"/>
  <c r="D142" i="18"/>
  <c r="D143" i="18"/>
  <c r="D144" i="18"/>
  <c r="D145" i="18"/>
  <c r="D146" i="18"/>
  <c r="D147" i="18"/>
  <c r="D148" i="18"/>
  <c r="D149" i="18"/>
  <c r="D150" i="18"/>
  <c r="D151" i="18"/>
  <c r="D152" i="18"/>
  <c r="D153" i="18"/>
  <c r="D154" i="18"/>
  <c r="D155" i="18"/>
  <c r="D156" i="18"/>
  <c r="D157" i="18"/>
  <c r="D158" i="18"/>
  <c r="D159" i="18"/>
  <c r="D160" i="18"/>
  <c r="D161" i="18"/>
  <c r="D162" i="18"/>
  <c r="D163" i="18"/>
  <c r="D164" i="18"/>
  <c r="D165" i="18"/>
  <c r="D166" i="18"/>
  <c r="D167" i="18"/>
  <c r="D168" i="18"/>
  <c r="D169" i="18"/>
  <c r="D170" i="18"/>
  <c r="D171" i="18"/>
  <c r="D172" i="18"/>
  <c r="D173" i="18"/>
  <c r="D174" i="18"/>
  <c r="D175" i="18"/>
  <c r="D176" i="18"/>
  <c r="D177" i="18"/>
  <c r="D178" i="18"/>
  <c r="D179" i="18"/>
  <c r="D180" i="18"/>
  <c r="D181" i="18"/>
  <c r="D182" i="18"/>
  <c r="D183" i="18"/>
  <c r="D184" i="18"/>
  <c r="D185" i="18"/>
  <c r="D186" i="18"/>
  <c r="D187" i="18"/>
  <c r="D188" i="18"/>
  <c r="D189" i="18"/>
  <c r="D190" i="18"/>
  <c r="D191" i="18"/>
  <c r="D192" i="18"/>
  <c r="D193" i="18"/>
  <c r="D194" i="18"/>
  <c r="D195" i="18"/>
  <c r="D196" i="18"/>
  <c r="D197" i="18"/>
  <c r="D198" i="18"/>
  <c r="D199" i="18"/>
  <c r="D200" i="18"/>
  <c r="D201" i="18"/>
  <c r="D202" i="18"/>
  <c r="D203" i="18"/>
  <c r="D204" i="18"/>
  <c r="D205" i="18"/>
  <c r="D206" i="18"/>
  <c r="D207" i="18"/>
  <c r="D208" i="18"/>
  <c r="D209" i="18"/>
  <c r="D210" i="18"/>
  <c r="D211" i="18"/>
  <c r="D212" i="18"/>
  <c r="D213" i="18"/>
  <c r="D214" i="18"/>
  <c r="D215" i="18"/>
  <c r="D216" i="18"/>
  <c r="D217" i="18"/>
  <c r="D218" i="18"/>
  <c r="D219" i="18"/>
  <c r="D220" i="18"/>
  <c r="D221" i="18"/>
  <c r="D222" i="18"/>
  <c r="D223" i="18"/>
  <c r="D224" i="18"/>
  <c r="D225" i="18"/>
  <c r="D226" i="18"/>
  <c r="D227" i="18"/>
  <c r="D228" i="18"/>
  <c r="D229" i="18"/>
  <c r="D230" i="18"/>
  <c r="D231" i="18"/>
  <c r="D232" i="18"/>
  <c r="D233" i="18"/>
  <c r="D234" i="18"/>
  <c r="D235" i="18"/>
  <c r="D236" i="18"/>
  <c r="D237" i="18"/>
  <c r="D238" i="18"/>
  <c r="D239" i="18"/>
  <c r="D240" i="18"/>
  <c r="D241" i="18"/>
  <c r="D242" i="18"/>
  <c r="D243" i="18"/>
  <c r="D244" i="18"/>
  <c r="D245" i="18"/>
  <c r="D246" i="18"/>
  <c r="D247" i="18"/>
  <c r="D248" i="18"/>
  <c r="D249" i="18"/>
  <c r="D250" i="18"/>
  <c r="D251" i="18"/>
  <c r="D252" i="18"/>
  <c r="D253" i="18"/>
  <c r="D254" i="18"/>
  <c r="D255" i="18"/>
  <c r="D256" i="18"/>
  <c r="D257" i="18"/>
  <c r="D258" i="18"/>
  <c r="D259" i="18"/>
  <c r="D260" i="18"/>
  <c r="D261" i="18"/>
  <c r="D262" i="18"/>
  <c r="D263" i="18"/>
  <c r="D264" i="18"/>
  <c r="D265" i="18"/>
  <c r="D266" i="18"/>
  <c r="D267" i="18"/>
  <c r="D268" i="18"/>
  <c r="D269" i="18"/>
  <c r="D270" i="18"/>
  <c r="D271" i="18"/>
  <c r="D272" i="18"/>
  <c r="D273" i="18"/>
  <c r="D274" i="18"/>
  <c r="D275" i="18"/>
  <c r="D276" i="18"/>
  <c r="D277" i="18"/>
  <c r="D278" i="18"/>
  <c r="D279" i="18"/>
  <c r="D280" i="18"/>
  <c r="D281" i="18"/>
  <c r="D282" i="18"/>
  <c r="D283" i="18"/>
  <c r="D284" i="18"/>
  <c r="D285" i="18"/>
  <c r="D286" i="18"/>
  <c r="D287" i="18"/>
  <c r="D288" i="18"/>
  <c r="D289" i="18"/>
  <c r="D290" i="18"/>
  <c r="D291" i="18"/>
  <c r="D292" i="18"/>
  <c r="D293" i="18"/>
  <c r="D294" i="18"/>
  <c r="D295" i="18"/>
  <c r="D296" i="18"/>
  <c r="D297" i="18"/>
  <c r="D298" i="18"/>
  <c r="D299" i="18"/>
  <c r="D300" i="18"/>
  <c r="D301" i="18"/>
  <c r="D302" i="18"/>
  <c r="D303" i="18"/>
  <c r="D304" i="18"/>
  <c r="D305" i="18"/>
  <c r="D306" i="18"/>
  <c r="D307" i="18"/>
  <c r="D308" i="18"/>
  <c r="D309" i="18"/>
  <c r="D310" i="18"/>
  <c r="D311" i="18"/>
  <c r="D312" i="18"/>
  <c r="D313" i="18"/>
  <c r="D314" i="18"/>
  <c r="D315" i="18"/>
  <c r="D316" i="18"/>
  <c r="D317" i="18"/>
  <c r="D318" i="18"/>
  <c r="D319" i="18"/>
  <c r="D320" i="18"/>
  <c r="D321" i="18"/>
  <c r="D322" i="18"/>
  <c r="D323" i="18"/>
  <c r="D324" i="18"/>
  <c r="D325" i="18"/>
  <c r="D326" i="18"/>
  <c r="D327" i="18"/>
  <c r="D328" i="18"/>
  <c r="D329" i="18"/>
  <c r="D330" i="18"/>
  <c r="D331" i="18"/>
  <c r="D332" i="18"/>
  <c r="D333" i="18"/>
  <c r="D334" i="18"/>
  <c r="D335" i="18"/>
  <c r="D336" i="18"/>
  <c r="D337" i="18"/>
  <c r="D338" i="18"/>
  <c r="D339" i="18"/>
  <c r="D340" i="18"/>
  <c r="D341" i="18"/>
  <c r="D342" i="18"/>
  <c r="D343" i="18"/>
  <c r="D344" i="18"/>
  <c r="D345" i="18"/>
  <c r="D346" i="18"/>
  <c r="D347" i="18"/>
  <c r="D348" i="18"/>
  <c r="D349" i="18"/>
  <c r="D350" i="18"/>
  <c r="D351" i="18"/>
  <c r="D352" i="18"/>
  <c r="D353" i="18"/>
  <c r="D354" i="18"/>
  <c r="D355" i="18"/>
  <c r="D356" i="18"/>
  <c r="D357" i="18"/>
  <c r="D358" i="18"/>
  <c r="D359" i="18"/>
  <c r="D360" i="18"/>
  <c r="D361" i="18"/>
  <c r="D362" i="18"/>
  <c r="D363" i="18"/>
  <c r="D364" i="18"/>
  <c r="D365" i="18"/>
  <c r="D366" i="18"/>
  <c r="D367" i="18"/>
  <c r="D368" i="18"/>
  <c r="D369" i="18"/>
  <c r="D370" i="18"/>
  <c r="D371" i="18"/>
  <c r="D372" i="18"/>
  <c r="D373" i="18"/>
  <c r="D374" i="18"/>
  <c r="D375" i="18"/>
  <c r="D376" i="18"/>
  <c r="D377" i="18"/>
  <c r="D378" i="18"/>
  <c r="D379" i="18"/>
  <c r="D380" i="18"/>
  <c r="D381" i="18"/>
  <c r="D382" i="18"/>
  <c r="D383" i="18"/>
  <c r="D384" i="18"/>
  <c r="D385" i="18"/>
  <c r="D386" i="18"/>
  <c r="D387" i="18"/>
  <c r="D388" i="18"/>
  <c r="D389" i="18"/>
  <c r="D390" i="18"/>
  <c r="D391" i="18"/>
  <c r="D392" i="18"/>
  <c r="D393" i="18"/>
  <c r="D394" i="18"/>
  <c r="D395" i="18"/>
  <c r="D396" i="18"/>
  <c r="D397" i="18"/>
  <c r="D398" i="18"/>
  <c r="D399" i="18"/>
  <c r="D400" i="18"/>
  <c r="D401" i="18"/>
  <c r="D402" i="18"/>
  <c r="D403" i="18"/>
  <c r="D404" i="18"/>
  <c r="D405" i="18"/>
  <c r="D406" i="18"/>
  <c r="D407" i="18"/>
  <c r="D408" i="18"/>
  <c r="D409" i="18"/>
  <c r="D410" i="18"/>
  <c r="D411" i="18"/>
  <c r="D412" i="18"/>
  <c r="D413" i="18"/>
  <c r="D414" i="18"/>
  <c r="D415" i="18"/>
  <c r="D416" i="18"/>
  <c r="D417" i="18"/>
  <c r="D418" i="18"/>
  <c r="D419" i="18"/>
  <c r="D420" i="18"/>
  <c r="D421" i="18"/>
  <c r="D422" i="18"/>
  <c r="D423" i="18"/>
  <c r="D424" i="18"/>
  <c r="D425" i="18"/>
  <c r="D426" i="18"/>
  <c r="D427" i="18"/>
  <c r="D428" i="18"/>
  <c r="D429" i="18"/>
  <c r="D430" i="18"/>
  <c r="D431" i="18"/>
  <c r="D432" i="18"/>
  <c r="D433" i="18"/>
  <c r="D434" i="18"/>
  <c r="D435" i="18"/>
  <c r="D436" i="18"/>
  <c r="D437" i="18"/>
  <c r="D438" i="18"/>
  <c r="D439" i="18"/>
  <c r="D440" i="18"/>
  <c r="D441" i="18"/>
  <c r="D442" i="18"/>
  <c r="D443" i="18"/>
  <c r="D444" i="18"/>
  <c r="D445" i="18"/>
  <c r="D446" i="18"/>
  <c r="D447" i="18"/>
  <c r="D448" i="18"/>
  <c r="D449" i="18"/>
  <c r="D450" i="18"/>
  <c r="D451" i="18"/>
  <c r="D452" i="18"/>
  <c r="D453" i="18"/>
  <c r="D454" i="18"/>
  <c r="D455" i="18"/>
  <c r="D456" i="18"/>
  <c r="D457" i="18"/>
  <c r="D458" i="18"/>
  <c r="D459" i="18"/>
  <c r="D460" i="18"/>
  <c r="D461" i="18"/>
  <c r="D462" i="18"/>
  <c r="D463" i="18"/>
  <c r="D464" i="18"/>
  <c r="D465" i="18"/>
  <c r="D466" i="18"/>
  <c r="D467" i="18"/>
  <c r="D468" i="18"/>
  <c r="D469" i="18"/>
  <c r="D470" i="18"/>
  <c r="D471" i="18"/>
  <c r="D472" i="18"/>
  <c r="D473" i="18"/>
  <c r="D474" i="18"/>
  <c r="D475" i="18"/>
  <c r="D476" i="18"/>
  <c r="D477" i="18"/>
  <c r="D478" i="18"/>
  <c r="D479" i="18"/>
  <c r="D480" i="18"/>
  <c r="D481" i="18"/>
  <c r="D482" i="18"/>
  <c r="D483" i="18"/>
  <c r="D484" i="18"/>
  <c r="D485" i="18"/>
  <c r="D486" i="18"/>
  <c r="D487" i="18"/>
  <c r="D488" i="18"/>
  <c r="D489" i="18"/>
  <c r="D490" i="18"/>
  <c r="D491" i="18"/>
  <c r="D492" i="18"/>
  <c r="D493" i="18"/>
  <c r="D494" i="18"/>
  <c r="D495" i="18"/>
  <c r="D496" i="18"/>
  <c r="D497" i="18"/>
  <c r="D498" i="18"/>
  <c r="D499" i="18"/>
  <c r="D500" i="18"/>
  <c r="D501" i="18"/>
  <c r="D502" i="18"/>
  <c r="D503" i="18"/>
  <c r="D504" i="18"/>
  <c r="D505" i="18"/>
  <c r="D506" i="18"/>
  <c r="D507" i="18"/>
  <c r="D508" i="18"/>
  <c r="D509" i="18"/>
  <c r="D510" i="18"/>
  <c r="D511" i="18"/>
  <c r="D512" i="18"/>
  <c r="D513" i="18"/>
  <c r="D514" i="18"/>
  <c r="D515" i="18"/>
  <c r="D516" i="18"/>
  <c r="D517" i="18"/>
  <c r="D518" i="18"/>
  <c r="D519" i="18"/>
  <c r="D520" i="18"/>
  <c r="D521" i="18"/>
  <c r="D522" i="18"/>
  <c r="D523" i="18"/>
  <c r="D524" i="18"/>
  <c r="D525" i="18"/>
  <c r="D526" i="18"/>
  <c r="D527" i="18"/>
  <c r="D528" i="18"/>
  <c r="D529" i="18"/>
  <c r="D530" i="18"/>
  <c r="D531" i="18"/>
  <c r="D532" i="18"/>
  <c r="D533" i="18"/>
  <c r="D534" i="18"/>
  <c r="D535" i="18"/>
  <c r="D536" i="18"/>
  <c r="D537" i="18"/>
  <c r="D538" i="18"/>
  <c r="D539" i="18"/>
  <c r="D540" i="18"/>
  <c r="D541" i="18"/>
  <c r="D542" i="18"/>
  <c r="D543" i="18"/>
  <c r="D544" i="18"/>
  <c r="D545" i="18"/>
  <c r="D546" i="18"/>
  <c r="D547" i="18"/>
  <c r="D548" i="18"/>
  <c r="D549" i="18"/>
  <c r="D550" i="18"/>
  <c r="D551" i="18"/>
  <c r="D552" i="18"/>
  <c r="D553" i="18"/>
  <c r="D554" i="18"/>
  <c r="D555" i="18"/>
  <c r="D556" i="18"/>
  <c r="D557" i="18"/>
  <c r="D558" i="18"/>
  <c r="D559" i="18"/>
  <c r="D560" i="18"/>
  <c r="D561" i="18"/>
  <c r="D562" i="18"/>
  <c r="D563" i="18"/>
  <c r="D564" i="18"/>
  <c r="D565" i="18"/>
  <c r="D566" i="18"/>
  <c r="D567" i="18"/>
  <c r="D568" i="18"/>
  <c r="D569" i="18"/>
  <c r="D570" i="18"/>
  <c r="D571" i="18"/>
  <c r="D572" i="18"/>
  <c r="D573" i="18"/>
  <c r="D574" i="18"/>
  <c r="D575" i="18"/>
  <c r="D576" i="18"/>
  <c r="D577" i="18"/>
  <c r="D578" i="18"/>
  <c r="D579" i="18"/>
  <c r="D580" i="18"/>
  <c r="D581" i="18"/>
  <c r="D582" i="18"/>
  <c r="D583" i="18"/>
  <c r="D584" i="18"/>
  <c r="D585" i="18"/>
  <c r="D586" i="18"/>
  <c r="D587" i="18"/>
  <c r="D588" i="18"/>
  <c r="D589" i="18"/>
  <c r="D590" i="18"/>
  <c r="D591" i="18"/>
  <c r="D592" i="18"/>
  <c r="D593" i="18"/>
  <c r="D594" i="18"/>
  <c r="D595" i="18"/>
  <c r="D596" i="18"/>
  <c r="D597" i="18"/>
  <c r="D598" i="18"/>
  <c r="D599" i="18"/>
  <c r="D600" i="18"/>
  <c r="D601" i="18"/>
  <c r="D602" i="18"/>
  <c r="D603" i="18"/>
  <c r="D604" i="18"/>
  <c r="D605" i="18"/>
  <c r="D606" i="18"/>
  <c r="D607" i="18"/>
  <c r="D608" i="18"/>
  <c r="D609" i="18"/>
  <c r="D610" i="18"/>
  <c r="D611" i="18"/>
  <c r="D612" i="18"/>
  <c r="D613" i="18"/>
  <c r="D614" i="18"/>
  <c r="D615" i="18"/>
  <c r="D616" i="18"/>
  <c r="D617" i="18"/>
  <c r="D619" i="18"/>
  <c r="D620" i="18"/>
  <c r="D621" i="18"/>
  <c r="D622" i="18"/>
  <c r="D623" i="18"/>
  <c r="D624" i="18"/>
  <c r="D625" i="18"/>
  <c r="D626" i="18"/>
  <c r="D627" i="18"/>
  <c r="D628" i="18"/>
  <c r="D629" i="18"/>
  <c r="D630" i="18"/>
  <c r="D631" i="18"/>
  <c r="D632" i="18"/>
  <c r="D633" i="18"/>
  <c r="D634" i="18"/>
  <c r="D635" i="18"/>
  <c r="D636" i="18"/>
  <c r="D637" i="18"/>
  <c r="D638" i="18"/>
  <c r="D639" i="18"/>
  <c r="D640" i="18"/>
  <c r="D641" i="18"/>
  <c r="D642" i="18"/>
  <c r="D643" i="18"/>
  <c r="D644" i="18"/>
  <c r="D645" i="18"/>
  <c r="D646" i="18"/>
  <c r="D647" i="18"/>
  <c r="D648" i="18"/>
  <c r="D649" i="18"/>
  <c r="D650" i="18"/>
  <c r="D651" i="18"/>
  <c r="D652" i="18"/>
  <c r="D653" i="18"/>
  <c r="D654" i="18"/>
  <c r="D655" i="18"/>
  <c r="D656" i="18"/>
  <c r="D657" i="18"/>
  <c r="D658" i="18"/>
  <c r="D659" i="18"/>
  <c r="D660" i="18"/>
  <c r="D661" i="18"/>
  <c r="D662" i="18"/>
  <c r="D663" i="18"/>
  <c r="D664" i="18"/>
  <c r="D665" i="18"/>
  <c r="D666" i="18"/>
  <c r="D667" i="18"/>
  <c r="D668" i="18"/>
  <c r="D669" i="18"/>
  <c r="D670" i="18"/>
  <c r="D671" i="18"/>
  <c r="D672" i="18"/>
  <c r="D673" i="18"/>
  <c r="D674" i="18"/>
  <c r="D675" i="18"/>
  <c r="D676" i="18"/>
  <c r="D677" i="18"/>
  <c r="D678" i="18"/>
  <c r="D679" i="18"/>
  <c r="D680" i="18"/>
  <c r="D681" i="18"/>
  <c r="D682" i="18"/>
  <c r="D683" i="18"/>
  <c r="D684" i="18"/>
  <c r="D685" i="18"/>
  <c r="D686" i="18"/>
  <c r="D687" i="18"/>
  <c r="D688" i="18"/>
  <c r="D689" i="18"/>
  <c r="D690" i="18"/>
  <c r="D691" i="18"/>
  <c r="D692" i="18"/>
  <c r="D693" i="18"/>
  <c r="D694" i="18"/>
  <c r="D695" i="18"/>
  <c r="D696" i="18"/>
  <c r="D697" i="18"/>
  <c r="D698" i="18"/>
  <c r="D699" i="18"/>
  <c r="D700" i="18"/>
  <c r="D701" i="18"/>
  <c r="D702" i="18"/>
  <c r="D703" i="18"/>
  <c r="D704" i="18"/>
  <c r="D705" i="18"/>
  <c r="D706" i="18"/>
  <c r="D707" i="18"/>
  <c r="D708" i="18"/>
  <c r="D709" i="18"/>
  <c r="D710" i="18"/>
  <c r="D711" i="18"/>
  <c r="D712" i="18"/>
  <c r="D713" i="18"/>
  <c r="D714" i="18"/>
  <c r="D715" i="18"/>
  <c r="D716" i="18"/>
  <c r="D717" i="18"/>
  <c r="D718" i="18"/>
  <c r="D719" i="18"/>
  <c r="D720" i="18"/>
  <c r="D721" i="18"/>
  <c r="D722" i="18"/>
  <c r="D723" i="18"/>
  <c r="D724" i="18"/>
  <c r="D725" i="18"/>
  <c r="D726" i="18"/>
  <c r="D727" i="18"/>
  <c r="D728" i="18"/>
  <c r="D729" i="18"/>
  <c r="D731" i="17"/>
  <c r="D732" i="17"/>
  <c r="D733" i="17"/>
  <c r="D734" i="17"/>
  <c r="E221" i="3"/>
  <c r="E37" i="3"/>
  <c r="E252" i="3"/>
  <c r="E254" i="3"/>
  <c r="E253" i="3"/>
  <c r="C151" i="3"/>
  <c r="I13" i="29"/>
  <c r="I9" i="29"/>
  <c r="D3" i="4"/>
  <c r="D4" i="4"/>
  <c r="D5" i="4"/>
  <c r="D6" i="4"/>
  <c r="D7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4" i="4"/>
  <c r="D135" i="4"/>
  <c r="D136" i="4"/>
  <c r="D137" i="4"/>
  <c r="D138" i="4"/>
  <c r="D139" i="4"/>
  <c r="D140" i="4"/>
  <c r="D141" i="4"/>
  <c r="D167" i="4"/>
  <c r="D168" i="4"/>
  <c r="D169" i="4"/>
  <c r="D170" i="4"/>
  <c r="D171" i="4"/>
  <c r="D172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M11" i="20"/>
  <c r="H11" i="20" s="1"/>
  <c r="I8" i="29"/>
  <c r="I7" i="29"/>
  <c r="I17" i="29"/>
  <c r="I4" i="29"/>
  <c r="I5" i="29"/>
  <c r="I6" i="29"/>
  <c r="I4" i="46" s="1"/>
  <c r="I10" i="29"/>
  <c r="I11" i="29"/>
  <c r="I12" i="29"/>
  <c r="I16" i="29"/>
  <c r="I18" i="29"/>
  <c r="I19" i="29"/>
  <c r="H4" i="4"/>
  <c r="D3" i="20" s="1"/>
  <c r="C23" i="46" s="1"/>
  <c r="I3" i="20"/>
  <c r="H23" i="46" s="1"/>
  <c r="I10" i="20"/>
  <c r="H29" i="46" s="1"/>
  <c r="H5" i="18"/>
  <c r="D10" i="20" s="1"/>
  <c r="C29" i="46" s="1"/>
  <c r="I9" i="20"/>
  <c r="H28" i="46" s="1"/>
  <c r="H5" i="17"/>
  <c r="D9" i="20" s="1"/>
  <c r="C28" i="46" s="1"/>
  <c r="E103" i="3"/>
  <c r="E371" i="3"/>
  <c r="E662" i="3"/>
  <c r="E80" i="3"/>
  <c r="E118" i="3"/>
  <c r="E117" i="3"/>
  <c r="E64" i="3"/>
  <c r="E104" i="3"/>
  <c r="E83" i="3"/>
  <c r="E109" i="3"/>
  <c r="E121" i="3"/>
  <c r="E116" i="3"/>
  <c r="E35" i="3"/>
  <c r="E164" i="3"/>
  <c r="E163" i="3"/>
  <c r="E162" i="3"/>
  <c r="E95" i="3"/>
  <c r="E94" i="3"/>
  <c r="E96" i="3"/>
  <c r="E97" i="3"/>
  <c r="E192" i="3"/>
  <c r="E193" i="3"/>
  <c r="E82" i="3"/>
  <c r="E74" i="3"/>
  <c r="E165" i="3"/>
  <c r="E188" i="3"/>
  <c r="E187" i="3"/>
  <c r="E439" i="3"/>
  <c r="E296" i="3"/>
  <c r="E79" i="3"/>
  <c r="E84" i="3"/>
  <c r="E168" i="3"/>
  <c r="E166" i="3"/>
  <c r="E167" i="3"/>
  <c r="E151" i="3"/>
  <c r="E718" i="3"/>
  <c r="E132" i="3"/>
  <c r="E133" i="3"/>
  <c r="E135" i="3"/>
  <c r="E134" i="3"/>
  <c r="E105" i="3"/>
  <c r="E222" i="3"/>
  <c r="E199" i="3"/>
  <c r="E159" i="3"/>
  <c r="E38" i="3"/>
  <c r="E697" i="3"/>
  <c r="E692" i="3"/>
  <c r="E98" i="3"/>
  <c r="E93" i="3"/>
  <c r="E226" i="3"/>
  <c r="E227" i="3"/>
  <c r="E223" i="3"/>
  <c r="E720" i="3"/>
  <c r="E198" i="3"/>
  <c r="E724" i="3"/>
  <c r="E719" i="3"/>
  <c r="A460" i="17"/>
  <c r="E144" i="3"/>
  <c r="E736" i="3"/>
  <c r="E131" i="3"/>
  <c r="E679" i="3"/>
  <c r="E129" i="3"/>
  <c r="E130" i="3"/>
  <c r="E711" i="3"/>
  <c r="E686" i="3"/>
  <c r="C119" i="4"/>
  <c r="E715" i="3"/>
  <c r="E685" i="3"/>
  <c r="E78" i="3"/>
  <c r="E721" i="3"/>
  <c r="E136" i="3"/>
  <c r="E77" i="3"/>
  <c r="E795" i="3"/>
  <c r="E420" i="3"/>
  <c r="E113" i="3"/>
  <c r="E128" i="3"/>
  <c r="E621" i="3"/>
  <c r="E618" i="3"/>
  <c r="E728" i="3"/>
  <c r="E73" i="3"/>
  <c r="E699" i="3"/>
  <c r="E92" i="3"/>
  <c r="E483" i="3"/>
  <c r="E796" i="3"/>
  <c r="E797" i="3"/>
  <c r="E90" i="3"/>
  <c r="E91" i="3"/>
  <c r="E799" i="3"/>
  <c r="E68" i="3"/>
  <c r="E661" i="3"/>
  <c r="E316" i="3"/>
  <c r="E315" i="3"/>
  <c r="E519" i="3"/>
  <c r="E520" i="3"/>
  <c r="E124" i="3"/>
  <c r="E798" i="3"/>
  <c r="E123" i="3"/>
  <c r="E125" i="3"/>
  <c r="E126" i="3"/>
  <c r="E723" i="3"/>
  <c r="E712" i="3"/>
  <c r="E713" i="3"/>
  <c r="E716" i="3"/>
  <c r="E727" i="3"/>
  <c r="E722" i="3"/>
  <c r="E717" i="3"/>
  <c r="E683" i="3"/>
  <c r="E693" i="3"/>
  <c r="E694" i="3"/>
  <c r="E616" i="3"/>
  <c r="E794" i="3"/>
  <c r="E670" i="3"/>
  <c r="E317" i="3"/>
  <c r="E318" i="3"/>
  <c r="E477" i="3"/>
  <c r="E654" i="3"/>
  <c r="E726" i="3"/>
  <c r="E386" i="3"/>
  <c r="E111" i="3"/>
  <c r="E120" i="3"/>
  <c r="E681" i="3"/>
  <c r="E737" i="3"/>
  <c r="E669" i="3"/>
  <c r="E698" i="3"/>
  <c r="E688" i="3"/>
  <c r="E665" i="3"/>
  <c r="E145" i="3"/>
  <c r="E160" i="3"/>
  <c r="E138" i="3"/>
  <c r="E648" i="3"/>
  <c r="E139" i="3"/>
  <c r="E149" i="3"/>
  <c r="E142" i="3"/>
  <c r="E148" i="3"/>
  <c r="E599" i="3"/>
  <c r="E102" i="3"/>
  <c r="E107" i="3"/>
  <c r="E141" i="3"/>
  <c r="E690" i="3"/>
  <c r="E122" i="3"/>
  <c r="E119" i="3"/>
  <c r="E108" i="3"/>
  <c r="E456" i="3"/>
  <c r="E457" i="3"/>
  <c r="E459" i="3"/>
  <c r="E623" i="3"/>
  <c r="E110" i="3"/>
  <c r="E682" i="3"/>
  <c r="E678" i="3"/>
  <c r="E684" i="3"/>
  <c r="F2" i="38"/>
  <c r="F127" i="38"/>
  <c r="C127" i="38"/>
  <c r="F126" i="38"/>
  <c r="C126" i="38"/>
  <c r="F125" i="38"/>
  <c r="C125" i="38"/>
  <c r="F124" i="38"/>
  <c r="C124" i="38"/>
  <c r="F123" i="38"/>
  <c r="C123" i="38"/>
  <c r="F122" i="38"/>
  <c r="C122" i="38"/>
  <c r="F121" i="38"/>
  <c r="C121" i="38"/>
  <c r="F120" i="38"/>
  <c r="C120" i="38"/>
  <c r="F119" i="38"/>
  <c r="C119" i="38"/>
  <c r="F118" i="38"/>
  <c r="C118" i="38"/>
  <c r="F117" i="38"/>
  <c r="C117" i="38"/>
  <c r="F116" i="38"/>
  <c r="C116" i="38"/>
  <c r="F115" i="38"/>
  <c r="C115" i="38"/>
  <c r="F114" i="38"/>
  <c r="C114" i="38"/>
  <c r="F113" i="38"/>
  <c r="C113" i="38"/>
  <c r="F112" i="38"/>
  <c r="C112" i="38"/>
  <c r="F111" i="38"/>
  <c r="C111" i="38"/>
  <c r="F110" i="38"/>
  <c r="C110" i="38"/>
  <c r="F109" i="38"/>
  <c r="C109" i="38"/>
  <c r="F108" i="38"/>
  <c r="C108" i="38"/>
  <c r="H106" i="38"/>
  <c r="F107" i="38"/>
  <c r="C107" i="38"/>
  <c r="H105" i="38"/>
  <c r="F106" i="38"/>
  <c r="C106" i="38"/>
  <c r="H104" i="38"/>
  <c r="F105" i="38"/>
  <c r="C105" i="38"/>
  <c r="H103" i="38"/>
  <c r="F104" i="38"/>
  <c r="C104" i="38"/>
  <c r="F103" i="38"/>
  <c r="C103" i="38"/>
  <c r="F102" i="38"/>
  <c r="C102" i="38"/>
  <c r="F101" i="38"/>
  <c r="C101" i="38"/>
  <c r="F100" i="38"/>
  <c r="C100" i="38"/>
  <c r="F99" i="38"/>
  <c r="C99" i="38"/>
  <c r="F98" i="38"/>
  <c r="C98" i="38"/>
  <c r="F97" i="38"/>
  <c r="C97" i="38"/>
  <c r="F96" i="38"/>
  <c r="C96" i="38"/>
  <c r="F95" i="38"/>
  <c r="C95" i="38"/>
  <c r="F94" i="38"/>
  <c r="C94" i="38"/>
  <c r="F93" i="38"/>
  <c r="C93" i="38"/>
  <c r="F92" i="38"/>
  <c r="C92" i="38"/>
  <c r="F91" i="38"/>
  <c r="C91" i="38"/>
  <c r="F90" i="38"/>
  <c r="C90" i="38"/>
  <c r="F89" i="38"/>
  <c r="C89" i="38"/>
  <c r="F88" i="38"/>
  <c r="C88" i="38"/>
  <c r="F87" i="38"/>
  <c r="C87" i="38"/>
  <c r="F86" i="38"/>
  <c r="C86" i="38"/>
  <c r="F85" i="38"/>
  <c r="C85" i="38"/>
  <c r="F84" i="38"/>
  <c r="C84" i="38"/>
  <c r="F83" i="38"/>
  <c r="C83" i="38"/>
  <c r="F82" i="38"/>
  <c r="C82" i="38"/>
  <c r="F81" i="38"/>
  <c r="C81" i="38"/>
  <c r="F80" i="38"/>
  <c r="C80" i="38"/>
  <c r="F79" i="38"/>
  <c r="C79" i="38"/>
  <c r="F78" i="38"/>
  <c r="C78" i="38"/>
  <c r="F77" i="38"/>
  <c r="C77" i="38"/>
  <c r="F76" i="38"/>
  <c r="C76" i="38"/>
  <c r="F75" i="38"/>
  <c r="C75" i="38"/>
  <c r="F74" i="38"/>
  <c r="C74" i="38"/>
  <c r="F73" i="38"/>
  <c r="C73" i="38"/>
  <c r="F72" i="38"/>
  <c r="C72" i="38"/>
  <c r="F71" i="38"/>
  <c r="C71" i="38"/>
  <c r="F70" i="38"/>
  <c r="C70" i="38"/>
  <c r="F69" i="38"/>
  <c r="C69" i="38"/>
  <c r="F68" i="38"/>
  <c r="C68" i="38"/>
  <c r="F67" i="38"/>
  <c r="C67" i="38"/>
  <c r="F66" i="38"/>
  <c r="C66" i="38"/>
  <c r="F65" i="38"/>
  <c r="C65" i="38"/>
  <c r="F64" i="38"/>
  <c r="C64" i="38"/>
  <c r="F63" i="38"/>
  <c r="C63" i="38"/>
  <c r="F62" i="38"/>
  <c r="C62" i="38"/>
  <c r="F61" i="38"/>
  <c r="C61" i="38"/>
  <c r="F60" i="38"/>
  <c r="C60" i="38"/>
  <c r="F59" i="38"/>
  <c r="C59" i="38"/>
  <c r="F58" i="38"/>
  <c r="C58" i="38"/>
  <c r="F57" i="38"/>
  <c r="C57" i="38"/>
  <c r="F56" i="38"/>
  <c r="C56" i="38"/>
  <c r="F55" i="38"/>
  <c r="C55" i="38"/>
  <c r="F54" i="38"/>
  <c r="C54" i="38"/>
  <c r="F53" i="38"/>
  <c r="C53" i="38"/>
  <c r="F52" i="38"/>
  <c r="C52" i="38"/>
  <c r="F51" i="38"/>
  <c r="C51" i="38"/>
  <c r="F50" i="38"/>
  <c r="C50" i="38"/>
  <c r="F49" i="38"/>
  <c r="C49" i="38"/>
  <c r="F48" i="38"/>
  <c r="C48" i="38"/>
  <c r="F47" i="38"/>
  <c r="C47" i="38"/>
  <c r="F46" i="38"/>
  <c r="C46" i="38"/>
  <c r="F45" i="38"/>
  <c r="C45" i="38"/>
  <c r="F44" i="38"/>
  <c r="C44" i="38"/>
  <c r="F43" i="38"/>
  <c r="C43" i="38"/>
  <c r="F42" i="38"/>
  <c r="F41" i="38"/>
  <c r="C41" i="38"/>
  <c r="F40" i="38"/>
  <c r="C40" i="38"/>
  <c r="F39" i="38"/>
  <c r="C39" i="38"/>
  <c r="F38" i="38"/>
  <c r="C38" i="38"/>
  <c r="F37" i="38"/>
  <c r="C37" i="38"/>
  <c r="F36" i="38"/>
  <c r="C36" i="38"/>
  <c r="F35" i="38"/>
  <c r="C35" i="38"/>
  <c r="F34" i="38"/>
  <c r="C34" i="38"/>
  <c r="F33" i="38"/>
  <c r="C33" i="38"/>
  <c r="F32" i="38"/>
  <c r="C32" i="38"/>
  <c r="F31" i="38"/>
  <c r="C31" i="38"/>
  <c r="F30" i="38"/>
  <c r="C30" i="38"/>
  <c r="F29" i="38"/>
  <c r="C29" i="38"/>
  <c r="F28" i="38"/>
  <c r="C28" i="38"/>
  <c r="F27" i="38"/>
  <c r="C27" i="38"/>
  <c r="F26" i="38"/>
  <c r="C26" i="38"/>
  <c r="F25" i="38"/>
  <c r="C25" i="38"/>
  <c r="F24" i="38"/>
  <c r="C24" i="38"/>
  <c r="F23" i="38"/>
  <c r="C23" i="38"/>
  <c r="F22" i="38"/>
  <c r="C22" i="38"/>
  <c r="F21" i="38"/>
  <c r="C21" i="38"/>
  <c r="F20" i="38"/>
  <c r="C20" i="38"/>
  <c r="F19" i="38"/>
  <c r="C19" i="38"/>
  <c r="F18" i="38"/>
  <c r="C18" i="38"/>
  <c r="F17" i="38"/>
  <c r="C17" i="38"/>
  <c r="F16" i="38"/>
  <c r="C16" i="38"/>
  <c r="F15" i="38"/>
  <c r="C15" i="38"/>
  <c r="F14" i="38"/>
  <c r="C14" i="38"/>
  <c r="F13" i="38"/>
  <c r="C13" i="38"/>
  <c r="F12" i="38"/>
  <c r="C12" i="38"/>
  <c r="F11" i="38"/>
  <c r="F10" i="38"/>
  <c r="F9" i="38"/>
  <c r="C9" i="38"/>
  <c r="F8" i="38"/>
  <c r="C8" i="38"/>
  <c r="F7" i="38"/>
  <c r="C7" i="38"/>
  <c r="F6" i="38"/>
  <c r="C6" i="38"/>
  <c r="F5" i="38"/>
  <c r="C5" i="38"/>
  <c r="F4" i="38"/>
  <c r="C4" i="38"/>
  <c r="F3" i="38"/>
  <c r="C3" i="38"/>
  <c r="C2" i="38"/>
  <c r="E8" i="3"/>
  <c r="E9" i="3"/>
  <c r="E10" i="3"/>
  <c r="E11" i="3"/>
  <c r="E4" i="3"/>
  <c r="E5" i="3"/>
  <c r="E12" i="3"/>
  <c r="E13" i="3"/>
  <c r="E14" i="3"/>
  <c r="E15" i="3"/>
  <c r="E16" i="3"/>
  <c r="E17" i="3"/>
  <c r="E6" i="3"/>
  <c r="E52" i="3"/>
  <c r="E53" i="3"/>
  <c r="E54" i="3"/>
  <c r="E55" i="3"/>
  <c r="E63" i="3"/>
  <c r="E228" i="3"/>
  <c r="E229" i="3"/>
  <c r="E230" i="3"/>
  <c r="E231" i="3"/>
  <c r="E232" i="3"/>
  <c r="E277" i="3"/>
  <c r="E278" i="3"/>
  <c r="E279" i="3"/>
  <c r="E280" i="3"/>
  <c r="E281" i="3"/>
  <c r="E283" i="3"/>
  <c r="E284" i="3"/>
  <c r="E285" i="3"/>
  <c r="E287" i="3"/>
  <c r="E288" i="3"/>
  <c r="E290" i="3"/>
  <c r="E291" i="3"/>
  <c r="E292" i="3"/>
  <c r="E293" i="3"/>
  <c r="E294" i="3"/>
  <c r="E295" i="3"/>
  <c r="E297" i="3"/>
  <c r="E308" i="3"/>
  <c r="E309" i="3"/>
  <c r="E310" i="3"/>
  <c r="E311" i="3"/>
  <c r="E312" i="3"/>
  <c r="E313" i="3"/>
  <c r="E314" i="3"/>
  <c r="E319" i="3"/>
  <c r="E320" i="3"/>
  <c r="E345" i="3"/>
  <c r="E346" i="3"/>
  <c r="E347" i="3"/>
  <c r="E348" i="3"/>
  <c r="E349" i="3"/>
  <c r="E376" i="3"/>
  <c r="E377" i="3"/>
  <c r="E378" i="3"/>
  <c r="E404" i="3"/>
  <c r="E405" i="3"/>
  <c r="E406" i="3"/>
  <c r="E407" i="3"/>
  <c r="E408" i="3"/>
  <c r="E410" i="3"/>
  <c r="E411" i="3"/>
  <c r="E422" i="3"/>
  <c r="E423" i="3"/>
  <c r="E424" i="3"/>
  <c r="E426" i="3"/>
  <c r="E427" i="3"/>
  <c r="E430" i="3"/>
  <c r="E431" i="3"/>
  <c r="E432" i="3"/>
  <c r="E433" i="3"/>
  <c r="E435" i="3"/>
  <c r="E436" i="3"/>
  <c r="E437" i="3"/>
  <c r="E440" i="3"/>
  <c r="E438" i="3"/>
  <c r="E441" i="3"/>
  <c r="E442" i="3"/>
  <c r="E443" i="3"/>
  <c r="E444" i="3"/>
  <c r="E445" i="3"/>
  <c r="E446" i="3"/>
  <c r="E447" i="3"/>
  <c r="E448" i="3"/>
  <c r="E451" i="3"/>
  <c r="E452" i="3"/>
  <c r="E454" i="3"/>
  <c r="E455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1" i="3"/>
  <c r="E514" i="3"/>
  <c r="E590" i="3"/>
  <c r="E593" i="3"/>
  <c r="E607" i="3"/>
  <c r="E609" i="3"/>
  <c r="E614" i="3"/>
  <c r="E617" i="3"/>
  <c r="E619" i="3"/>
  <c r="E620" i="3"/>
  <c r="E643" i="3"/>
  <c r="E644" i="3"/>
  <c r="E646" i="3"/>
  <c r="E651" i="3"/>
  <c r="E652" i="3"/>
  <c r="E653" i="3"/>
  <c r="E655" i="3"/>
  <c r="E656" i="3"/>
  <c r="E701" i="3"/>
  <c r="E413" i="3"/>
  <c r="E414" i="3"/>
  <c r="E415" i="3"/>
  <c r="E416" i="3"/>
  <c r="E417" i="3"/>
  <c r="E450" i="3"/>
  <c r="E418" i="3"/>
  <c r="E419" i="3"/>
  <c r="E739" i="3"/>
  <c r="E740" i="3"/>
  <c r="E741" i="3"/>
  <c r="E742" i="3"/>
  <c r="E743" i="3"/>
  <c r="E744" i="3"/>
  <c r="E745" i="3"/>
  <c r="E746" i="3"/>
  <c r="E747" i="3"/>
  <c r="E748" i="3"/>
  <c r="E751" i="3"/>
  <c r="E755" i="3"/>
  <c r="E756" i="3"/>
  <c r="E760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818" i="3"/>
  <c r="E421" i="3"/>
  <c r="E820" i="3"/>
  <c r="E821" i="3"/>
  <c r="E822" i="3"/>
  <c r="E823" i="3"/>
  <c r="E824" i="3"/>
  <c r="E825" i="3"/>
  <c r="E826" i="3"/>
  <c r="E827" i="3"/>
  <c r="E828" i="3"/>
  <c r="E829" i="3"/>
  <c r="E374" i="3"/>
  <c r="E484" i="3"/>
  <c r="E375" i="3"/>
  <c r="E510" i="3"/>
  <c r="E647" i="3"/>
  <c r="E276" i="3"/>
  <c r="E485" i="3"/>
  <c r="E592" i="3"/>
  <c r="E598" i="3"/>
  <c r="E657" i="3"/>
  <c r="E591" i="3"/>
  <c r="E615" i="3"/>
  <c r="E658" i="3"/>
  <c r="E34" i="3"/>
  <c r="E515" i="3"/>
  <c r="E516" i="3"/>
  <c r="E486" i="3"/>
  <c r="E611" i="3"/>
  <c r="E409" i="3"/>
  <c r="E434" i="3"/>
  <c r="E606" i="3"/>
  <c r="E479" i="3"/>
  <c r="E480" i="3"/>
  <c r="E605" i="3"/>
  <c r="E660" i="3"/>
  <c r="E659" i="3"/>
  <c r="E403" i="3"/>
  <c r="E512" i="3"/>
  <c r="E513" i="3"/>
  <c r="E474" i="3"/>
  <c r="E475" i="3"/>
  <c r="E384" i="3"/>
  <c r="E388" i="3"/>
  <c r="E385" i="3"/>
  <c r="E397" i="3"/>
  <c r="E392" i="3"/>
  <c r="E396" i="3"/>
  <c r="E401" i="3"/>
  <c r="E140" i="3"/>
  <c r="E143" i="3"/>
  <c r="E146" i="3"/>
  <c r="E156" i="3"/>
  <c r="E161" i="3"/>
  <c r="E610" i="3"/>
  <c r="E389" i="3"/>
  <c r="E390" i="3"/>
  <c r="E400" i="3"/>
  <c r="E398" i="3"/>
  <c r="E137" i="3"/>
  <c r="E7" i="3"/>
  <c r="E672" i="3"/>
  <c r="E650" i="3"/>
  <c r="E412" i="3"/>
  <c r="E453" i="3"/>
  <c r="E696" i="3"/>
  <c r="E115" i="3"/>
  <c r="E597" i="3"/>
  <c r="E449" i="3"/>
  <c r="E667" i="3"/>
  <c r="E695" i="3"/>
  <c r="E793" i="3"/>
  <c r="E725" i="3"/>
  <c r="E147" i="3"/>
  <c r="E282" i="3"/>
  <c r="E700" i="3"/>
  <c r="E691" i="3"/>
  <c r="E429" i="3"/>
  <c r="E482" i="3"/>
  <c r="E428" i="3"/>
  <c r="E481" i="3"/>
  <c r="E478" i="3"/>
  <c r="E792" i="3"/>
  <c r="E150" i="3"/>
  <c r="E157" i="3"/>
  <c r="E152" i="3"/>
  <c r="E666" i="3"/>
  <c r="E663" i="3"/>
  <c r="E664" i="3"/>
  <c r="E153" i="3"/>
  <c r="E158" i="3"/>
  <c r="E673" i="3"/>
  <c r="E395" i="3"/>
  <c r="E394" i="3"/>
  <c r="E373" i="3"/>
  <c r="E372" i="3"/>
  <c r="E100" i="3"/>
  <c r="E99" i="3"/>
  <c r="E101" i="3"/>
  <c r="E649" i="3"/>
  <c r="E391" i="3"/>
  <c r="E155" i="3"/>
  <c r="E154" i="3"/>
  <c r="E72" i="3"/>
  <c r="E70" i="3"/>
  <c r="E69" i="3"/>
  <c r="E71" i="3"/>
  <c r="E689" i="3"/>
  <c r="E687" i="3"/>
  <c r="C219" i="4"/>
  <c r="C220" i="4"/>
  <c r="C221" i="4"/>
  <c r="C222" i="4"/>
  <c r="C223" i="4"/>
  <c r="C224" i="4"/>
  <c r="C225" i="4"/>
  <c r="C226" i="4"/>
  <c r="A299" i="4"/>
  <c r="C175" i="18"/>
  <c r="C176" i="18"/>
  <c r="C419" i="18"/>
  <c r="C195" i="18"/>
  <c r="C101" i="18"/>
  <c r="C100" i="18"/>
  <c r="C192" i="4"/>
  <c r="C193" i="4"/>
  <c r="C194" i="4"/>
  <c r="C195" i="4"/>
  <c r="C196" i="4"/>
  <c r="C167" i="4"/>
  <c r="C277" i="18"/>
  <c r="C278" i="18"/>
  <c r="C279" i="18"/>
  <c r="C303" i="18"/>
  <c r="C304" i="18"/>
  <c r="C305" i="18"/>
  <c r="C306" i="18"/>
  <c r="C307" i="18"/>
  <c r="C308" i="18"/>
  <c r="C309" i="18"/>
  <c r="C310" i="18"/>
  <c r="C311" i="18"/>
  <c r="C312" i="18"/>
  <c r="C313" i="18"/>
  <c r="C314" i="18"/>
  <c r="C315" i="18"/>
  <c r="C316" i="18"/>
  <c r="C317" i="18"/>
  <c r="C318" i="18"/>
  <c r="C319" i="18"/>
  <c r="C320" i="18"/>
  <c r="C321" i="18"/>
  <c r="C322" i="18"/>
  <c r="C323" i="18"/>
  <c r="C324" i="18"/>
  <c r="C325" i="18"/>
  <c r="C326" i="18"/>
  <c r="C327" i="18"/>
  <c r="C328" i="18"/>
  <c r="C329" i="18"/>
  <c r="C330" i="18"/>
  <c r="C331" i="18"/>
  <c r="C332" i="18"/>
  <c r="C333" i="18"/>
  <c r="C334" i="18"/>
  <c r="C335" i="18"/>
  <c r="C336" i="18"/>
  <c r="C337" i="18"/>
  <c r="C338" i="18"/>
  <c r="C339" i="18"/>
  <c r="C340" i="18"/>
  <c r="C341" i="18"/>
  <c r="C342" i="18"/>
  <c r="C343" i="18"/>
  <c r="C347" i="18"/>
  <c r="C348" i="18"/>
  <c r="C349" i="18"/>
  <c r="C350" i="18"/>
  <c r="C351" i="18"/>
  <c r="C352" i="18"/>
  <c r="C353" i="18"/>
  <c r="C354" i="18"/>
  <c r="C355" i="18"/>
  <c r="C356" i="18"/>
  <c r="C357" i="18"/>
  <c r="C358" i="18"/>
  <c r="C359" i="18"/>
  <c r="C360" i="18"/>
  <c r="C361" i="18"/>
  <c r="C362" i="18"/>
  <c r="C363" i="18"/>
  <c r="C364" i="18"/>
  <c r="C365" i="18"/>
  <c r="C366" i="18"/>
  <c r="C367" i="18"/>
  <c r="C368" i="18"/>
  <c r="C369" i="18"/>
  <c r="C370" i="18"/>
  <c r="C371" i="18"/>
  <c r="C372" i="18"/>
  <c r="C373" i="18"/>
  <c r="C374" i="18"/>
  <c r="C375" i="18"/>
  <c r="C376" i="18"/>
  <c r="C377" i="18"/>
  <c r="C378" i="18"/>
  <c r="C379" i="18"/>
  <c r="C380" i="18"/>
  <c r="C381" i="18"/>
  <c r="C382" i="18"/>
  <c r="C237" i="4"/>
  <c r="C176" i="4"/>
  <c r="C177" i="4"/>
  <c r="C199" i="18"/>
  <c r="C229" i="18"/>
  <c r="C230" i="18"/>
  <c r="C239" i="4"/>
  <c r="C240" i="4"/>
  <c r="C241" i="4"/>
  <c r="C242" i="4"/>
  <c r="C383" i="18"/>
  <c r="C384" i="18"/>
  <c r="C385" i="18"/>
  <c r="C386" i="18"/>
  <c r="C387" i="18"/>
  <c r="C388" i="18"/>
  <c r="C389" i="18"/>
  <c r="C390" i="18"/>
  <c r="C391" i="18"/>
  <c r="C392" i="18"/>
  <c r="C393" i="18"/>
  <c r="C394" i="18"/>
  <c r="C395" i="18"/>
  <c r="C396" i="18"/>
  <c r="C397" i="18"/>
  <c r="C398" i="18"/>
  <c r="C399" i="18"/>
  <c r="C400" i="18"/>
  <c r="C401" i="18"/>
  <c r="C402" i="18"/>
  <c r="C403" i="18"/>
  <c r="C404" i="18"/>
  <c r="C405" i="18"/>
  <c r="C406" i="18"/>
  <c r="C407" i="18"/>
  <c r="C408" i="18"/>
  <c r="C409" i="18"/>
  <c r="C410" i="18"/>
  <c r="C411" i="18"/>
  <c r="C412" i="18"/>
  <c r="C413" i="18"/>
  <c r="C414" i="18"/>
  <c r="C415" i="18"/>
  <c r="C416" i="18"/>
  <c r="C417" i="18"/>
  <c r="C418" i="18"/>
  <c r="C420" i="18"/>
  <c r="C421" i="18"/>
  <c r="C422" i="18"/>
  <c r="C423" i="18"/>
  <c r="C424" i="18"/>
  <c r="C425" i="18"/>
  <c r="C426" i="18"/>
  <c r="C427" i="18"/>
  <c r="C428" i="18"/>
  <c r="C429" i="18"/>
  <c r="C430" i="18"/>
  <c r="C431" i="18"/>
  <c r="C432" i="18"/>
  <c r="C433" i="18"/>
  <c r="C434" i="18"/>
  <c r="C435" i="18"/>
  <c r="C436" i="18"/>
  <c r="C437" i="18"/>
  <c r="C438" i="18"/>
  <c r="C439" i="18"/>
  <c r="C440" i="18"/>
  <c r="C441" i="18"/>
  <c r="C442" i="18"/>
  <c r="C443" i="18"/>
  <c r="C444" i="18"/>
  <c r="C445" i="18"/>
  <c r="C446" i="18"/>
  <c r="C447" i="18"/>
  <c r="C448" i="18"/>
  <c r="C449" i="18"/>
  <c r="C450" i="18"/>
  <c r="C451" i="18"/>
  <c r="C452" i="18"/>
  <c r="C453" i="18"/>
  <c r="C454" i="18"/>
  <c r="C455" i="18"/>
  <c r="C456" i="18"/>
  <c r="C457" i="18"/>
  <c r="C458" i="18"/>
  <c r="C459" i="18"/>
  <c r="C460" i="18"/>
  <c r="C461" i="18"/>
  <c r="C462" i="18"/>
  <c r="C463" i="18"/>
  <c r="C464" i="18"/>
  <c r="C465" i="18"/>
  <c r="C466" i="18"/>
  <c r="C467" i="18"/>
  <c r="C468" i="18"/>
  <c r="C469" i="18"/>
  <c r="C470" i="18"/>
  <c r="C471" i="18"/>
  <c r="C472" i="18"/>
  <c r="C473" i="18"/>
  <c r="C474" i="18"/>
  <c r="C475" i="18"/>
  <c r="C476" i="18"/>
  <c r="C477" i="18"/>
  <c r="C478" i="18"/>
  <c r="C479" i="18"/>
  <c r="C480" i="18"/>
  <c r="C481" i="18"/>
  <c r="C482" i="18"/>
  <c r="C483" i="18"/>
  <c r="C484" i="18"/>
  <c r="C485" i="18"/>
  <c r="C486" i="18"/>
  <c r="C487" i="18"/>
  <c r="C488" i="18"/>
  <c r="C489" i="18"/>
  <c r="C490" i="18"/>
  <c r="C491" i="18"/>
  <c r="C492" i="18"/>
  <c r="C493" i="18"/>
  <c r="C494" i="18"/>
  <c r="C495" i="18"/>
  <c r="C496" i="18"/>
  <c r="C497" i="18"/>
  <c r="C498" i="18"/>
  <c r="C499" i="18"/>
  <c r="C500" i="18"/>
  <c r="C501" i="18"/>
  <c r="C502" i="18"/>
  <c r="C503" i="18"/>
  <c r="C504" i="18"/>
  <c r="C505" i="18"/>
  <c r="C506" i="18"/>
  <c r="C507" i="18"/>
  <c r="C508" i="18"/>
  <c r="C509" i="18"/>
  <c r="C510" i="18"/>
  <c r="C511" i="18"/>
  <c r="C512" i="18"/>
  <c r="C513" i="18"/>
  <c r="C514" i="18"/>
  <c r="C515" i="18"/>
  <c r="C516" i="18"/>
  <c r="C517" i="18"/>
  <c r="C518" i="18"/>
  <c r="C519" i="18"/>
  <c r="C520" i="18"/>
  <c r="C521" i="18"/>
  <c r="C522" i="18"/>
  <c r="C523" i="18"/>
  <c r="C524" i="18"/>
  <c r="C525" i="18"/>
  <c r="C526" i="18"/>
  <c r="C527" i="18"/>
  <c r="C528" i="18"/>
  <c r="C529" i="18"/>
  <c r="C530" i="18"/>
  <c r="C531" i="18"/>
  <c r="C532" i="18"/>
  <c r="C533" i="18"/>
  <c r="C534" i="18"/>
  <c r="C535" i="18"/>
  <c r="C536" i="18"/>
  <c r="C537" i="18"/>
  <c r="C538" i="18"/>
  <c r="C539" i="18"/>
  <c r="C540" i="18"/>
  <c r="C541" i="18"/>
  <c r="C542" i="18"/>
  <c r="C543" i="18"/>
  <c r="C544" i="18"/>
  <c r="C545" i="18"/>
  <c r="C546" i="18"/>
  <c r="C547" i="18"/>
  <c r="C548" i="18"/>
  <c r="C549" i="18"/>
  <c r="C550" i="18"/>
  <c r="C551" i="18"/>
  <c r="C552" i="18"/>
  <c r="C553" i="18"/>
  <c r="C554" i="18"/>
  <c r="C555" i="18"/>
  <c r="C556" i="18"/>
  <c r="C557" i="18"/>
  <c r="C558" i="18"/>
  <c r="C559" i="18"/>
  <c r="C560" i="18"/>
  <c r="C561" i="18"/>
  <c r="C562" i="18"/>
  <c r="C563" i="18"/>
  <c r="C564" i="18"/>
  <c r="C565" i="18"/>
  <c r="C566" i="18"/>
  <c r="C567" i="18"/>
  <c r="C568" i="18"/>
  <c r="C569" i="18"/>
  <c r="C570" i="18"/>
  <c r="C571" i="18"/>
  <c r="C572" i="18"/>
  <c r="C573" i="18"/>
  <c r="C574" i="18"/>
  <c r="C575" i="18"/>
  <c r="C576" i="18"/>
  <c r="C577" i="18"/>
  <c r="C578" i="18"/>
  <c r="C579" i="18"/>
  <c r="C580" i="18"/>
  <c r="C581" i="18"/>
  <c r="C582" i="18"/>
  <c r="C583" i="18"/>
  <c r="C584" i="18"/>
  <c r="C585" i="18"/>
  <c r="C586" i="18"/>
  <c r="C587" i="18"/>
  <c r="C588" i="18"/>
  <c r="C589" i="18"/>
  <c r="C590" i="18"/>
  <c r="C591" i="18"/>
  <c r="C592" i="18"/>
  <c r="C593" i="18"/>
  <c r="C594" i="18"/>
  <c r="C595" i="18"/>
  <c r="C596" i="18"/>
  <c r="C597" i="18"/>
  <c r="C598" i="18"/>
  <c r="C599" i="18"/>
  <c r="C600" i="18"/>
  <c r="C601" i="18"/>
  <c r="C602" i="18"/>
  <c r="C603" i="18"/>
  <c r="C604" i="18"/>
  <c r="C605" i="18"/>
  <c r="C606" i="18"/>
  <c r="C607" i="18"/>
  <c r="C608" i="18"/>
  <c r="C609" i="18"/>
  <c r="C610" i="18"/>
  <c r="C611" i="18"/>
  <c r="C612" i="18"/>
  <c r="C613" i="18"/>
  <c r="C614" i="18"/>
  <c r="C615" i="18"/>
  <c r="C616" i="18"/>
  <c r="C617" i="18"/>
  <c r="C619" i="18"/>
  <c r="C620" i="18"/>
  <c r="C621" i="18"/>
  <c r="C622" i="18"/>
  <c r="C623" i="18"/>
  <c r="C624" i="18"/>
  <c r="C625" i="18"/>
  <c r="C626" i="18"/>
  <c r="C627" i="18"/>
  <c r="C628" i="18"/>
  <c r="C629" i="18"/>
  <c r="C630" i="18"/>
  <c r="C631" i="18"/>
  <c r="C632" i="18"/>
  <c r="C633" i="18"/>
  <c r="C634" i="18"/>
  <c r="C635" i="18"/>
  <c r="C636" i="18"/>
  <c r="C637" i="18"/>
  <c r="C638" i="18"/>
  <c r="C639" i="18"/>
  <c r="C640" i="18"/>
  <c r="C641" i="18"/>
  <c r="C642" i="18"/>
  <c r="C643" i="18"/>
  <c r="C644" i="18"/>
  <c r="C645" i="18"/>
  <c r="C646" i="18"/>
  <c r="C647" i="18"/>
  <c r="C648" i="18"/>
  <c r="C649" i="18"/>
  <c r="C650" i="18"/>
  <c r="C651" i="18"/>
  <c r="C652" i="18"/>
  <c r="C653" i="18"/>
  <c r="C654" i="18"/>
  <c r="C655" i="18"/>
  <c r="C656" i="18"/>
  <c r="C657" i="18"/>
  <c r="C658" i="18"/>
  <c r="C659" i="18"/>
  <c r="C660" i="18"/>
  <c r="C661" i="18"/>
  <c r="C662" i="18"/>
  <c r="C663" i="18"/>
  <c r="C664" i="18"/>
  <c r="C665" i="18"/>
  <c r="C666" i="18"/>
  <c r="C667" i="18"/>
  <c r="C668" i="18"/>
  <c r="C669" i="18"/>
  <c r="C670" i="18"/>
  <c r="C671" i="18"/>
  <c r="C672" i="18"/>
  <c r="C673" i="18"/>
  <c r="C674" i="18"/>
  <c r="C675" i="18"/>
  <c r="C676" i="18"/>
  <c r="C677" i="18"/>
  <c r="C678" i="18"/>
  <c r="C679" i="18"/>
  <c r="C680" i="18"/>
  <c r="C681" i="18"/>
  <c r="C682" i="18"/>
  <c r="C683" i="18"/>
  <c r="C684" i="18"/>
  <c r="C685" i="18"/>
  <c r="C686" i="18"/>
  <c r="C687" i="18"/>
  <c r="C688" i="18"/>
  <c r="C689" i="18"/>
  <c r="C690" i="18"/>
  <c r="C691" i="18"/>
  <c r="C692" i="18"/>
  <c r="C693" i="18"/>
  <c r="C694" i="18"/>
  <c r="C695" i="18"/>
  <c r="C696" i="18"/>
  <c r="C697" i="18"/>
  <c r="C698" i="18"/>
  <c r="C699" i="18"/>
  <c r="C700" i="18"/>
  <c r="C701" i="18"/>
  <c r="C702" i="18"/>
  <c r="C703" i="18"/>
  <c r="C704" i="18"/>
  <c r="C705" i="18"/>
  <c r="C706" i="18"/>
  <c r="C707" i="18"/>
  <c r="C708" i="18"/>
  <c r="C709" i="18"/>
  <c r="C710" i="18"/>
  <c r="C711" i="18"/>
  <c r="C712" i="18"/>
  <c r="C713" i="18"/>
  <c r="C714" i="18"/>
  <c r="C715" i="18"/>
  <c r="C716" i="18"/>
  <c r="C717" i="18"/>
  <c r="C718" i="18"/>
  <c r="C719" i="18"/>
  <c r="C720" i="18"/>
  <c r="C721" i="18"/>
  <c r="C722" i="18"/>
  <c r="C723" i="18"/>
  <c r="C724" i="18"/>
  <c r="C725" i="18"/>
  <c r="C726" i="18"/>
  <c r="C727" i="18"/>
  <c r="C728" i="18"/>
  <c r="C729" i="18"/>
  <c r="C653" i="17"/>
  <c r="C654" i="17"/>
  <c r="C655" i="17"/>
  <c r="C656" i="17"/>
  <c r="C657" i="17"/>
  <c r="C658" i="17"/>
  <c r="C659" i="17"/>
  <c r="C660" i="17"/>
  <c r="C661" i="17"/>
  <c r="C662" i="17"/>
  <c r="C663" i="17"/>
  <c r="C664" i="17"/>
  <c r="C665" i="17"/>
  <c r="C666" i="17"/>
  <c r="C667" i="17"/>
  <c r="C668" i="17"/>
  <c r="C669" i="17"/>
  <c r="C670" i="17"/>
  <c r="C671" i="17"/>
  <c r="C672" i="17"/>
  <c r="C673" i="17"/>
  <c r="C674" i="17"/>
  <c r="C675" i="17"/>
  <c r="C676" i="17"/>
  <c r="C677" i="17"/>
  <c r="C678" i="17"/>
  <c r="C679" i="17"/>
  <c r="C680" i="17"/>
  <c r="C681" i="17"/>
  <c r="C682" i="17"/>
  <c r="C683" i="17"/>
  <c r="C684" i="17"/>
  <c r="C685" i="17"/>
  <c r="C686" i="17"/>
  <c r="C687" i="17"/>
  <c r="C688" i="17"/>
  <c r="C689" i="17"/>
  <c r="C690" i="17"/>
  <c r="C691" i="17"/>
  <c r="C692" i="17"/>
  <c r="C693" i="17"/>
  <c r="C694" i="17"/>
  <c r="C695" i="17"/>
  <c r="C696" i="17"/>
  <c r="C697" i="17"/>
  <c r="C698" i="17"/>
  <c r="C699" i="17"/>
  <c r="C700" i="17"/>
  <c r="C701" i="17"/>
  <c r="C702" i="17"/>
  <c r="C703" i="17"/>
  <c r="C704" i="17"/>
  <c r="C705" i="17"/>
  <c r="C706" i="17"/>
  <c r="C707" i="17"/>
  <c r="C708" i="17"/>
  <c r="C709" i="17"/>
  <c r="C710" i="17"/>
  <c r="C711" i="17"/>
  <c r="C712" i="17"/>
  <c r="C713" i="17"/>
  <c r="C714" i="17"/>
  <c r="C715" i="17"/>
  <c r="C716" i="17"/>
  <c r="C717" i="17"/>
  <c r="C718" i="17"/>
  <c r="C719" i="17"/>
  <c r="C720" i="17"/>
  <c r="C721" i="17"/>
  <c r="C722" i="17"/>
  <c r="C723" i="17"/>
  <c r="C724" i="17"/>
  <c r="C725" i="17"/>
  <c r="C726" i="17"/>
  <c r="C727" i="17"/>
  <c r="C728" i="17"/>
  <c r="C729" i="17"/>
  <c r="C730" i="17"/>
  <c r="C731" i="17"/>
  <c r="C732" i="17"/>
  <c r="C733" i="17"/>
  <c r="C734" i="17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3" i="18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42" i="18"/>
  <c r="C43" i="18"/>
  <c r="C44" i="18"/>
  <c r="C45" i="18"/>
  <c r="C46" i="18"/>
  <c r="C47" i="18"/>
  <c r="C48" i="18"/>
  <c r="C49" i="18"/>
  <c r="C50" i="18"/>
  <c r="C51" i="18"/>
  <c r="C52" i="18"/>
  <c r="C53" i="18"/>
  <c r="C54" i="18"/>
  <c r="C55" i="18"/>
  <c r="C56" i="18"/>
  <c r="C57" i="18"/>
  <c r="C58" i="18"/>
  <c r="C59" i="18"/>
  <c r="C60" i="18"/>
  <c r="C61" i="18"/>
  <c r="C62" i="18"/>
  <c r="C63" i="18"/>
  <c r="C64" i="18"/>
  <c r="C65" i="18"/>
  <c r="C66" i="18"/>
  <c r="C67" i="18"/>
  <c r="C69" i="18"/>
  <c r="C70" i="18"/>
  <c r="C71" i="18"/>
  <c r="C82" i="18"/>
  <c r="C83" i="18"/>
  <c r="C84" i="18"/>
  <c r="C85" i="18"/>
  <c r="C86" i="18"/>
  <c r="C87" i="18"/>
  <c r="C88" i="18"/>
  <c r="C89" i="18"/>
  <c r="C90" i="18"/>
  <c r="C91" i="18"/>
  <c r="C92" i="18"/>
  <c r="C93" i="18"/>
  <c r="C94" i="18"/>
  <c r="C95" i="18"/>
  <c r="C96" i="18"/>
  <c r="C97" i="18"/>
  <c r="C98" i="18"/>
  <c r="C99" i="18"/>
  <c r="C102" i="18"/>
  <c r="C103" i="18"/>
  <c r="C104" i="18"/>
  <c r="C105" i="18"/>
  <c r="C106" i="18"/>
  <c r="C107" i="18"/>
  <c r="C108" i="18"/>
  <c r="C109" i="18"/>
  <c r="C110" i="18"/>
  <c r="C111" i="18"/>
  <c r="C112" i="18"/>
  <c r="C113" i="18"/>
  <c r="C114" i="18"/>
  <c r="C115" i="18"/>
  <c r="C116" i="18"/>
  <c r="C117" i="18"/>
  <c r="C118" i="18"/>
  <c r="C119" i="18"/>
  <c r="C120" i="18"/>
  <c r="C121" i="18"/>
  <c r="C122" i="18"/>
  <c r="C123" i="18"/>
  <c r="C124" i="18"/>
  <c r="C125" i="18"/>
  <c r="C126" i="18"/>
  <c r="C127" i="18"/>
  <c r="C128" i="18"/>
  <c r="C130" i="18"/>
  <c r="C131" i="18"/>
  <c r="C132" i="18"/>
  <c r="C133" i="18"/>
  <c r="C134" i="18"/>
  <c r="C135" i="18"/>
  <c r="C136" i="18"/>
  <c r="C137" i="18"/>
  <c r="C138" i="18"/>
  <c r="C139" i="18"/>
  <c r="C140" i="18"/>
  <c r="C141" i="18"/>
  <c r="C142" i="18"/>
  <c r="C143" i="18"/>
  <c r="C144" i="18"/>
  <c r="C145" i="18"/>
  <c r="C146" i="18"/>
  <c r="C147" i="18"/>
  <c r="C148" i="18"/>
  <c r="C149" i="18"/>
  <c r="C150" i="18"/>
  <c r="C151" i="18"/>
  <c r="C152" i="18"/>
  <c r="C153" i="18"/>
  <c r="C154" i="18"/>
  <c r="C155" i="18"/>
  <c r="C156" i="18"/>
  <c r="C157" i="18"/>
  <c r="C158" i="18"/>
  <c r="C159" i="18"/>
  <c r="C160" i="18"/>
  <c r="C161" i="18"/>
  <c r="C162" i="18"/>
  <c r="C163" i="18"/>
  <c r="C164" i="18"/>
  <c r="C165" i="18"/>
  <c r="C166" i="18"/>
  <c r="C167" i="18"/>
  <c r="C168" i="18"/>
  <c r="C169" i="18"/>
  <c r="C170" i="18"/>
  <c r="C171" i="18"/>
  <c r="C172" i="18"/>
  <c r="C173" i="18"/>
  <c r="C174" i="18"/>
  <c r="C177" i="18"/>
  <c r="C178" i="18"/>
  <c r="C179" i="18"/>
  <c r="C180" i="18"/>
  <c r="C181" i="18"/>
  <c r="C182" i="18"/>
  <c r="C183" i="18"/>
  <c r="C184" i="18"/>
  <c r="C185" i="18"/>
  <c r="C186" i="18"/>
  <c r="C187" i="18"/>
  <c r="C188" i="18"/>
  <c r="C189" i="18"/>
  <c r="C190" i="18"/>
  <c r="C191" i="18"/>
  <c r="C192" i="18"/>
  <c r="C193" i="18"/>
  <c r="C194" i="18"/>
  <c r="C196" i="18"/>
  <c r="C197" i="18"/>
  <c r="C198" i="18"/>
  <c r="C200" i="18"/>
  <c r="C201" i="18"/>
  <c r="C202" i="18"/>
  <c r="C203" i="18"/>
  <c r="C204" i="18"/>
  <c r="C205" i="18"/>
  <c r="C206" i="18"/>
  <c r="C207" i="18"/>
  <c r="C208" i="18"/>
  <c r="C209" i="18"/>
  <c r="C210" i="18"/>
  <c r="C211" i="18"/>
  <c r="C212" i="18"/>
  <c r="C213" i="18"/>
  <c r="C214" i="18"/>
  <c r="C215" i="18"/>
  <c r="C216" i="18"/>
  <c r="C217" i="18"/>
  <c r="C218" i="18"/>
  <c r="C219" i="18"/>
  <c r="C220" i="18"/>
  <c r="C221" i="18"/>
  <c r="C222" i="18"/>
  <c r="C223" i="18"/>
  <c r="C224" i="18"/>
  <c r="C225" i="18"/>
  <c r="C226" i="18"/>
  <c r="C227" i="18"/>
  <c r="C228" i="18"/>
  <c r="C231" i="18"/>
  <c r="C232" i="18"/>
  <c r="C233" i="18"/>
  <c r="C234" i="18"/>
  <c r="C235" i="18"/>
  <c r="C236" i="18"/>
  <c r="C237" i="18"/>
  <c r="C238" i="18"/>
  <c r="C239" i="18"/>
  <c r="C240" i="18"/>
  <c r="C241" i="18"/>
  <c r="C242" i="18"/>
  <c r="C243" i="18"/>
  <c r="C244" i="18"/>
  <c r="C245" i="18"/>
  <c r="C246" i="18"/>
  <c r="C247" i="18"/>
  <c r="C248" i="18"/>
  <c r="C249" i="18"/>
  <c r="C250" i="18"/>
  <c r="C251" i="18"/>
  <c r="C252" i="18"/>
  <c r="C253" i="18"/>
  <c r="C254" i="18"/>
  <c r="C255" i="18"/>
  <c r="C256" i="18"/>
  <c r="C257" i="18"/>
  <c r="C258" i="18"/>
  <c r="C259" i="18"/>
  <c r="C260" i="18"/>
  <c r="C261" i="18"/>
  <c r="C262" i="18"/>
  <c r="C263" i="18"/>
  <c r="C264" i="18"/>
  <c r="C265" i="18"/>
  <c r="C266" i="18"/>
  <c r="C267" i="18"/>
  <c r="C268" i="18"/>
  <c r="C269" i="18"/>
  <c r="C270" i="18"/>
  <c r="C271" i="18"/>
  <c r="C272" i="18"/>
  <c r="C273" i="18"/>
  <c r="C274" i="18"/>
  <c r="C275" i="18"/>
  <c r="C276" i="18"/>
  <c r="C280" i="18"/>
  <c r="C281" i="18"/>
  <c r="C282" i="18"/>
  <c r="C283" i="18"/>
  <c r="C284" i="18"/>
  <c r="C285" i="18"/>
  <c r="C286" i="18"/>
  <c r="C287" i="18"/>
  <c r="C288" i="18"/>
  <c r="C289" i="18"/>
  <c r="C290" i="18"/>
  <c r="C291" i="18"/>
  <c r="C292" i="18"/>
  <c r="C293" i="18"/>
  <c r="C294" i="18"/>
  <c r="C295" i="18"/>
  <c r="C296" i="18"/>
  <c r="C297" i="18"/>
  <c r="C298" i="18"/>
  <c r="C299" i="18"/>
  <c r="C300" i="18"/>
  <c r="C301" i="18"/>
  <c r="C302" i="18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68" i="4"/>
  <c r="C169" i="4"/>
  <c r="C170" i="4"/>
  <c r="C171" i="4"/>
  <c r="C172" i="4"/>
  <c r="C174" i="4"/>
  <c r="C175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27" i="4"/>
  <c r="C228" i="4"/>
  <c r="C229" i="4"/>
  <c r="C230" i="4"/>
  <c r="C231" i="4"/>
  <c r="C232" i="4"/>
  <c r="C233" i="4"/>
  <c r="C234" i="4"/>
  <c r="C235" i="4"/>
  <c r="C236" i="4"/>
  <c r="C238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I16" i="46" l="1"/>
  <c r="F9" i="37"/>
  <c r="I8" i="46"/>
  <c r="F14" i="37"/>
  <c r="I15" i="46"/>
  <c r="F7" i="37"/>
  <c r="I6" i="46"/>
  <c r="I11" i="46"/>
  <c r="F17" i="37"/>
  <c r="I14" i="46"/>
  <c r="F22" i="37"/>
  <c r="F10" i="37"/>
  <c r="I10" i="46"/>
  <c r="F16" i="37"/>
  <c r="I3" i="46"/>
  <c r="F8" i="37"/>
  <c r="I12" i="46"/>
  <c r="F20" i="37"/>
  <c r="I17" i="46"/>
  <c r="F11" i="37"/>
  <c r="I9" i="46"/>
  <c r="F15" i="37"/>
  <c r="I2" i="46"/>
  <c r="I5" i="46"/>
  <c r="F23" i="37"/>
  <c r="I7" i="46"/>
  <c r="F13" i="37"/>
  <c r="I13" i="46"/>
  <c r="F21" i="37"/>
  <c r="E31" i="46"/>
  <c r="H24" i="46"/>
  <c r="H31" i="46"/>
  <c r="H7" i="37"/>
  <c r="H8" i="37"/>
  <c r="H21" i="37"/>
  <c r="H22" i="37"/>
  <c r="J3" i="20"/>
  <c r="I23" i="46" s="1"/>
  <c r="E24" i="46"/>
  <c r="C31" i="46"/>
  <c r="C24" i="46"/>
  <c r="F12" i="20"/>
  <c r="H10" i="37"/>
  <c r="F5" i="20"/>
  <c r="I12" i="20"/>
  <c r="H16" i="37"/>
  <c r="H14" i="37"/>
  <c r="H15" i="37"/>
  <c r="H11" i="37"/>
  <c r="I5" i="20"/>
  <c r="J10" i="20"/>
  <c r="J9" i="20"/>
  <c r="H20" i="37"/>
  <c r="H9" i="37"/>
  <c r="H13" i="37"/>
  <c r="I28" i="29"/>
  <c r="H23" i="37"/>
  <c r="H17" i="37"/>
  <c r="J4" i="20"/>
  <c r="C4" i="20"/>
  <c r="H4" i="18"/>
  <c r="C10" i="20" s="1"/>
  <c r="H4" i="17"/>
  <c r="C9" i="20" s="1"/>
  <c r="H3" i="4"/>
  <c r="C3" i="20" s="1"/>
  <c r="E4" i="20"/>
  <c r="E10" i="20"/>
  <c r="D29" i="46" s="1"/>
  <c r="D12" i="20"/>
  <c r="E9" i="20"/>
  <c r="D28" i="46" s="1"/>
  <c r="D5" i="20"/>
  <c r="E3" i="20"/>
  <c r="D23" i="46" s="1"/>
  <c r="E5" i="20" l="1"/>
  <c r="G15" i="37"/>
  <c r="G7" i="37"/>
  <c r="G22" i="37"/>
  <c r="G20" i="37"/>
  <c r="D31" i="46"/>
  <c r="G8" i="37"/>
  <c r="G23" i="37"/>
  <c r="D24" i="46"/>
  <c r="G17" i="37"/>
  <c r="L3" i="20"/>
  <c r="K23" i="46" s="1"/>
  <c r="K24" i="46" s="1"/>
  <c r="G21" i="37"/>
  <c r="G16" i="37"/>
  <c r="J5" i="20"/>
  <c r="G9" i="37"/>
  <c r="G11" i="37"/>
  <c r="L9" i="20"/>
  <c r="K28" i="46" s="1"/>
  <c r="I28" i="46"/>
  <c r="L10" i="20"/>
  <c r="K29" i="46" s="1"/>
  <c r="I29" i="46"/>
  <c r="I24" i="46"/>
  <c r="G14" i="37"/>
  <c r="G10" i="37"/>
  <c r="G4" i="20"/>
  <c r="G10" i="20"/>
  <c r="F29" i="46" s="1"/>
  <c r="B29" i="46"/>
  <c r="G9" i="20"/>
  <c r="F28" i="46" s="1"/>
  <c r="B28" i="46"/>
  <c r="G3" i="20"/>
  <c r="F23" i="46" s="1"/>
  <c r="B23" i="46"/>
  <c r="L4" i="20"/>
  <c r="E12" i="20"/>
  <c r="G13" i="37"/>
  <c r="J12" i="20"/>
  <c r="H29" i="37"/>
  <c r="F29" i="37"/>
  <c r="L5" i="20" l="1"/>
  <c r="K31" i="46"/>
  <c r="I31" i="46"/>
  <c r="L12" i="20"/>
  <c r="K4" i="20"/>
  <c r="K10" i="20"/>
  <c r="J29" i="46" s="1"/>
  <c r="F31" i="46"/>
  <c r="F24" i="46"/>
  <c r="K9" i="20"/>
  <c r="J28" i="46" s="1"/>
  <c r="G12" i="20"/>
  <c r="K3" i="20"/>
  <c r="G5" i="20"/>
  <c r="M9" i="20"/>
  <c r="M10" i="20" l="1"/>
  <c r="H10" i="20" s="1"/>
  <c r="J23" i="46"/>
  <c r="J24" i="46" s="1"/>
  <c r="M3" i="20"/>
  <c r="M4" i="20"/>
  <c r="H4" i="20" s="1"/>
  <c r="J31" i="46"/>
  <c r="K12" i="20"/>
  <c r="H9" i="20"/>
  <c r="L28" i="46"/>
  <c r="K5" i="20"/>
  <c r="L29" i="46" l="1"/>
  <c r="L23" i="46"/>
  <c r="H3" i="20"/>
  <c r="J21" i="37"/>
  <c r="G29" i="46"/>
  <c r="J20" i="37"/>
  <c r="G28" i="46"/>
  <c r="H12" i="20"/>
  <c r="J13" i="37" l="1"/>
  <c r="J29" i="37" s="1"/>
  <c r="H5" i="20"/>
  <c r="G23" i="46"/>
  <c r="G24" i="46" s="1"/>
  <c r="G31" i="46"/>
</calcChain>
</file>

<file path=xl/sharedStrings.xml><?xml version="1.0" encoding="utf-8"?>
<sst xmlns="http://schemas.openxmlformats.org/spreadsheetml/2006/main" count="2721" uniqueCount="1932">
  <si>
    <t>SS-1003</t>
  </si>
  <si>
    <t>SS-1004</t>
  </si>
  <si>
    <t>SS-1006</t>
  </si>
  <si>
    <t>SS-1007</t>
  </si>
  <si>
    <t>Frame</t>
  </si>
  <si>
    <t>Frame Name</t>
  </si>
  <si>
    <t>KNOCK/UP</t>
  </si>
  <si>
    <t>SPRING/UP</t>
  </si>
  <si>
    <t>4732 – CHAIR BASE</t>
  </si>
  <si>
    <t>4733 – CHAIR BASE</t>
  </si>
  <si>
    <t>4734  - CHAIR BASE</t>
  </si>
  <si>
    <t>5850 APEL OTTOMAN</t>
  </si>
  <si>
    <t>5851 APEL OTTOMAN</t>
  </si>
  <si>
    <t>6803D</t>
  </si>
  <si>
    <t>6803 CHAIR</t>
  </si>
  <si>
    <t>F115A</t>
  </si>
  <si>
    <t>ST REGIS SOFA</t>
  </si>
  <si>
    <t>F115D</t>
  </si>
  <si>
    <t>ST REGIS LOVESEAT</t>
  </si>
  <si>
    <t>F115S</t>
  </si>
  <si>
    <t>ST REGIS CHAIR</t>
  </si>
  <si>
    <t>F564A</t>
  </si>
  <si>
    <t>WYNN SOFA</t>
  </si>
  <si>
    <t>F564D</t>
  </si>
  <si>
    <t>WYNN LOVESEAT</t>
  </si>
  <si>
    <t>F564J</t>
  </si>
  <si>
    <t>WYNN OTTOMAN</t>
  </si>
  <si>
    <t>F564S</t>
  </si>
  <si>
    <t xml:space="preserve">WYNN CHAIR </t>
  </si>
  <si>
    <t>F584C</t>
  </si>
  <si>
    <t>F584CB</t>
  </si>
  <si>
    <t>TROPICANA RAF CHAISE</t>
  </si>
  <si>
    <t>F584CC</t>
  </si>
  <si>
    <t>TROPICANA CORNER</t>
  </si>
  <si>
    <t>F584CQ</t>
  </si>
  <si>
    <t>TROPICANA ARMLESS SLEEPER</t>
  </si>
  <si>
    <t>F584CZ</t>
  </si>
  <si>
    <t>TROPICANA LAF CHAISE</t>
  </si>
  <si>
    <t>F584E</t>
  </si>
  <si>
    <t>TROPICANA ONE ARM LOVESEAT RAF</t>
  </si>
  <si>
    <t>F584F</t>
  </si>
  <si>
    <t>TROPICANA ARMLESS LOVESEAT</t>
  </si>
  <si>
    <t>F584I</t>
  </si>
  <si>
    <t>TROPICANA ARMLESS CHAIR</t>
  </si>
  <si>
    <t>F584JB</t>
  </si>
  <si>
    <t>TROPICANA BUMPER OTTOMAN</t>
  </si>
  <si>
    <t>F584JL</t>
  </si>
  <si>
    <t>TROPICANA JUMBO OTTOMAN</t>
  </si>
  <si>
    <t>F584LA</t>
  </si>
  <si>
    <t>TROPICANA ONE ARM SOFA</t>
  </si>
  <si>
    <t>F584LC</t>
  </si>
  <si>
    <t>TROPICANA ONE ARM CHAIR</t>
  </si>
  <si>
    <t>F584P</t>
  </si>
  <si>
    <t>TROPICANA SOFA SECTIONAL</t>
  </si>
  <si>
    <t>F584RA</t>
  </si>
  <si>
    <t>F584U</t>
  </si>
  <si>
    <t>F584Y</t>
  </si>
  <si>
    <t>TROPICANA RAF 1 ARM SECT SOFA</t>
  </si>
  <si>
    <t>F598A</t>
  </si>
  <si>
    <t>GRACIE SOFA</t>
  </si>
  <si>
    <t>F598D</t>
  </si>
  <si>
    <t>GRACIE LOVESEAT</t>
  </si>
  <si>
    <t>F598S</t>
  </si>
  <si>
    <t>GRACIE CHAIR</t>
  </si>
  <si>
    <t>F612A</t>
  </si>
  <si>
    <t xml:space="preserve">BALLY SOFA </t>
  </si>
  <si>
    <t>F612D</t>
  </si>
  <si>
    <t>BALLY LOVESEAT</t>
  </si>
  <si>
    <t>F612J</t>
  </si>
  <si>
    <t>BALLY LARGE OTTOMAN</t>
  </si>
  <si>
    <t>F612S</t>
  </si>
  <si>
    <t>BALLY CHAIR</t>
  </si>
  <si>
    <t>F641C</t>
  </si>
  <si>
    <t>GRAND ISLAND ARMLESS SOFA</t>
  </si>
  <si>
    <t>F641CB</t>
  </si>
  <si>
    <t>GRAND ISLAND ONE ARM CHAISE</t>
  </si>
  <si>
    <t>F641CC</t>
  </si>
  <si>
    <t>GRAND ISLAND CORNER</t>
  </si>
  <si>
    <t>F641CQ</t>
  </si>
  <si>
    <t>GRAND ISLAND QUEEN ARMLESS SLEEPER</t>
  </si>
  <si>
    <t>F641CZ</t>
  </si>
  <si>
    <t>GRAND ISLAND LAF 1 ARM CHAISE</t>
  </si>
  <si>
    <t>F641E</t>
  </si>
  <si>
    <t>GRAND ISLAND RAF 1 ARM LOVESEAT</t>
  </si>
  <si>
    <t>F641F</t>
  </si>
  <si>
    <t>GRAND ISLAND ARMLESS LOVESEAT</t>
  </si>
  <si>
    <t>F641I</t>
  </si>
  <si>
    <t>GRAND ISLAND ARMLESS CHAIR</t>
  </si>
  <si>
    <t>F641JB</t>
  </si>
  <si>
    <t>GRAND ISLAND BUMPER OTTOMAN</t>
  </si>
  <si>
    <t>F641JL</t>
  </si>
  <si>
    <t>GRAND ISLAND OVERSIZE OTTOMAN</t>
  </si>
  <si>
    <t>F641LA</t>
  </si>
  <si>
    <t>GRAND ISLAND LAF ONE ARM SOFA</t>
  </si>
  <si>
    <t>F641P</t>
  </si>
  <si>
    <t>GRAND ISLAND SOFA SECTIONAL RETURN</t>
  </si>
  <si>
    <t>F641RA</t>
  </si>
  <si>
    <t>GRAND ISLAND RAF ONE ARM SOFA</t>
  </si>
  <si>
    <t>F641U</t>
  </si>
  <si>
    <t>GRAND ISLAND ONE ARM LOVESEAT</t>
  </si>
  <si>
    <t>F641Y</t>
  </si>
  <si>
    <t>GRAND ISLAND LAF 1 ARM SOFA SECTIONAL</t>
  </si>
  <si>
    <t>F644A</t>
  </si>
  <si>
    <t>VOLARE SOFA</t>
  </si>
  <si>
    <t>F644S</t>
  </si>
  <si>
    <t>VOLARE CHAIR</t>
  </si>
  <si>
    <t>F664A</t>
  </si>
  <si>
    <t>PENTHOUSE SOFA</t>
  </si>
  <si>
    <t>F664d</t>
  </si>
  <si>
    <t>PENTHOUSE LOVESEAT</t>
  </si>
  <si>
    <t>F664S</t>
  </si>
  <si>
    <t>PENTHOUSE CHAIR</t>
  </si>
  <si>
    <t>F667C</t>
  </si>
  <si>
    <t>LOLA ARMLESS SOFA</t>
  </si>
  <si>
    <t>F667CB</t>
  </si>
  <si>
    <t>LOLA RAF CHAISE</t>
  </si>
  <si>
    <t>F667CZ</t>
  </si>
  <si>
    <t>LOLA CHAISE</t>
  </si>
  <si>
    <t>F667F</t>
  </si>
  <si>
    <t>LOLA ARMLESS LOVESEAT</t>
  </si>
  <si>
    <t>F667JL</t>
  </si>
  <si>
    <t>LOLA OVERSIZED OTTOMAN</t>
  </si>
  <si>
    <t>F667LA</t>
  </si>
  <si>
    <t>LOLA ONE ARM SOFA</t>
  </si>
  <si>
    <t>F667P</t>
  </si>
  <si>
    <t>LOLA SECTIONALRETURN SOFA</t>
  </si>
  <si>
    <t>F667U</t>
  </si>
  <si>
    <t>LOLA ONE ARM LOVESEAT</t>
  </si>
  <si>
    <t>F667Y</t>
  </si>
  <si>
    <t>LOLA RAF SECT SOFA</t>
  </si>
  <si>
    <t>F678A</t>
  </si>
  <si>
    <t>CORNELL SOFA</t>
  </si>
  <si>
    <t>F678D</t>
  </si>
  <si>
    <t>CORNELL LOVESEAT</t>
  </si>
  <si>
    <t>F678N</t>
  </si>
  <si>
    <t>CORNELL DAYBED</t>
  </si>
  <si>
    <t>F678S</t>
  </si>
  <si>
    <t>CORNELL CHAIR</t>
  </si>
  <si>
    <t>F680A</t>
  </si>
  <si>
    <t>PLAYER SOFA</t>
  </si>
  <si>
    <t>F680J</t>
  </si>
  <si>
    <t>PENTHOUSE OTTOMAN</t>
  </si>
  <si>
    <t>F684JL</t>
  </si>
  <si>
    <t>BARBADOS OVERSIZED OTTOMAN</t>
  </si>
  <si>
    <t>F687A</t>
  </si>
  <si>
    <t>COOPER SOFA</t>
  </si>
  <si>
    <t>F687D</t>
  </si>
  <si>
    <t>COOPER LOVESEAT</t>
  </si>
  <si>
    <t>F687J</t>
  </si>
  <si>
    <t>COOPER OTTOMAN</t>
  </si>
  <si>
    <t>F687S</t>
  </si>
  <si>
    <t>COOPER CHAIR</t>
  </si>
  <si>
    <t>F688J</t>
  </si>
  <si>
    <t>BEL-AIR OTTOMAN</t>
  </si>
  <si>
    <t>F7588J</t>
  </si>
  <si>
    <t>GRACIE OTTOMAN</t>
  </si>
  <si>
    <t>F7588S</t>
  </si>
  <si>
    <t>GRACIE OCCASIONAL CHAIR</t>
  </si>
  <si>
    <t>SS-0385</t>
  </si>
  <si>
    <t>CARLISLE CHAIR</t>
  </si>
  <si>
    <t>SS-0387</t>
  </si>
  <si>
    <t>CARLISLE SOFA</t>
  </si>
  <si>
    <t>SS-0392</t>
  </si>
  <si>
    <t>GREENWICH CHAIR</t>
  </si>
  <si>
    <t>SS-0393</t>
  </si>
  <si>
    <t>GREENWICH LOVESEAT</t>
  </si>
  <si>
    <t>SS-0394</t>
  </si>
  <si>
    <t>GREENWICH OTTO</t>
  </si>
  <si>
    <t>SS-0395</t>
  </si>
  <si>
    <t>GREENWICH SOFA</t>
  </si>
  <si>
    <t>SS-0416</t>
  </si>
  <si>
    <t>PB GRAND SOFA</t>
  </si>
  <si>
    <t>SS-0423</t>
  </si>
  <si>
    <t>PB REGULAR CHAIR</t>
  </si>
  <si>
    <t>SS-0425</t>
  </si>
  <si>
    <t>PB GRAND CHAIR</t>
  </si>
  <si>
    <t>SS-0426</t>
  </si>
  <si>
    <t>PBC GRAND SOFA</t>
  </si>
  <si>
    <t>SS-0437</t>
  </si>
  <si>
    <t>PB REGULAR SOFA</t>
  </si>
  <si>
    <t>SS-0462</t>
  </si>
  <si>
    <t>PEARCE ARMLESS LOVESEAT</t>
  </si>
  <si>
    <t>SS-0464</t>
  </si>
  <si>
    <t>PEARCE ONE ARM CHAIR</t>
  </si>
  <si>
    <t>SS-0465</t>
  </si>
  <si>
    <t>PEARCE CHAISE</t>
  </si>
  <si>
    <t>SS-0466</t>
  </si>
  <si>
    <t>PEARCE LAF LOVESEAT</t>
  </si>
  <si>
    <t>SS-0468</t>
  </si>
  <si>
    <t>PEARCE LAF RETURN SOFA</t>
  </si>
  <si>
    <t>SS-0473</t>
  </si>
  <si>
    <t>PEARCE RAF LOVESEAT</t>
  </si>
  <si>
    <t>SS-0475</t>
  </si>
  <si>
    <t>PEARCE RAF RETURN SOFA</t>
  </si>
  <si>
    <t>SS-0478</t>
  </si>
  <si>
    <t>PEARCE WEDGE</t>
  </si>
  <si>
    <t>SS-0479</t>
  </si>
  <si>
    <t>SS-0481</t>
  </si>
  <si>
    <t>SS-0482</t>
  </si>
  <si>
    <t>SS-0483</t>
  </si>
  <si>
    <t>SS-0484</t>
  </si>
  <si>
    <t>SS-0485</t>
  </si>
  <si>
    <t>SS-0486</t>
  </si>
  <si>
    <t>SS-0487</t>
  </si>
  <si>
    <t>SS-0488</t>
  </si>
  <si>
    <t>SS-0489</t>
  </si>
  <si>
    <t>SS-0490</t>
  </si>
  <si>
    <t>SEABURY RAF CHAIR</t>
  </si>
  <si>
    <t>SS-0491</t>
  </si>
  <si>
    <t>SEABURY RAF CHAISE</t>
  </si>
  <si>
    <t>SS-0492</t>
  </si>
  <si>
    <t>SEABURY RAF LOVESEAT</t>
  </si>
  <si>
    <t>SS-0494</t>
  </si>
  <si>
    <t>SEABURY SOFA</t>
  </si>
  <si>
    <t>SS-0495</t>
  </si>
  <si>
    <t>SEABURY SLEEPER</t>
  </si>
  <si>
    <t>SS-0496</t>
  </si>
  <si>
    <t>SEABURY WEDGE</t>
  </si>
  <si>
    <t>SS-0941</t>
  </si>
  <si>
    <t>CARLISLE APT SOFA</t>
  </si>
  <si>
    <t>SS-0984</t>
  </si>
  <si>
    <t>DIAMOND FULL HDBD</t>
  </si>
  <si>
    <t>SS-0985</t>
  </si>
  <si>
    <t>DIAMOND KING HDBD</t>
  </si>
  <si>
    <t>SS-0986</t>
  </si>
  <si>
    <t>DIAMOND QUEEN HDBD</t>
  </si>
  <si>
    <t>SS-0987</t>
  </si>
  <si>
    <t>DIAMOND TWIN</t>
  </si>
  <si>
    <t>SS-0988</t>
  </si>
  <si>
    <t>GRID FULL HDBD</t>
  </si>
  <si>
    <t>SS-0989</t>
  </si>
  <si>
    <t>GRID KING HDBD</t>
  </si>
  <si>
    <t>SS-0990</t>
  </si>
  <si>
    <t>GRID QUEEN HDBD</t>
  </si>
  <si>
    <t>SS-0991</t>
  </si>
  <si>
    <t>GRID TWIN HDBD</t>
  </si>
  <si>
    <t>SS-0993</t>
  </si>
  <si>
    <t>NAILHEAD FULL HDBD</t>
  </si>
  <si>
    <t>SS-0994</t>
  </si>
  <si>
    <t>NAILHEAD KING HDBD</t>
  </si>
  <si>
    <t>SS-0995</t>
  </si>
  <si>
    <t>NAILHEAD QUEEN HDBD</t>
  </si>
  <si>
    <t>SS-0996</t>
  </si>
  <si>
    <t>NAILHEAD TWIN HDBD</t>
  </si>
  <si>
    <t>SS-0997</t>
  </si>
  <si>
    <t>RALEIGH COMPLETE KING FOOTBOARD</t>
  </si>
  <si>
    <t>SS-0998</t>
  </si>
  <si>
    <t>RALEIGH  FULL FOOTBOARD</t>
  </si>
  <si>
    <t>SS-0999</t>
  </si>
  <si>
    <t>SS-1000</t>
  </si>
  <si>
    <t>RALEIGH QUEEN FOOTBOARD</t>
  </si>
  <si>
    <t>SS-1001</t>
  </si>
  <si>
    <t>RALEIGH COMP CAL KING HDBD</t>
  </si>
  <si>
    <t>SS-1002</t>
  </si>
  <si>
    <t>RALEIGH COMPLETE FULL HEADBOARD</t>
  </si>
  <si>
    <t>RALEIGH COMPLETE KING HEADBOARD</t>
  </si>
  <si>
    <t>RALEIGH COMPLETE QUEEN HDBD</t>
  </si>
  <si>
    <t>RALEIGH COMPLETE QUEEN HEADBOARD</t>
  </si>
  <si>
    <t>RALEIGH SQUARE FULL HDBD</t>
  </si>
  <si>
    <t>RALEIGH SQUARE KING HDBD</t>
  </si>
  <si>
    <t>SS-1008</t>
  </si>
  <si>
    <t>RALEIGH SQUARE QUEEN HDBD</t>
  </si>
  <si>
    <t>SS-1013</t>
  </si>
  <si>
    <t>RALEIGH SQUARE COMP CAL KING HDBD</t>
  </si>
  <si>
    <t>SS-1014</t>
  </si>
  <si>
    <t>RALEIGH SQUARE COMP FULL HDBD</t>
  </si>
  <si>
    <t>SS-1015</t>
  </si>
  <si>
    <t>RALEIGH SQUARE COMP QUEEN HDBD</t>
  </si>
  <si>
    <t>SS-1016</t>
  </si>
  <si>
    <t>RALEIGH SQUARE COMPLETE QUEEN HEADBOARD</t>
  </si>
  <si>
    <t>SS-1017</t>
  </si>
  <si>
    <t>RALEIGH CAL KING</t>
  </si>
  <si>
    <t>SS-1018</t>
  </si>
  <si>
    <t>RALEIGH FULL HDBD</t>
  </si>
  <si>
    <t>SS-1019</t>
  </si>
  <si>
    <t>RALEIGH KING HDBD</t>
  </si>
  <si>
    <t>SS-1020</t>
  </si>
  <si>
    <t>SCROLL FULL HDBD</t>
  </si>
  <si>
    <t>SS-1021</t>
  </si>
  <si>
    <t>SCROLL KING HDBD</t>
  </si>
  <si>
    <t>SS-1022</t>
  </si>
  <si>
    <t>SCROLL QUEEN HDBD</t>
  </si>
  <si>
    <t>SS-1023</t>
  </si>
  <si>
    <t>SCROLL TWIN HDBD</t>
  </si>
  <si>
    <t>SS-1269</t>
  </si>
  <si>
    <t>STEWART SOFA</t>
  </si>
  <si>
    <t>SS-1282</t>
  </si>
  <si>
    <t>LANDON CHAIR</t>
  </si>
  <si>
    <t>SS-1283</t>
  </si>
  <si>
    <t>LANDON SOFA</t>
  </si>
  <si>
    <t>SS-1288</t>
  </si>
  <si>
    <t>LANDON OTTOMAN</t>
  </si>
  <si>
    <t>SS-1289</t>
  </si>
  <si>
    <t>CARLISLE UPH OTTOMAN</t>
  </si>
  <si>
    <t>SS-1411</t>
  </si>
  <si>
    <t>TALL GRID TWIN HEADBOARD</t>
  </si>
  <si>
    <t>SS-1412</t>
  </si>
  <si>
    <t>TALL GRID FULL HDBD</t>
  </si>
  <si>
    <t>SS-1413</t>
  </si>
  <si>
    <t>TALL GRID QUEEN HEADBOARD</t>
  </si>
  <si>
    <t>SS-1414</t>
  </si>
  <si>
    <t>TALL GRID KING HEADBOARD</t>
  </si>
  <si>
    <t>SS-1415</t>
  </si>
  <si>
    <t>TALL NAILHEAD TWIN HEADBOARD</t>
  </si>
  <si>
    <t>SS-1416</t>
  </si>
  <si>
    <t>TALL NAILHEAD FULL HDBD</t>
  </si>
  <si>
    <t>SS-1417</t>
  </si>
  <si>
    <t>TALL NAILHEAD QUEEN HEADBOARD</t>
  </si>
  <si>
    <t>SS-1418</t>
  </si>
  <si>
    <t>TALL NAILHEAD KING HEADBOARD</t>
  </si>
  <si>
    <t>SS-1435</t>
  </si>
  <si>
    <t>STEWART ALS CHAIR</t>
  </si>
  <si>
    <t>SS-1436</t>
  </si>
  <si>
    <t>STEWART OTTOMAN</t>
  </si>
  <si>
    <t>SS-1494</t>
  </si>
  <si>
    <t>PBK CAMEL TWIN HEADBOARD</t>
  </si>
  <si>
    <t>SS-1580</t>
  </si>
  <si>
    <t>PBK FOOTBOARD TWIN</t>
  </si>
  <si>
    <t>SS-1600</t>
  </si>
  <si>
    <t>PBK CAMEL FULL HEADBOARD</t>
  </si>
  <si>
    <t>SS-1602</t>
  </si>
  <si>
    <t>PBK FOOTBOARD FULL</t>
  </si>
  <si>
    <t>TEMP001</t>
  </si>
  <si>
    <t>PASADENA ONE ARM LOVESEAT</t>
  </si>
  <si>
    <t>V-100</t>
  </si>
  <si>
    <t>601D SOFA</t>
  </si>
  <si>
    <t>V-101</t>
  </si>
  <si>
    <t>601E CHAIR</t>
  </si>
  <si>
    <t>V-200</t>
  </si>
  <si>
    <t>600D SOFA</t>
  </si>
  <si>
    <t>V-201</t>
  </si>
  <si>
    <t>600E CHAIR</t>
  </si>
  <si>
    <t>V-202</t>
  </si>
  <si>
    <t>600A LOVESEAT</t>
  </si>
  <si>
    <t>V-203</t>
  </si>
  <si>
    <t>600Z SLEEPER</t>
  </si>
  <si>
    <t>V-300</t>
  </si>
  <si>
    <t>603 D SOFA</t>
  </si>
  <si>
    <t>V-304</t>
  </si>
  <si>
    <t>C18D SOFA</t>
  </si>
  <si>
    <t>V-307</t>
  </si>
  <si>
    <t>C18 E CHAIR</t>
  </si>
  <si>
    <t>Description</t>
  </si>
  <si>
    <t>Price</t>
  </si>
  <si>
    <t>TOTAL PAY FOR WEEK</t>
  </si>
  <si>
    <t>TOTAL FRAMES</t>
  </si>
  <si>
    <t>LOST HOURS FOR WEEK</t>
  </si>
  <si>
    <t>ARMANDO HUERTOS</t>
  </si>
  <si>
    <t>KNOCKUP</t>
  </si>
  <si>
    <t>SPRINGUP</t>
  </si>
  <si>
    <t>PAY</t>
  </si>
  <si>
    <t>CARMELO SALAZAR</t>
  </si>
  <si>
    <t>MARTIN SALAZAR</t>
  </si>
  <si>
    <t>LOST HOURS PAY</t>
  </si>
  <si>
    <t>TOTAL PAY</t>
  </si>
  <si>
    <t>SS-1495</t>
  </si>
  <si>
    <t>PBK HEADBOARD SQUARE TWIN</t>
  </si>
  <si>
    <t>SS-4860</t>
  </si>
  <si>
    <t>TUFTED PANEL HEADBOARD FULL</t>
  </si>
  <si>
    <t>SS-1601</t>
  </si>
  <si>
    <t>PBK HEADBOARD SQUARE FULL</t>
  </si>
  <si>
    <t>f801cz</t>
  </si>
  <si>
    <t>ATLANTA LAF 1ARM DOUBLE CHAISE</t>
  </si>
  <si>
    <t>F626LA</t>
  </si>
  <si>
    <t>ATLANTA/MIRAGE LAF 1ARM SOFA</t>
  </si>
  <si>
    <t>F626RA</t>
  </si>
  <si>
    <t>ATLANTA/MIRAGE RAF 1ARM SOFA</t>
  </si>
  <si>
    <t>F801CB</t>
  </si>
  <si>
    <t>ATLANTA RAF 1ARM DOUBLE CHAISE</t>
  </si>
  <si>
    <t>F801JB</t>
  </si>
  <si>
    <t>ATLANTA BUMPER OTTOMAN</t>
  </si>
  <si>
    <t>F641LC</t>
  </si>
  <si>
    <t>GRAND ISLAND ONE ARM CHAIR LAF</t>
  </si>
  <si>
    <t>SS-1008RD</t>
  </si>
  <si>
    <t>RALEIGH SQUARE QUEEN SMALL</t>
  </si>
  <si>
    <t>TROPICANA/SHUTTERS CHAIR</t>
  </si>
  <si>
    <t>F7583S</t>
  </si>
  <si>
    <t>RD-005</t>
  </si>
  <si>
    <t>RD-006</t>
  </si>
  <si>
    <t>COR./GROVE/OHANA OCC CHAIR</t>
  </si>
  <si>
    <t>PROVENCE LAF LOVESEAT</t>
  </si>
  <si>
    <t>PROVENCE LAF SOFA SECT. RETURN</t>
  </si>
  <si>
    <t>F667RA</t>
  </si>
  <si>
    <t>LOLA 1 ARM RAF SOFA</t>
  </si>
  <si>
    <t>SS-0386</t>
  </si>
  <si>
    <t>CARLISLE OTTOMAN</t>
  </si>
  <si>
    <t>F641RC</t>
  </si>
  <si>
    <t>GRAND ISLAND 1 ARM RAF CHAIR</t>
  </si>
  <si>
    <t>SS-0458</t>
  </si>
  <si>
    <t>PBK GLIDER</t>
  </si>
  <si>
    <t>SS-0459</t>
  </si>
  <si>
    <t>PBK GRAND GLIDER</t>
  </si>
  <si>
    <t>SS-1614</t>
  </si>
  <si>
    <t>PBK SMALL ROLL ARM GLIDER</t>
  </si>
  <si>
    <t>SS-1131</t>
  </si>
  <si>
    <t>PBK PETITE SQ ARM GLIDER</t>
  </si>
  <si>
    <t>SS-1674</t>
  </si>
  <si>
    <t>PB TEEN HEADBOARD TWIN</t>
  </si>
  <si>
    <t>SS-1675</t>
  </si>
  <si>
    <t>PB TEEN HEADBOARD FULL</t>
  </si>
  <si>
    <t>SS-1676</t>
  </si>
  <si>
    <t>PB TEEN HEADBOARD QUEEN</t>
  </si>
  <si>
    <t>SS-1679</t>
  </si>
  <si>
    <t>PB TEEN FOOTBOARD QUEEN</t>
  </si>
  <si>
    <t>SS-1678</t>
  </si>
  <si>
    <t>PB TEEN FOOTBOARD FULL</t>
  </si>
  <si>
    <t>SS-1677</t>
  </si>
  <si>
    <t>PB TEEN FOOTBOARD TWIN</t>
  </si>
  <si>
    <t>F612K</t>
  </si>
  <si>
    <t>BALLY SLEEPER</t>
  </si>
  <si>
    <t>SS-0445</t>
  </si>
  <si>
    <t>PBC SQUARE GRAND CHAIR</t>
  </si>
  <si>
    <t>SS-0446</t>
  </si>
  <si>
    <t>PBC SQUARE GRAND SOFA</t>
  </si>
  <si>
    <t>SS-0450</t>
  </si>
  <si>
    <t>PBC SQUARE LOVESEAT</t>
  </si>
  <si>
    <t>SS-0455</t>
  </si>
  <si>
    <t>PBC SQUARE SOFA</t>
  </si>
  <si>
    <t>SS-0441</t>
  </si>
  <si>
    <t>PBC SQUARE ARMLESS CHAIR</t>
  </si>
  <si>
    <t>SS-0442</t>
  </si>
  <si>
    <t>PBC SQUARE ARMLESS LOVESEAT</t>
  </si>
  <si>
    <t>SS-0444</t>
  </si>
  <si>
    <t>PBC SQUARE CORNER</t>
  </si>
  <si>
    <t>SS-0447</t>
  </si>
  <si>
    <t>PBC SQUARE LAF CHAIR</t>
  </si>
  <si>
    <t>SS-0449</t>
  </si>
  <si>
    <t>PBC SQUARE LAF LOVESEAT</t>
  </si>
  <si>
    <t>SS-0451</t>
  </si>
  <si>
    <t>PBC SQUARE RAF CHAIR</t>
  </si>
  <si>
    <t>SS-0452</t>
  </si>
  <si>
    <t>PBC SQUARE RAF CHAISE</t>
  </si>
  <si>
    <t>SS-0453</t>
  </si>
  <si>
    <t>PBC SQUARE RAF LOVESEAT</t>
  </si>
  <si>
    <t>SS-0454</t>
  </si>
  <si>
    <t>PBC SQUARE SLEEPER</t>
  </si>
  <si>
    <t>F641S</t>
  </si>
  <si>
    <t>GRAND ISLAND MATCHING CHAIR</t>
  </si>
  <si>
    <t>F597J</t>
  </si>
  <si>
    <t>DYNASTY OTTOMAN</t>
  </si>
  <si>
    <t>F597RA</t>
  </si>
  <si>
    <t>DYNASTY 1 ARM SOFA RAF</t>
  </si>
  <si>
    <t>SS-1644</t>
  </si>
  <si>
    <t>CARLISLE UPH LAF CHAISE</t>
  </si>
  <si>
    <t>F584RC</t>
  </si>
  <si>
    <t>TROPICANA 1 ARM CHAIR RAF</t>
  </si>
  <si>
    <t>F7562S</t>
  </si>
  <si>
    <t>DALLAS/COCO NUT GRV OCC CHAIR</t>
  </si>
  <si>
    <t>MONDAY</t>
  </si>
  <si>
    <t>SS-1713</t>
  </si>
  <si>
    <t>LANDON OTTO - ASSEMBLED &amp; SPRUNG UP</t>
  </si>
  <si>
    <t>SS-1711</t>
  </si>
  <si>
    <t>LANDON SOFA - ASSEMBLED &amp; SPRUNG UP</t>
  </si>
  <si>
    <t>SS-1712</t>
  </si>
  <si>
    <t>LANDON CHAIR - ASSEMBLED &amp; SPRUNG UP</t>
  </si>
  <si>
    <t>SS-1708</t>
  </si>
  <si>
    <t>GREENWICH LOVE  - ASSEMBLED &amp; SPRUNG UP</t>
  </si>
  <si>
    <t>SS-1707</t>
  </si>
  <si>
    <t>GREENWICH CHAIR - ASSEMBLED &amp; SPRUNG UP</t>
  </si>
  <si>
    <t>SS-1710</t>
  </si>
  <si>
    <t>GREENWICH SOFA - ASSEMBLED &amp; SPRUNG UP</t>
  </si>
  <si>
    <t>SS-1736</t>
  </si>
  <si>
    <t>RALEIGH CMP HEADBOARD TWIN</t>
  </si>
  <si>
    <t>SS-1716</t>
  </si>
  <si>
    <t>STEWART SOFA - ASSEMBLED &amp; SPRUNG UP</t>
  </si>
  <si>
    <t>SS-1724</t>
  </si>
  <si>
    <t>SEABURY OTTO  - ASSEMBLED &amp; SPRUNG UP</t>
  </si>
  <si>
    <t>SS-1719</t>
  </si>
  <si>
    <t>SEABURY SOFA - ASSEMBLED &amp; SPRUNG UP</t>
  </si>
  <si>
    <t>SS-1730</t>
  </si>
  <si>
    <t>SEABURY CHAIR  - ASSEMBLED &amp; SPRUNG UP</t>
  </si>
  <si>
    <t>RALEIGH QUEEN HDBD</t>
  </si>
  <si>
    <t>SEABURY ARMLESS CHAIR</t>
  </si>
  <si>
    <t>SEABURY ARMLESS LOVESEAT</t>
  </si>
  <si>
    <t>SEABURY CHAIR</t>
  </si>
  <si>
    <t>SEABURY ONE ARM CHAIR</t>
  </si>
  <si>
    <t>SEABURY ONE ARM CHAISE</t>
  </si>
  <si>
    <t>SEABURY ONE ARM LOVESEAT</t>
  </si>
  <si>
    <t>SEABURY RETURN ARM SOFA</t>
  </si>
  <si>
    <t>SEABURY LONG SOFA</t>
  </si>
  <si>
    <t>SEABURY OTTO</t>
  </si>
  <si>
    <t>SS-1725</t>
  </si>
  <si>
    <t>SEABURY LONG SOFA - ASSEMBLED AND SPRUNG UP</t>
  </si>
  <si>
    <t>SS-0443</t>
  </si>
  <si>
    <t>PBC SQUARE CHAIR</t>
  </si>
  <si>
    <t>SS-1647</t>
  </si>
  <si>
    <t>CARLISLE UPH RAF LOVESEAT</t>
  </si>
  <si>
    <t>SS-0448</t>
  </si>
  <si>
    <t>PBC SQUARE LAF CHAISE</t>
  </si>
  <si>
    <t>SS-1709</t>
  </si>
  <si>
    <t>GREENWICH OTTO - ASSEMBLED AND SPRUNG UP</t>
  </si>
  <si>
    <t>SS-1715</t>
  </si>
  <si>
    <t>STEWART ALS CHAIR - ASSEMBLED &amp; SPRUNG UP</t>
  </si>
  <si>
    <t>TUESDAY</t>
  </si>
  <si>
    <t>WEDNESDAY</t>
  </si>
  <si>
    <t>THURSDAY</t>
  </si>
  <si>
    <t>F584S</t>
  </si>
  <si>
    <t>FRIDAY</t>
  </si>
  <si>
    <t>FRDAY</t>
  </si>
  <si>
    <t>SS-1714</t>
  </si>
  <si>
    <t>F878A</t>
  </si>
  <si>
    <t>F667E</t>
  </si>
  <si>
    <t>DAILY AVG.</t>
  </si>
  <si>
    <t>TOTALS</t>
  </si>
  <si>
    <t>F598J</t>
  </si>
  <si>
    <t>DAYS WORKED</t>
  </si>
  <si>
    <t>Hourly</t>
  </si>
  <si>
    <t>Machine Room</t>
  </si>
  <si>
    <t>0058</t>
  </si>
  <si>
    <t>Spring-Up</t>
  </si>
  <si>
    <t>0037</t>
  </si>
  <si>
    <t>0030</t>
  </si>
  <si>
    <t>Router</t>
  </si>
  <si>
    <t>Shipping</t>
  </si>
  <si>
    <t>Salary</t>
  </si>
  <si>
    <t>Management</t>
  </si>
  <si>
    <t>0001</t>
  </si>
  <si>
    <t>Product Development</t>
  </si>
  <si>
    <t>Jacob D Parris</t>
  </si>
  <si>
    <t>0056</t>
  </si>
  <si>
    <t>0038</t>
  </si>
  <si>
    <t>0033</t>
  </si>
  <si>
    <t>0008</t>
  </si>
  <si>
    <t>0010</t>
  </si>
  <si>
    <t>Knock-Up</t>
  </si>
  <si>
    <t>0013</t>
  </si>
  <si>
    <t>0005</t>
  </si>
  <si>
    <t>0003</t>
  </si>
  <si>
    <t>0002</t>
  </si>
  <si>
    <t>Rate</t>
  </si>
  <si>
    <t>Hrs</t>
  </si>
  <si>
    <t>Desc</t>
  </si>
  <si>
    <t>Hrs/Unt</t>
  </si>
  <si>
    <t>Ovt Hrs</t>
  </si>
  <si>
    <t>Wks W</t>
  </si>
  <si>
    <t>Reg Hr</t>
  </si>
  <si>
    <t>Rate Type</t>
  </si>
  <si>
    <t>Department</t>
  </si>
  <si>
    <t>Employee Name</t>
  </si>
  <si>
    <t>Employee No.</t>
  </si>
  <si>
    <t>Deduction Data</t>
  </si>
  <si>
    <t>Other Pay Data</t>
  </si>
  <si>
    <t>Production Pay =</t>
  </si>
  <si>
    <t>TOTAL HOURS</t>
  </si>
  <si>
    <t>REDI-FRAME INC.</t>
  </si>
  <si>
    <t>Payroll Transmittal Form</t>
  </si>
  <si>
    <t>Pay Period Ending</t>
  </si>
  <si>
    <t>Rate2</t>
  </si>
  <si>
    <t>Desc3</t>
  </si>
  <si>
    <t>Rate4</t>
  </si>
  <si>
    <t>NAME</t>
  </si>
  <si>
    <t xml:space="preserve">MONDAY </t>
  </si>
  <si>
    <t>WEDSDAY</t>
  </si>
  <si>
    <t>SATURDAY</t>
  </si>
  <si>
    <t>SUNDAY</t>
  </si>
  <si>
    <t>TOTAL HRS</t>
  </si>
  <si>
    <t>TOTAL HRS FOR THE WEEK</t>
  </si>
  <si>
    <t>Production</t>
  </si>
  <si>
    <t>Hourly Avg. Pay</t>
  </si>
  <si>
    <t>Hourly Average Prod</t>
  </si>
  <si>
    <t>PD-002</t>
  </si>
  <si>
    <t>PD-003</t>
  </si>
  <si>
    <t>STINSON ARMLESS CHAIR</t>
  </si>
  <si>
    <t>STINSON OTTOMAN</t>
  </si>
  <si>
    <t>pd-004</t>
  </si>
  <si>
    <t>STINSON CORNER</t>
  </si>
  <si>
    <t>F512A</t>
  </si>
  <si>
    <t>SS-1627</t>
  </si>
  <si>
    <t>PEARCE GRAND OTTOMAN</t>
  </si>
  <si>
    <t>BALLY/RIVIERA/ROYALE SOFA</t>
  </si>
  <si>
    <t>SS-1769</t>
  </si>
  <si>
    <t>SS-1768</t>
  </si>
  <si>
    <t>Friday</t>
  </si>
  <si>
    <t>SS-1770</t>
  </si>
  <si>
    <t>SS-1781</t>
  </si>
  <si>
    <t>SS-1790</t>
  </si>
  <si>
    <t>SS-1771</t>
  </si>
  <si>
    <t>SS-1782</t>
  </si>
  <si>
    <t>SS-1774</t>
  </si>
  <si>
    <t>PBC SQ GRAND CHAIR</t>
  </si>
  <si>
    <t>PBC SQ GRAND SOFA</t>
  </si>
  <si>
    <t>PBC SQ SLEEPER</t>
  </si>
  <si>
    <t xml:space="preserve"> </t>
  </si>
  <si>
    <t>SS-1786</t>
  </si>
  <si>
    <t>SS-1791</t>
  </si>
  <si>
    <t>SS-1779</t>
  </si>
  <si>
    <t>SS-1787</t>
  </si>
  <si>
    <t>SS-1783</t>
  </si>
  <si>
    <t>SS-1784</t>
  </si>
  <si>
    <t>SS-1789</t>
  </si>
  <si>
    <t>SS-1788</t>
  </si>
  <si>
    <t>SS-1785</t>
  </si>
  <si>
    <t>SS-1780</t>
  </si>
  <si>
    <t>SS-1776</t>
  </si>
  <si>
    <t>SS-1772</t>
  </si>
  <si>
    <t>Parker Sofa</t>
  </si>
  <si>
    <t>PD-006</t>
  </si>
  <si>
    <t>CRESCENT CHAISE</t>
  </si>
  <si>
    <t>SS-1777</t>
  </si>
  <si>
    <t>F646Y</t>
  </si>
  <si>
    <t>F685D</t>
  </si>
  <si>
    <t>F646I</t>
  </si>
  <si>
    <t>F646U</t>
  </si>
  <si>
    <t>SS-1775</t>
  </si>
  <si>
    <t>SS-1773</t>
  </si>
  <si>
    <t>F646LA</t>
  </si>
  <si>
    <t>F685A</t>
  </si>
  <si>
    <t>Provence Armless Chair</t>
  </si>
  <si>
    <t>Provence RAF One Arm Sofa</t>
  </si>
  <si>
    <t>Provence LAF One Arm Sofa</t>
  </si>
  <si>
    <t>Monarch Loveseat</t>
  </si>
  <si>
    <t>Monarch Sofa</t>
  </si>
  <si>
    <t>Provence LAF One Arm Loveseat</t>
  </si>
  <si>
    <t>Carlisle LAF One Arm Loveseat</t>
  </si>
  <si>
    <t>Carlisle UPH RAF Chaise</t>
  </si>
  <si>
    <t>PBC Sq ALS Chair</t>
  </si>
  <si>
    <t>F597LA</t>
  </si>
  <si>
    <t>F597JB</t>
  </si>
  <si>
    <t>F597Y</t>
  </si>
  <si>
    <t>SS-1778</t>
  </si>
  <si>
    <t>F685J</t>
  </si>
  <si>
    <t>DYNASTY 1 ARM SOFA LAF</t>
  </si>
  <si>
    <t>Dynasty Cocktail Ottoman</t>
  </si>
  <si>
    <t>Dynasty RAF Sectional Sofa</t>
  </si>
  <si>
    <t>Monarch Ottoman</t>
  </si>
  <si>
    <t>West Elm Panel Tufted Headboard Queen</t>
  </si>
  <si>
    <t>West Elm Panel Tufted Headboard Twin</t>
  </si>
  <si>
    <t>West Elm Panel Tufted Headboard King</t>
  </si>
  <si>
    <t>West Elm Panel Tufted Headboard Full</t>
  </si>
  <si>
    <t>F816J</t>
  </si>
  <si>
    <t>F816D</t>
  </si>
  <si>
    <t>Malibu Ottoman</t>
  </si>
  <si>
    <t>Malibu Loveseat</t>
  </si>
  <si>
    <t>Saturday</t>
  </si>
  <si>
    <t>F685S</t>
  </si>
  <si>
    <t>F816S</t>
  </si>
  <si>
    <t>F816A</t>
  </si>
  <si>
    <t>Malibu Sofa</t>
  </si>
  <si>
    <t>Malibu Chair</t>
  </si>
  <si>
    <t>Monarch Chair</t>
  </si>
  <si>
    <t>Week of</t>
  </si>
  <si>
    <t>SS-0422</t>
  </si>
  <si>
    <t>SS-0421</t>
  </si>
  <si>
    <t>PBC Armless Loveseat</t>
  </si>
  <si>
    <t>PBC Armless Chair</t>
  </si>
  <si>
    <t>Tropicana Armless Sofa</t>
  </si>
  <si>
    <t>F680D</t>
  </si>
  <si>
    <t>F7526S</t>
  </si>
  <si>
    <t>Player Loveseat</t>
  </si>
  <si>
    <t>Dynasty OCC Chair</t>
  </si>
  <si>
    <t>F673CB</t>
  </si>
  <si>
    <t>F7507S</t>
  </si>
  <si>
    <t>Billie Jean 1 arm Chaise</t>
  </si>
  <si>
    <t>Player Armless OCC Chair</t>
  </si>
  <si>
    <t>F680S</t>
  </si>
  <si>
    <t>F673RA</t>
  </si>
  <si>
    <t>F673LA</t>
  </si>
  <si>
    <t>F673CZ</t>
  </si>
  <si>
    <t>F657S</t>
  </si>
  <si>
    <t>SS-0480</t>
  </si>
  <si>
    <t>Kate Chair</t>
  </si>
  <si>
    <t>Player Chair Frame</t>
  </si>
  <si>
    <t>Billie Jean 1 arm Chair RAF</t>
  </si>
  <si>
    <t>Billie Jean 1 Arm Chair LAF</t>
  </si>
  <si>
    <t>Ardly Headboard</t>
  </si>
  <si>
    <t>Hours</t>
  </si>
  <si>
    <t>PD</t>
  </si>
  <si>
    <t>Buchanan Sofa</t>
  </si>
  <si>
    <t>F115J</t>
  </si>
  <si>
    <t>St Regis Ottoman</t>
  </si>
  <si>
    <t>SS-1833</t>
  </si>
  <si>
    <t>SS-1832</t>
  </si>
  <si>
    <t>Billie Jean Storage Ottoman</t>
  </si>
  <si>
    <t>Bean Bag Sofa</t>
  </si>
  <si>
    <t>F817A</t>
  </si>
  <si>
    <t>F646RA</t>
  </si>
  <si>
    <t>SS-1834</t>
  </si>
  <si>
    <t>Kate Sofa</t>
  </si>
  <si>
    <t>F649CZ</t>
  </si>
  <si>
    <t>F649U</t>
  </si>
  <si>
    <t>F646P</t>
  </si>
  <si>
    <t>Thursday</t>
  </si>
  <si>
    <t>Wednesday</t>
  </si>
  <si>
    <t>Crescent One Arm Loveseat</t>
  </si>
  <si>
    <t>Crescent One Arm Chaise</t>
  </si>
  <si>
    <t>Provence LAF Sectional</t>
  </si>
  <si>
    <t>F673js</t>
  </si>
  <si>
    <t>F657A</t>
  </si>
  <si>
    <t>SS-1831</t>
  </si>
  <si>
    <t>F7581S</t>
  </si>
  <si>
    <t>F657J</t>
  </si>
  <si>
    <t>Montana OCC Chair Seatboard</t>
  </si>
  <si>
    <t>Kate Ottoman</t>
  </si>
  <si>
    <t>F678K</t>
  </si>
  <si>
    <t>Cornell Sleeper</t>
  </si>
  <si>
    <t>V601D</t>
  </si>
  <si>
    <t>Vanguard Sample Sofa</t>
  </si>
  <si>
    <t>F7563S</t>
  </si>
  <si>
    <t>7563OCC Chair</t>
  </si>
  <si>
    <t>F564K</t>
  </si>
  <si>
    <t>Wynn Sleeper</t>
  </si>
  <si>
    <t>F646E</t>
  </si>
  <si>
    <t>Provence RAF 1 Arm Loveseat</t>
  </si>
  <si>
    <t>F626Q</t>
  </si>
  <si>
    <t>Mirage LAF 1 Arm Queen Sleeper Frame</t>
  </si>
  <si>
    <t>F626CB</t>
  </si>
  <si>
    <t>F672A</t>
  </si>
  <si>
    <t>F626CZ</t>
  </si>
  <si>
    <t>F687K</t>
  </si>
  <si>
    <t>Washington Sofa</t>
  </si>
  <si>
    <t>Tropicana Sofa</t>
  </si>
  <si>
    <t>Mirage RAF 1 Arm Chaise</t>
  </si>
  <si>
    <t>Tranquil Bay Sofa</t>
  </si>
  <si>
    <t>Mirage LAF 1 Arm Chaise</t>
  </si>
  <si>
    <t>Cooper Sleeper</t>
  </si>
  <si>
    <t>F815A</t>
  </si>
  <si>
    <t>F584A</t>
  </si>
  <si>
    <t>F672D</t>
  </si>
  <si>
    <t>Tranquil Bay Loveseat</t>
  </si>
  <si>
    <t>F7519S</t>
  </si>
  <si>
    <t>Monarch OCC Chair</t>
  </si>
  <si>
    <t>Melrose Swivel Chair</t>
  </si>
  <si>
    <t>F817S</t>
  </si>
  <si>
    <t>Buchanan Chair</t>
  </si>
  <si>
    <t>F7531RS</t>
  </si>
  <si>
    <t>F7516S</t>
  </si>
  <si>
    <t>Tranquil Bay Seatboard</t>
  </si>
  <si>
    <t>Rate5</t>
  </si>
  <si>
    <t>604D</t>
  </si>
  <si>
    <t>F649F</t>
  </si>
  <si>
    <t>F821A</t>
  </si>
  <si>
    <t>Lincoln Sofa</t>
  </si>
  <si>
    <t>Vanguard Sofa</t>
  </si>
  <si>
    <t>F692D</t>
  </si>
  <si>
    <t>F692A</t>
  </si>
  <si>
    <t>Yorkshire Sofa</t>
  </si>
  <si>
    <t>Yorkshire Loveseat</t>
  </si>
  <si>
    <t>F672S</t>
  </si>
  <si>
    <t>Tranquil Bay Chair</t>
  </si>
  <si>
    <t>F7567S</t>
  </si>
  <si>
    <t>OCC CHAIR</t>
  </si>
  <si>
    <t>F641D</t>
  </si>
  <si>
    <t>Grand Island Loveseat</t>
  </si>
  <si>
    <t>F641SS</t>
  </si>
  <si>
    <t>Grand Island Chair</t>
  </si>
  <si>
    <t>F644D</t>
  </si>
  <si>
    <t>Volare Loveseat</t>
  </si>
  <si>
    <t>F671CZ</t>
  </si>
  <si>
    <t>F671CB</t>
  </si>
  <si>
    <t>F7558S</t>
  </si>
  <si>
    <t>Provence OCC Chair</t>
  </si>
  <si>
    <t>Melrose Chaise</t>
  </si>
  <si>
    <t>Order</t>
  </si>
  <si>
    <t>0066</t>
  </si>
  <si>
    <t>Knockup</t>
  </si>
  <si>
    <t>Springup</t>
  </si>
  <si>
    <t>F821S</t>
  </si>
  <si>
    <t>F821D</t>
  </si>
  <si>
    <t>f7558j</t>
  </si>
  <si>
    <t>OCC Ottoman</t>
  </si>
  <si>
    <t>Lincoln Chair</t>
  </si>
  <si>
    <t>Lincoln Loveseat</t>
  </si>
  <si>
    <t>F641A</t>
  </si>
  <si>
    <t>Grand Island Sofa</t>
  </si>
  <si>
    <t>F668RA</t>
  </si>
  <si>
    <t>F688CZ</t>
  </si>
  <si>
    <t>F688CB</t>
  </si>
  <si>
    <t>Riviera Chaise</t>
  </si>
  <si>
    <t>F668LA</t>
  </si>
  <si>
    <t>Riviera One Arm Sofa</t>
  </si>
  <si>
    <t>F639RA</t>
  </si>
  <si>
    <t>F639C</t>
  </si>
  <si>
    <t>F639CZ</t>
  </si>
  <si>
    <t>F639CB</t>
  </si>
  <si>
    <t>Calcutta Armless Sofa</t>
  </si>
  <si>
    <t>Calcutta Chaise</t>
  </si>
  <si>
    <t>Calcutta One Arm Sofa</t>
  </si>
  <si>
    <t>F639LA</t>
  </si>
  <si>
    <t>F639Y</t>
  </si>
  <si>
    <t>F639P</t>
  </si>
  <si>
    <t>F545CB</t>
  </si>
  <si>
    <t>F545F</t>
  </si>
  <si>
    <t>Calcutta LAF Sofa Sectional</t>
  </si>
  <si>
    <t>Calcutta RAF Sofa Sectional</t>
  </si>
  <si>
    <t>Hilton Chaise</t>
  </si>
  <si>
    <t>F545CZ</t>
  </si>
  <si>
    <t>Hilton Armless Loveseat</t>
  </si>
  <si>
    <t>F545P</t>
  </si>
  <si>
    <t>F545Y</t>
  </si>
  <si>
    <t>Hilton/Shade LAF 1 Arm Sofa Sectl</t>
  </si>
  <si>
    <t>Hilton/Shade RAF 1 Arm Sofa Sectl</t>
  </si>
  <si>
    <t>F7567D</t>
  </si>
  <si>
    <t>Reflections OCC Chair</t>
  </si>
  <si>
    <t>F639U</t>
  </si>
  <si>
    <t>F639F</t>
  </si>
  <si>
    <t>F639E</t>
  </si>
  <si>
    <t>Calcutta One Arm Loveseat</t>
  </si>
  <si>
    <t>Calcutta Armless Loveseat</t>
  </si>
  <si>
    <t>F639RC</t>
  </si>
  <si>
    <t>Calcutta RAF 1 Arm Chair</t>
  </si>
  <si>
    <t>F545C</t>
  </si>
  <si>
    <t>Hilton Armless Sofa</t>
  </si>
  <si>
    <t>Southern Sofa Frame</t>
  </si>
  <si>
    <t>f815s</t>
  </si>
  <si>
    <t>Washington Chair</t>
  </si>
  <si>
    <t>P001A</t>
  </si>
  <si>
    <t>Pauls Restaurant Chair</t>
  </si>
  <si>
    <t>F657D</t>
  </si>
  <si>
    <t>Kate Loveseat</t>
  </si>
  <si>
    <t>F836RA</t>
  </si>
  <si>
    <t>Mavrick One Arm Sofa RAF</t>
  </si>
  <si>
    <t>Q18-0245</t>
  </si>
  <si>
    <t>Q18-0254</t>
  </si>
  <si>
    <t>F545I</t>
  </si>
  <si>
    <t>Q18-0240</t>
  </si>
  <si>
    <t>F836P</t>
  </si>
  <si>
    <t>Mavrick One Arm Sectional Sofa</t>
  </si>
  <si>
    <t>F584D</t>
  </si>
  <si>
    <t>Hilton Armless Chair</t>
  </si>
  <si>
    <t>Tropicana Loveseat</t>
  </si>
  <si>
    <t>F836LA</t>
  </si>
  <si>
    <t>F836Y</t>
  </si>
  <si>
    <t>F641OO</t>
  </si>
  <si>
    <t>Grand Island Cuddler</t>
  </si>
  <si>
    <t>F641LL</t>
  </si>
  <si>
    <t>F671D</t>
  </si>
  <si>
    <t>F671A</t>
  </si>
  <si>
    <t>Melrose Loveseat</t>
  </si>
  <si>
    <t>Melrose Sofa</t>
  </si>
  <si>
    <t>SS-1991</t>
  </si>
  <si>
    <t>Bryant Glider</t>
  </si>
  <si>
    <t>F545JL</t>
  </si>
  <si>
    <t>Hilton Oversized Ottoman</t>
  </si>
  <si>
    <t>F545RA</t>
  </si>
  <si>
    <t>F545LA</t>
  </si>
  <si>
    <t>Hilton one arm sofa</t>
  </si>
  <si>
    <t>Hilton One Arm Sofa</t>
  </si>
  <si>
    <t>F828C</t>
  </si>
  <si>
    <t>F828CB</t>
  </si>
  <si>
    <t>F828CZ</t>
  </si>
  <si>
    <t>East Providence Chaise</t>
  </si>
  <si>
    <t>East Providence Armless Sofa</t>
  </si>
  <si>
    <t>F828Y</t>
  </si>
  <si>
    <t>F545RC</t>
  </si>
  <si>
    <t>F545LC</t>
  </si>
  <si>
    <t>Hilton One Arm Chair</t>
  </si>
  <si>
    <t>East Providence Sectional</t>
  </si>
  <si>
    <t>F522S</t>
  </si>
  <si>
    <t>F622OO</t>
  </si>
  <si>
    <t>F622LL</t>
  </si>
  <si>
    <t>F815J</t>
  </si>
  <si>
    <t>F639I</t>
  </si>
  <si>
    <t>F639OO</t>
  </si>
  <si>
    <t>F522A</t>
  </si>
  <si>
    <t>F545LL</t>
  </si>
  <si>
    <t>F522D</t>
  </si>
  <si>
    <t>Calcutta Cuddler</t>
  </si>
  <si>
    <t>F639LL</t>
  </si>
  <si>
    <t>Tropicana Cuddler</t>
  </si>
  <si>
    <t>Jaxon Loveseat</t>
  </si>
  <si>
    <t>Jaxon Sofa</t>
  </si>
  <si>
    <t>Jaxon Chair</t>
  </si>
  <si>
    <t>Washington Ottoman</t>
  </si>
  <si>
    <t>Calcutta Armless Chair</t>
  </si>
  <si>
    <t>F545OO</t>
  </si>
  <si>
    <t>Hilton Cuddler</t>
  </si>
  <si>
    <t>F516A</t>
  </si>
  <si>
    <t>F516S</t>
  </si>
  <si>
    <t>F836A</t>
  </si>
  <si>
    <t>F516J</t>
  </si>
  <si>
    <t>Maison Chair</t>
  </si>
  <si>
    <t>F516D</t>
  </si>
  <si>
    <t>Maison Loveseat</t>
  </si>
  <si>
    <t>Maison Sofa</t>
  </si>
  <si>
    <t>Maison Otto</t>
  </si>
  <si>
    <t>F836F</t>
  </si>
  <si>
    <t>F836CZ</t>
  </si>
  <si>
    <t>Mavrick Armless Loveseat</t>
  </si>
  <si>
    <t>Maverick One Arm Chaise</t>
  </si>
  <si>
    <t>Barcode</t>
  </si>
  <si>
    <t>Column1</t>
  </si>
  <si>
    <t>Column2</t>
  </si>
  <si>
    <t>Column3</t>
  </si>
  <si>
    <t>Column4</t>
  </si>
  <si>
    <t>Column5</t>
  </si>
  <si>
    <t>Column6</t>
  </si>
  <si>
    <t>F836CB</t>
  </si>
  <si>
    <t>F835A</t>
  </si>
  <si>
    <t>Adrian Sofa</t>
  </si>
  <si>
    <t>Mavrick Sofa</t>
  </si>
  <si>
    <t>F662A</t>
  </si>
  <si>
    <t>Casey Sofa</t>
  </si>
  <si>
    <t>F662D</t>
  </si>
  <si>
    <t>Casey Loveseat</t>
  </si>
  <si>
    <t>F662S</t>
  </si>
  <si>
    <t>Casey Chair</t>
  </si>
  <si>
    <t>Casey Chaise</t>
  </si>
  <si>
    <t>F524P</t>
  </si>
  <si>
    <t>F836I</t>
  </si>
  <si>
    <t>F524CB</t>
  </si>
  <si>
    <t>F524CZ</t>
  </si>
  <si>
    <t>F524C</t>
  </si>
  <si>
    <t>F545CC</t>
  </si>
  <si>
    <t>Hilton Corner</t>
  </si>
  <si>
    <t>Mavrick Armless Chair</t>
  </si>
  <si>
    <t>Sara/Beth Armless Sofa</t>
  </si>
  <si>
    <t>F524Y</t>
  </si>
  <si>
    <t>Sara/Beth Return Arm Sofa</t>
  </si>
  <si>
    <t>Sara/Beth Chaise</t>
  </si>
  <si>
    <t>Sara/Beth</t>
  </si>
  <si>
    <t>F545J</t>
  </si>
  <si>
    <t>F545U</t>
  </si>
  <si>
    <t>F545CQ</t>
  </si>
  <si>
    <t>F545E</t>
  </si>
  <si>
    <t>F545JB</t>
  </si>
  <si>
    <t>Hilton One Arm Loveseat</t>
  </si>
  <si>
    <t>Hilton/Shade Armless Sofa</t>
  </si>
  <si>
    <t>Hilton Bumper Ottoman</t>
  </si>
  <si>
    <t>F7538S</t>
  </si>
  <si>
    <t>Hickory OCC Chair</t>
  </si>
  <si>
    <t>f523d</t>
  </si>
  <si>
    <t>Sadie Loveseat</t>
  </si>
  <si>
    <t>F828LA</t>
  </si>
  <si>
    <t>F836S</t>
  </si>
  <si>
    <t>Mavrick Chair</t>
  </si>
  <si>
    <t>East Providence One Arm Sofa</t>
  </si>
  <si>
    <t>F836E</t>
  </si>
  <si>
    <t>Mavrick One Arm Loveseat</t>
  </si>
  <si>
    <t>F828CC</t>
  </si>
  <si>
    <t>East providence Corner</t>
  </si>
  <si>
    <t>F639CC</t>
  </si>
  <si>
    <t>Calcutta Corner</t>
  </si>
  <si>
    <t>F524E</t>
  </si>
  <si>
    <t>Sara Beth RAF Loveseat</t>
  </si>
  <si>
    <t>F835S</t>
  </si>
  <si>
    <t>F524RA</t>
  </si>
  <si>
    <t>Adrian Chair</t>
  </si>
  <si>
    <t>F816K</t>
  </si>
  <si>
    <t>Malibu Sleeper</t>
  </si>
  <si>
    <t>Q18-0271</t>
  </si>
  <si>
    <t>Q18-0239</t>
  </si>
  <si>
    <t>Q18-0272</t>
  </si>
  <si>
    <t>Q18-0251</t>
  </si>
  <si>
    <t>Q18-0246</t>
  </si>
  <si>
    <t>FRACTAL LOUNGE FRAME</t>
  </si>
  <si>
    <t>SPECTRUM EXTENSION LSF</t>
  </si>
  <si>
    <t>ENVITA SETTEE FRAME</t>
  </si>
  <si>
    <t>ENVITA SOFA</t>
  </si>
  <si>
    <t>SPECTRUM 2 SEAT LSF</t>
  </si>
  <si>
    <t>FRACTAL SETTEE FRAME</t>
  </si>
  <si>
    <t>SPECTRUM 3 SEATER CTR</t>
  </si>
  <si>
    <t>SPECTRUM 2 SEAT RSF</t>
  </si>
  <si>
    <t>F671J</t>
  </si>
  <si>
    <t>Q18-0264</t>
  </si>
  <si>
    <t>Melrose Ottoman</t>
  </si>
  <si>
    <t>Fractal Ottoman Frame</t>
  </si>
  <si>
    <t>SS-2138</t>
  </si>
  <si>
    <t>F649E</t>
  </si>
  <si>
    <t>F524LA</t>
  </si>
  <si>
    <t>F7531J</t>
  </si>
  <si>
    <t>Carlisle Regular Sofa</t>
  </si>
  <si>
    <t>Sara Beth LAF Sofa</t>
  </si>
  <si>
    <t>Melrose OCC Ottoman</t>
  </si>
  <si>
    <t>F828U</t>
  </si>
  <si>
    <t>F828F</t>
  </si>
  <si>
    <t>East Providence Armless Loveseat</t>
  </si>
  <si>
    <t>East Providence One Arm Loveseat</t>
  </si>
  <si>
    <t>F815D</t>
  </si>
  <si>
    <t>Washington Loveseat</t>
  </si>
  <si>
    <t>F836C</t>
  </si>
  <si>
    <t>F836LL</t>
  </si>
  <si>
    <t>F836OO</t>
  </si>
  <si>
    <t>Mavrick Armless Sofa</t>
  </si>
  <si>
    <t>Mavrick Cuddler</t>
  </si>
  <si>
    <t>F7582S</t>
  </si>
  <si>
    <t>Newport OCC Swivel Chair</t>
  </si>
  <si>
    <t>SS-2145</t>
  </si>
  <si>
    <t>F828P</t>
  </si>
  <si>
    <t>DSO4LC</t>
  </si>
  <si>
    <t>DSO4RCB</t>
  </si>
  <si>
    <t>F669J</t>
  </si>
  <si>
    <t>DSO4CC</t>
  </si>
  <si>
    <t>DSO4ALC</t>
  </si>
  <si>
    <t>Carlisle Loveseat</t>
  </si>
  <si>
    <t>East Providence One Arm Sectional Sofa</t>
  </si>
  <si>
    <t>DSO4 LAF One Arm Chair</t>
  </si>
  <si>
    <t>DSO4 RAF Chaise</t>
  </si>
  <si>
    <t>Frisco Ottoman</t>
  </si>
  <si>
    <t>DSO4 Corner</t>
  </si>
  <si>
    <t>DSO4 Armless Chair</t>
  </si>
  <si>
    <t>F699A</t>
  </si>
  <si>
    <t>F699S</t>
  </si>
  <si>
    <t>Parker Chair</t>
  </si>
  <si>
    <t>F525-02</t>
  </si>
  <si>
    <t>Emma Loveseat</t>
  </si>
  <si>
    <t>SS-2180</t>
  </si>
  <si>
    <t>F525-09</t>
  </si>
  <si>
    <t>F525-03</t>
  </si>
  <si>
    <t>F525-01</t>
  </si>
  <si>
    <t>Emma Chair</t>
  </si>
  <si>
    <t>Emma Sofa</t>
  </si>
  <si>
    <t>Emma Ottoman</t>
  </si>
  <si>
    <t>East Providence One Arm Chair</t>
  </si>
  <si>
    <t>SS-2183</t>
  </si>
  <si>
    <t>F516-09</t>
  </si>
  <si>
    <t>Maison Ottoman</t>
  </si>
  <si>
    <t>Carlisle Armless Chair</t>
  </si>
  <si>
    <t>F836U</t>
  </si>
  <si>
    <t>F519-03</t>
  </si>
  <si>
    <t>Brooklyn Apt Sofa</t>
  </si>
  <si>
    <t>Brooklyn Sofa</t>
  </si>
  <si>
    <t>F671S</t>
  </si>
  <si>
    <t>Melrose Chair</t>
  </si>
  <si>
    <t>F519-02</t>
  </si>
  <si>
    <t>F519-01</t>
  </si>
  <si>
    <t>SS-2173</t>
  </si>
  <si>
    <t>SS-2170</t>
  </si>
  <si>
    <t>Carlisle LAF Chair</t>
  </si>
  <si>
    <t>Carlilsle Corner</t>
  </si>
  <si>
    <t>Brooklyn Chair</t>
  </si>
  <si>
    <t>F7592S</t>
  </si>
  <si>
    <t>Aladdin OCC Chair</t>
  </si>
  <si>
    <t>F7586S</t>
  </si>
  <si>
    <t>Brooklyn OCC Chair</t>
  </si>
  <si>
    <t>Q18-0275</t>
  </si>
  <si>
    <t>F545A</t>
  </si>
  <si>
    <t>Q18-0250</t>
  </si>
  <si>
    <t>F836CC</t>
  </si>
  <si>
    <t>F517-01</t>
  </si>
  <si>
    <t>F517-02</t>
  </si>
  <si>
    <t>Phoebe Chair</t>
  </si>
  <si>
    <t>MAVRICK CORNER</t>
  </si>
  <si>
    <t>PHOEBE SOFA</t>
  </si>
  <si>
    <t>SPECTRUM 3 SEATER RSF</t>
  </si>
  <si>
    <t>HILTON SOFA</t>
  </si>
  <si>
    <t>Q18-0244</t>
  </si>
  <si>
    <t>F517-03</t>
  </si>
  <si>
    <t>PHOEBE LOVESEAT</t>
  </si>
  <si>
    <t>SS-2169</t>
  </si>
  <si>
    <t>Carlisle One Arm Chair</t>
  </si>
  <si>
    <t>SAMPLE</t>
  </si>
  <si>
    <t>LANDON LONG SOFA</t>
  </si>
  <si>
    <t>Sara/Beth Armless Chair</t>
  </si>
  <si>
    <t>F534-02</t>
  </si>
  <si>
    <t>F534-03</t>
  </si>
  <si>
    <t>F534-01</t>
  </si>
  <si>
    <t>F836CQ</t>
  </si>
  <si>
    <t>Q18-0238</t>
  </si>
  <si>
    <t>Scarlett Chair</t>
  </si>
  <si>
    <t>Scarlett APT Sofa</t>
  </si>
  <si>
    <t>Scarlett Sofa</t>
  </si>
  <si>
    <t>ENVITA LOUNGE</t>
  </si>
  <si>
    <t>Mavrick Sleeper Sofa</t>
  </si>
  <si>
    <t>F534-09</t>
  </si>
  <si>
    <t>Scarlett Otto</t>
  </si>
  <si>
    <t>F835D</t>
  </si>
  <si>
    <t>Adrian Loveseat</t>
  </si>
  <si>
    <t>Sutter Street Sample</t>
  </si>
  <si>
    <t>Hilton Ottoman</t>
  </si>
  <si>
    <t>PROVENCE RAF ONE ARM SOFA</t>
  </si>
  <si>
    <t>F545D</t>
  </si>
  <si>
    <t>F545S</t>
  </si>
  <si>
    <t>F519-09</t>
  </si>
  <si>
    <t>F522-09</t>
  </si>
  <si>
    <t>F836LC</t>
  </si>
  <si>
    <t>F836RC</t>
  </si>
  <si>
    <t>DOTTIE</t>
  </si>
  <si>
    <t>Hilton Loveseat</t>
  </si>
  <si>
    <t>Hilton Chair</t>
  </si>
  <si>
    <t>Dottie Sofa</t>
  </si>
  <si>
    <t>Mavrick One Arm Chair</t>
  </si>
  <si>
    <t>Jaxon Otto</t>
  </si>
  <si>
    <t>Brooklyn Otto</t>
  </si>
  <si>
    <t>F563-02</t>
  </si>
  <si>
    <t>F552-03</t>
  </si>
  <si>
    <t>Jasper Loveseat</t>
  </si>
  <si>
    <t>Jasper Sofa</t>
  </si>
  <si>
    <t>F563-03</t>
  </si>
  <si>
    <t>Dillian Sofa</t>
  </si>
  <si>
    <t>0070</t>
  </si>
  <si>
    <t>F562-02</t>
  </si>
  <si>
    <t>F562-03</t>
  </si>
  <si>
    <t>Landon Sofa</t>
  </si>
  <si>
    <t>Landon Loveseat</t>
  </si>
  <si>
    <t>Q18-0249</t>
  </si>
  <si>
    <t>SPECTRUM 3 SEATER LSF</t>
  </si>
  <si>
    <t>Sunday</t>
  </si>
  <si>
    <t>F552-02</t>
  </si>
  <si>
    <t>Dillian Loveseat</t>
  </si>
  <si>
    <t>Q18-0255</t>
  </si>
  <si>
    <t>Q18-0248</t>
  </si>
  <si>
    <t>Q18-0247</t>
  </si>
  <si>
    <t>SPECTRUM 3 SEATER SA</t>
  </si>
  <si>
    <t>F540-03</t>
  </si>
  <si>
    <t>F540-01</t>
  </si>
  <si>
    <t>F540-02</t>
  </si>
  <si>
    <t>F540-09</t>
  </si>
  <si>
    <t>Company</t>
  </si>
  <si>
    <t>Fairmont</t>
  </si>
  <si>
    <t>Teknion</t>
  </si>
  <si>
    <t>Sutter Street</t>
  </si>
  <si>
    <t>Vanguard</t>
  </si>
  <si>
    <t>Overnight Sofa</t>
  </si>
  <si>
    <t>F524-03</t>
  </si>
  <si>
    <t>F524-01</t>
  </si>
  <si>
    <t>Sara Beth Sofa</t>
  </si>
  <si>
    <t>Sara Beth Chair</t>
  </si>
  <si>
    <t>Southern</t>
  </si>
  <si>
    <t>Berhardt</t>
  </si>
  <si>
    <t>F622J</t>
  </si>
  <si>
    <t>Casey Ottoman</t>
  </si>
  <si>
    <t>F828-31</t>
  </si>
  <si>
    <t>East Providence Armless Chair</t>
  </si>
  <si>
    <t>F517-03r</t>
  </si>
  <si>
    <t>Phoebe One Arm Sofa</t>
  </si>
  <si>
    <t>F524LL</t>
  </si>
  <si>
    <t>F524OO</t>
  </si>
  <si>
    <t>Sara Cuddler</t>
  </si>
  <si>
    <t>F524-02</t>
  </si>
  <si>
    <t>F517-13L</t>
  </si>
  <si>
    <t>F524CC</t>
  </si>
  <si>
    <t>F513-02</t>
  </si>
  <si>
    <t>Sara Beth Apt Sofa</t>
  </si>
  <si>
    <t>Phoebe Return Sofa</t>
  </si>
  <si>
    <t>Sara Beth Corner</t>
  </si>
  <si>
    <t>F524RC</t>
  </si>
  <si>
    <t>Sara/Beth One Arm Chair</t>
  </si>
  <si>
    <t>F524LC</t>
  </si>
  <si>
    <t>604E</t>
  </si>
  <si>
    <t>Vanguard Chair</t>
  </si>
  <si>
    <t>F546-03</t>
  </si>
  <si>
    <t>Le Marias Sofa</t>
  </si>
  <si>
    <t>Le Marias Loveseat</t>
  </si>
  <si>
    <t>F546-02</t>
  </si>
  <si>
    <t>Le Marias Chair</t>
  </si>
  <si>
    <t>F546-01</t>
  </si>
  <si>
    <t>F521-01</t>
  </si>
  <si>
    <t>F521-09</t>
  </si>
  <si>
    <t>F521-03</t>
  </si>
  <si>
    <t>F521-02</t>
  </si>
  <si>
    <t>Kayla Loveseat</t>
  </si>
  <si>
    <t>Kayla Chair</t>
  </si>
  <si>
    <t>Kayla Sofa</t>
  </si>
  <si>
    <t>Kayla Otto</t>
  </si>
  <si>
    <t>F517-013</t>
  </si>
  <si>
    <t>F517-13</t>
  </si>
  <si>
    <t>F551-13L</t>
  </si>
  <si>
    <t>Maxwell Return Arm Sofa</t>
  </si>
  <si>
    <t>F551-13R</t>
  </si>
  <si>
    <t>Maxwell Return Arm</t>
  </si>
  <si>
    <t>F551-03R</t>
  </si>
  <si>
    <t>F546-09</t>
  </si>
  <si>
    <t>Les Marias Ottoman Otto</t>
  </si>
  <si>
    <t>Maxwell One Arm Sofa</t>
  </si>
  <si>
    <t>F551-03L</t>
  </si>
  <si>
    <t>Maxwell One Arm</t>
  </si>
  <si>
    <t>Overtime Pay</t>
  </si>
  <si>
    <t>Total Production Pay</t>
  </si>
  <si>
    <t>Total Production pay</t>
  </si>
  <si>
    <t>Employee</t>
  </si>
  <si>
    <t>F644J</t>
  </si>
  <si>
    <t>Volare Ottoman</t>
  </si>
  <si>
    <t>F517-03L</t>
  </si>
  <si>
    <t>F517-13R</t>
  </si>
  <si>
    <t>F545K</t>
  </si>
  <si>
    <t>F549-01</t>
  </si>
  <si>
    <t>F549-02</t>
  </si>
  <si>
    <t>F549-03</t>
  </si>
  <si>
    <t>Kylie Sofa</t>
  </si>
  <si>
    <t>Kylie Chair</t>
  </si>
  <si>
    <t>Kylie Apt Sofa</t>
  </si>
  <si>
    <t>Hilton Sleeper</t>
  </si>
  <si>
    <t>F562-01</t>
  </si>
  <si>
    <t>Landon Chair</t>
  </si>
  <si>
    <t>F569-03</t>
  </si>
  <si>
    <t>D3018-04</t>
  </si>
  <si>
    <t>Kylie/Zoey OCC Chair Chair</t>
  </si>
  <si>
    <t>F569-02</t>
  </si>
  <si>
    <t>Tristan Chair</t>
  </si>
  <si>
    <t>Tristan Sofa</t>
  </si>
  <si>
    <t>Tristan Loveseat</t>
  </si>
  <si>
    <t>F569-01</t>
  </si>
  <si>
    <t>SF25266</t>
  </si>
  <si>
    <t xml:space="preserve"> Sofa</t>
  </si>
  <si>
    <t>14266 Loveseat</t>
  </si>
  <si>
    <t>F563-01</t>
  </si>
  <si>
    <t>F3018-04</t>
  </si>
  <si>
    <t>Jasper Chair</t>
  </si>
  <si>
    <t>F517-05R</t>
  </si>
  <si>
    <t>F3004-09</t>
  </si>
  <si>
    <t>Tufted OCC Otto</t>
  </si>
  <si>
    <t>Phoebe Chaise</t>
  </si>
  <si>
    <t>F567-03L</t>
  </si>
  <si>
    <t>F567-13R</t>
  </si>
  <si>
    <t>Pearla One Arm Sofa</t>
  </si>
  <si>
    <t>Pearla Return Arm Sofa</t>
  </si>
  <si>
    <t>F699SI</t>
  </si>
  <si>
    <t>Parker Sleeper Chair</t>
  </si>
  <si>
    <t>F3011-09</t>
  </si>
  <si>
    <t>F011-09</t>
  </si>
  <si>
    <t>Coffin Otto</t>
  </si>
  <si>
    <t>F513-09</t>
  </si>
  <si>
    <t>Beth Cocktail Ottoman</t>
  </si>
  <si>
    <t>F550-03R</t>
  </si>
  <si>
    <t>F550-03L</t>
  </si>
  <si>
    <t>Trinity One Arm Sofa</t>
  </si>
  <si>
    <t>Trinity One Arm</t>
  </si>
  <si>
    <t>F550-05L</t>
  </si>
  <si>
    <t>F022-09</t>
  </si>
  <si>
    <t>Trinity OCC Otto</t>
  </si>
  <si>
    <t>F550-05R</t>
  </si>
  <si>
    <t>Trinity Chaise</t>
  </si>
  <si>
    <t>F518-02</t>
  </si>
  <si>
    <t>Trident Apt Sofa</t>
  </si>
  <si>
    <t>F553-02</t>
  </si>
  <si>
    <t>Beth OCC Chair</t>
  </si>
  <si>
    <t>F553-03</t>
  </si>
  <si>
    <t>Chateau Marmont Loveseat</t>
  </si>
  <si>
    <t>F553-01</t>
  </si>
  <si>
    <t>Chateau Marmont Sofa</t>
  </si>
  <si>
    <t>Chateau Marmont Chair</t>
  </si>
  <si>
    <t>F569-09</t>
  </si>
  <si>
    <t>Tristan Otto</t>
  </si>
  <si>
    <t>F662J</t>
  </si>
  <si>
    <t>SS-1721</t>
  </si>
  <si>
    <t>SS-1727</t>
  </si>
  <si>
    <t>SS-1717</t>
  </si>
  <si>
    <t>F553-09</t>
  </si>
  <si>
    <t>SS-1718</t>
  </si>
  <si>
    <t>Chateau Marmont Otto</t>
  </si>
  <si>
    <t>F518-03</t>
  </si>
  <si>
    <t>F517-33</t>
  </si>
  <si>
    <t>Trident Sofa</t>
  </si>
  <si>
    <t>Phoebe Armless Sofa</t>
  </si>
  <si>
    <t>F566-01</t>
  </si>
  <si>
    <t>F566-09</t>
  </si>
  <si>
    <t>F566-03</t>
  </si>
  <si>
    <t>Rocky Sofa</t>
  </si>
  <si>
    <t>F566-02</t>
  </si>
  <si>
    <t>Rocky Loveseat</t>
  </si>
  <si>
    <t>Rocky Chair</t>
  </si>
  <si>
    <t>Rocky Otto</t>
  </si>
  <si>
    <t>F551-05L</t>
  </si>
  <si>
    <t>F551-33</t>
  </si>
  <si>
    <t>F584J</t>
  </si>
  <si>
    <t>F551-05R</t>
  </si>
  <si>
    <t>Maxwell Armless Sofa</t>
  </si>
  <si>
    <t>Maxwell One Arm Chaise</t>
  </si>
  <si>
    <t>Tropicana Otto</t>
  </si>
  <si>
    <t>Q18-0243</t>
  </si>
  <si>
    <t>Sectrum One Seat Loung</t>
  </si>
  <si>
    <t>Ivan Chavez</t>
  </si>
  <si>
    <t>2400-6</t>
  </si>
  <si>
    <t>F7575D</t>
  </si>
  <si>
    <t>Southern Frame</t>
  </si>
  <si>
    <t>F570-03</t>
  </si>
  <si>
    <t>F570-02</t>
  </si>
  <si>
    <t>SS-2636</t>
  </si>
  <si>
    <t>F570-01</t>
  </si>
  <si>
    <t>1460-6</t>
  </si>
  <si>
    <t>F524JL</t>
  </si>
  <si>
    <t>Sara Oversized Ottoman</t>
  </si>
  <si>
    <t>Alston Loveseat</t>
  </si>
  <si>
    <t>Chanel Chair</t>
  </si>
  <si>
    <t>Chanel Loveseat</t>
  </si>
  <si>
    <t>Chanel Sofa</t>
  </si>
  <si>
    <t>F570-09</t>
  </si>
  <si>
    <t>Chanel Otto</t>
  </si>
  <si>
    <t>F518-01</t>
  </si>
  <si>
    <t>Trident Chair</t>
  </si>
  <si>
    <t>SS-2705</t>
  </si>
  <si>
    <t>F551-32</t>
  </si>
  <si>
    <t>F551-02R</t>
  </si>
  <si>
    <t>Maxwell Armless Loveseat</t>
  </si>
  <si>
    <t>Landon 96" Sofa Sofa</t>
  </si>
  <si>
    <t>Maxwell One Arm Loveseat</t>
  </si>
  <si>
    <t>SS-2699</t>
  </si>
  <si>
    <t>SS-2709</t>
  </si>
  <si>
    <t>SS-1723</t>
  </si>
  <si>
    <t>Seabury One arm Chair</t>
  </si>
  <si>
    <t>Carlisle Two Arm Chaise</t>
  </si>
  <si>
    <t>F567-01</t>
  </si>
  <si>
    <t>Pearla Chair</t>
  </si>
  <si>
    <t>F567-33</t>
  </si>
  <si>
    <t>F015-09</t>
  </si>
  <si>
    <t>F567-31</t>
  </si>
  <si>
    <t>Pearla Armless Chair</t>
  </si>
  <si>
    <t>Pearla Armless Sofa</t>
  </si>
  <si>
    <t>F567-05R</t>
  </si>
  <si>
    <t>F567-05L</t>
  </si>
  <si>
    <t>Pearla One Arm Chaise</t>
  </si>
  <si>
    <t>F550-13L</t>
  </si>
  <si>
    <t>F550-13R</t>
  </si>
  <si>
    <t>Trinity Return Arm Sofa</t>
  </si>
  <si>
    <t>Trinity Return Arm</t>
  </si>
  <si>
    <t>F550-01L</t>
  </si>
  <si>
    <t>F550-31</t>
  </si>
  <si>
    <t>F550-01R</t>
  </si>
  <si>
    <t>Trinity One Arm Chair</t>
  </si>
  <si>
    <t>Trinity Armless Chair</t>
  </si>
  <si>
    <t>F512-01</t>
  </si>
  <si>
    <t>F512-03</t>
  </si>
  <si>
    <t>F512-02</t>
  </si>
  <si>
    <t>SS-2723</t>
  </si>
  <si>
    <t>Bradley Chair</t>
  </si>
  <si>
    <t>Bradley Loveseat</t>
  </si>
  <si>
    <t>Bradley Sofa</t>
  </si>
  <si>
    <t>Greenwich Grand Sofa</t>
  </si>
  <si>
    <t>F556-03</t>
  </si>
  <si>
    <t>F556-02</t>
  </si>
  <si>
    <t>F555-03L</t>
  </si>
  <si>
    <t>F555-03R</t>
  </si>
  <si>
    <t>F555-13R</t>
  </si>
  <si>
    <t>F565-03</t>
  </si>
  <si>
    <t>F014-04</t>
  </si>
  <si>
    <t>F555-13L</t>
  </si>
  <si>
    <t>F555-33</t>
  </si>
  <si>
    <t>Sienna Return Arm Sofa</t>
  </si>
  <si>
    <t>Sienna Return Arm</t>
  </si>
  <si>
    <t>Sienna One Arm Sofa</t>
  </si>
  <si>
    <t>Sienna One Arm</t>
  </si>
  <si>
    <t>F555-53R</t>
  </si>
  <si>
    <t>Sienna Armless Sectional Sofa</t>
  </si>
  <si>
    <t>F555-53L</t>
  </si>
  <si>
    <t>Sienna Armless Sectional</t>
  </si>
  <si>
    <t>F555-31</t>
  </si>
  <si>
    <t>Sienna Armless Chair</t>
  </si>
  <si>
    <t>Sienna Armless Sofa</t>
  </si>
  <si>
    <t>Bradley OCC Chair</t>
  </si>
  <si>
    <t>Delilah Sofa</t>
  </si>
  <si>
    <t>F565-02</t>
  </si>
  <si>
    <t>Delilah Loveseat</t>
  </si>
  <si>
    <t>Versailles Sofa</t>
  </si>
  <si>
    <t>Versailles Loveseat</t>
  </si>
  <si>
    <t>F556-01</t>
  </si>
  <si>
    <t>Versailles Chair</t>
  </si>
  <si>
    <t>F556-09</t>
  </si>
  <si>
    <t>Versailles Otto</t>
  </si>
  <si>
    <t>F513-49</t>
  </si>
  <si>
    <t>F581-13R</t>
  </si>
  <si>
    <t>F002-04</t>
  </si>
  <si>
    <t>Phoenix Return Arm Sofa</t>
  </si>
  <si>
    <t>F581-13L</t>
  </si>
  <si>
    <t>Phoenix Return Arm</t>
  </si>
  <si>
    <t>Trinity OCC Chair</t>
  </si>
  <si>
    <t>F581-03L</t>
  </si>
  <si>
    <t>F581-03R</t>
  </si>
  <si>
    <t>Phoenix One Arm Sofa</t>
  </si>
  <si>
    <t>Phoenix One Arm</t>
  </si>
  <si>
    <t>F545CB?</t>
  </si>
  <si>
    <t>F3012-09</t>
  </si>
  <si>
    <t>Sienna Round Otto</t>
  </si>
  <si>
    <t>F517-31</t>
  </si>
  <si>
    <t>Phoebe Armless Chair</t>
  </si>
  <si>
    <t>F7595CZ</t>
  </si>
  <si>
    <t>S-89783</t>
  </si>
  <si>
    <t>S-58193</t>
  </si>
  <si>
    <t>Southern Chair</t>
  </si>
  <si>
    <t>F567-03R</t>
  </si>
  <si>
    <t>F567-13L</t>
  </si>
  <si>
    <t>SS-1729</t>
  </si>
  <si>
    <t>F550-33</t>
  </si>
  <si>
    <t>Trinity Armless Sofa</t>
  </si>
  <si>
    <t>F551-01L</t>
  </si>
  <si>
    <t>F551-01R</t>
  </si>
  <si>
    <t>Maxwell One Arm Chair</t>
  </si>
  <si>
    <t>F578-05R</t>
  </si>
  <si>
    <t>F563-00</t>
  </si>
  <si>
    <t>Jasper Sleeper Sofa</t>
  </si>
  <si>
    <t>F578-03R</t>
  </si>
  <si>
    <t>Cameron One Arm Sofa</t>
  </si>
  <si>
    <t>F578-03L</t>
  </si>
  <si>
    <t>Cameron Chaise</t>
  </si>
  <si>
    <t>F578-05L</t>
  </si>
  <si>
    <t>SS-1732</t>
  </si>
  <si>
    <t>Seabury Armless chair</t>
  </si>
  <si>
    <t>SS-1728</t>
  </si>
  <si>
    <t>SS-1722</t>
  </si>
  <si>
    <t>Seabury Chaise</t>
  </si>
  <si>
    <t>Seabury Chais</t>
  </si>
  <si>
    <t>F517-01R</t>
  </si>
  <si>
    <t>F517-01L</t>
  </si>
  <si>
    <t>8978-3</t>
  </si>
  <si>
    <t>SS-1731</t>
  </si>
  <si>
    <t>Seabury Armless Loveseat</t>
  </si>
  <si>
    <t>Phoebe One Arm Chair</t>
  </si>
  <si>
    <t>F669-02</t>
  </si>
  <si>
    <t>Parker Apt Sofa Sofa</t>
  </si>
  <si>
    <t>SS-3429</t>
  </si>
  <si>
    <t>Carlisle Swivel</t>
  </si>
  <si>
    <t>F7563D</t>
  </si>
  <si>
    <t>F551-31</t>
  </si>
  <si>
    <t>Crescent Settee</t>
  </si>
  <si>
    <t>Maxwell Armless Chair</t>
  </si>
  <si>
    <t>Carlisle Armless Loveseat</t>
  </si>
  <si>
    <t>SS-3434</t>
  </si>
  <si>
    <t>SS-3568</t>
  </si>
  <si>
    <t>F835J</t>
  </si>
  <si>
    <t>PB Square Swivel Chair</t>
  </si>
  <si>
    <t>Seabury Loveseat</t>
  </si>
  <si>
    <t>Adrian Otto</t>
  </si>
  <si>
    <t>F558-02</t>
  </si>
  <si>
    <t>F558-01</t>
  </si>
  <si>
    <t>F558-03</t>
  </si>
  <si>
    <t>Brianwood Sofa</t>
  </si>
  <si>
    <t>Brianwood Loveseat</t>
  </si>
  <si>
    <t>Brianwood Chair</t>
  </si>
  <si>
    <t>F828RA</t>
  </si>
  <si>
    <t>*F828LA*</t>
  </si>
  <si>
    <t>F524I</t>
  </si>
  <si>
    <t>F560-08</t>
  </si>
  <si>
    <t>Addison Ottoman</t>
  </si>
  <si>
    <t>F524F</t>
  </si>
  <si>
    <t>F551-08</t>
  </si>
  <si>
    <t>Maxwell Corner Chair</t>
  </si>
  <si>
    <t>Sara/Beth Armless Loveseat</t>
  </si>
  <si>
    <t>F010-04</t>
  </si>
  <si>
    <t>F567-03</t>
  </si>
  <si>
    <t>Pearla Sofa</t>
  </si>
  <si>
    <t>F7555D</t>
  </si>
  <si>
    <t>East Providence Seat</t>
  </si>
  <si>
    <t>F698-59</t>
  </si>
  <si>
    <t>F601-33</t>
  </si>
  <si>
    <t>VIBE ARMLESS Sofa</t>
  </si>
  <si>
    <t>F601-32</t>
  </si>
  <si>
    <t>VIBE ARMLESS Loveseat</t>
  </si>
  <si>
    <t>F601-31</t>
  </si>
  <si>
    <t>VIBE ARMLESS Chair</t>
  </si>
  <si>
    <t>F601-01R</t>
  </si>
  <si>
    <t>VIBE ONE ARM Chair</t>
  </si>
  <si>
    <t>F601-01L</t>
  </si>
  <si>
    <t>VIBE ONE ARM</t>
  </si>
  <si>
    <t>F601-05R</t>
  </si>
  <si>
    <t>VIBE ONE ARM Chaise</t>
  </si>
  <si>
    <t>F601-05L</t>
  </si>
  <si>
    <t>F601-02R</t>
  </si>
  <si>
    <t>VIBE ONE ARM Loveseat</t>
  </si>
  <si>
    <t>F601-02L</t>
  </si>
  <si>
    <t>F601-13R</t>
  </si>
  <si>
    <t>VIBE RETURN ARM Sofa</t>
  </si>
  <si>
    <t>F601-13L</t>
  </si>
  <si>
    <t>VIBE RETURN ARM</t>
  </si>
  <si>
    <t>F601-03R</t>
  </si>
  <si>
    <t>VIBE ONE ARM Sofa</t>
  </si>
  <si>
    <t>F601-03L</t>
  </si>
  <si>
    <t>Palms Oversized Ottoman</t>
  </si>
  <si>
    <t>F035-04</t>
  </si>
  <si>
    <t>Metal Chair</t>
  </si>
  <si>
    <t>F033-04</t>
  </si>
  <si>
    <t>F032-04</t>
  </si>
  <si>
    <t>F828JL</t>
  </si>
  <si>
    <t>East Providence Ottoman</t>
  </si>
  <si>
    <t>F581A</t>
  </si>
  <si>
    <t>PHOENIX Sofa</t>
  </si>
  <si>
    <t>F620-13R</t>
  </si>
  <si>
    <t>F550-32</t>
  </si>
  <si>
    <t>F620-03L</t>
  </si>
  <si>
    <t>F620-03R</t>
  </si>
  <si>
    <t>MONTECITO ONE ARM Sofa</t>
  </si>
  <si>
    <t>MONTECITO RETURN ARM Sofa</t>
  </si>
  <si>
    <t>F620-13L</t>
  </si>
  <si>
    <t>F620-05</t>
  </si>
  <si>
    <t>MONTECITO Chaise</t>
  </si>
  <si>
    <t>Trinity Armless Loveseat</t>
  </si>
  <si>
    <t>F581-01</t>
  </si>
  <si>
    <t>Phoenix Chair</t>
  </si>
  <si>
    <t>F575-03</t>
  </si>
  <si>
    <t>F575-01</t>
  </si>
  <si>
    <t>BARDOT Sofa</t>
  </si>
  <si>
    <t>F575-02</t>
  </si>
  <si>
    <t>BARDOT Loveseat</t>
  </si>
  <si>
    <t>BARDOT Chair</t>
  </si>
  <si>
    <t>F704-03</t>
  </si>
  <si>
    <t>F704-02</t>
  </si>
  <si>
    <t>CAMDEN APT Sofa</t>
  </si>
  <si>
    <t>CAMDEN Sofa</t>
  </si>
  <si>
    <t>F711-04</t>
  </si>
  <si>
    <t>F601-08</t>
  </si>
  <si>
    <t>OCC Chair</t>
  </si>
  <si>
    <t>Vibe Corner</t>
  </si>
  <si>
    <t>F580-03</t>
  </si>
  <si>
    <t>Statesman Chair Chair</t>
  </si>
  <si>
    <t>MADELINE Sofa</t>
  </si>
  <si>
    <t>2884B5148B</t>
  </si>
  <si>
    <t>F551-30</t>
  </si>
  <si>
    <t>2884B52ALB</t>
  </si>
  <si>
    <t>2884B52ARB</t>
  </si>
  <si>
    <t>Corner  Chair</t>
  </si>
  <si>
    <t>2884B43B</t>
  </si>
  <si>
    <t>Brite Chair</t>
  </si>
  <si>
    <t>2884B5260ARA</t>
  </si>
  <si>
    <t>Sofa Sectional Sleeper Sofa</t>
  </si>
  <si>
    <t>2884B5260ALA</t>
  </si>
  <si>
    <t>Sofa Sectional Sleeper</t>
  </si>
  <si>
    <t>Sofa Sleeper Sofa</t>
  </si>
  <si>
    <t>Maxwell Armless Sleeper Sofa</t>
  </si>
  <si>
    <t>SS-3877</t>
  </si>
  <si>
    <t>SS-3880</t>
  </si>
  <si>
    <t>SS-3881</t>
  </si>
  <si>
    <t>SS-3878</t>
  </si>
  <si>
    <t>SS-3879</t>
  </si>
  <si>
    <t>SS-3882</t>
  </si>
  <si>
    <t>SS-3883</t>
  </si>
  <si>
    <t>West Elm Sleighbed Full Side Rails</t>
  </si>
  <si>
    <t>SS-3876</t>
  </si>
  <si>
    <t>West Elm Sleighbed Queen and King Side Rails</t>
  </si>
  <si>
    <t>West Elm Sleighbed-Full Footboard</t>
  </si>
  <si>
    <t>West Elm Sleighbed - Full Headboard</t>
  </si>
  <si>
    <t>West Elm Sleighbed Queen Footboard</t>
  </si>
  <si>
    <t>West Elm Sleighbed Queen Headboard</t>
  </si>
  <si>
    <t>West Elm Sleighbed King Headboard</t>
  </si>
  <si>
    <t>West Elm Sleighbed King Footboard</t>
  </si>
  <si>
    <t>ST3175A43A</t>
  </si>
  <si>
    <t>F533-09</t>
  </si>
  <si>
    <t>F601-30</t>
  </si>
  <si>
    <t>VIBE ARMLESS SLEEPER Sofa</t>
  </si>
  <si>
    <t>Chateau Mormont Otto</t>
  </si>
  <si>
    <t>F593-01</t>
  </si>
  <si>
    <t>F620-02R</t>
  </si>
  <si>
    <t>MOTECITO ONE ARM Loveseat</t>
  </si>
  <si>
    <t>F620-02L</t>
  </si>
  <si>
    <t>Brielle Sofa</t>
  </si>
  <si>
    <t>Brielle Chair</t>
  </si>
  <si>
    <t>F593-03</t>
  </si>
  <si>
    <t>F613-03</t>
  </si>
  <si>
    <t>F613-01</t>
  </si>
  <si>
    <t>F012-09</t>
  </si>
  <si>
    <t>SOHO Sofa</t>
  </si>
  <si>
    <t>F613-02</t>
  </si>
  <si>
    <t>SOHO Loveseat</t>
  </si>
  <si>
    <t>SOHO Chair</t>
  </si>
  <si>
    <t>2884B526ALA</t>
  </si>
  <si>
    <t>2884B526ARA</t>
  </si>
  <si>
    <t>SS-3439</t>
  </si>
  <si>
    <t>Carlisle Glider</t>
  </si>
  <si>
    <t>SS-3934</t>
  </si>
  <si>
    <t>F828-01L</t>
  </si>
  <si>
    <t>CARLISLE Swivel Chair</t>
  </si>
  <si>
    <t>f580-02</t>
  </si>
  <si>
    <t>MADELINE Loveseat</t>
  </si>
  <si>
    <t>CALCUTTA ONE ARM Chair</t>
  </si>
  <si>
    <t>F639LC</t>
  </si>
  <si>
    <t>F706-01</t>
  </si>
  <si>
    <t>ASTAIKE Chair</t>
  </si>
  <si>
    <t>F584K</t>
  </si>
  <si>
    <t>TROPICANA SLEEPER Sofa</t>
  </si>
  <si>
    <t>F601-02</t>
  </si>
  <si>
    <t>VIBE Loveseat</t>
  </si>
  <si>
    <t>F601-03</t>
  </si>
  <si>
    <t>VIBE Sofa</t>
  </si>
  <si>
    <t>F610-03L</t>
  </si>
  <si>
    <t>F610-03R</t>
  </si>
  <si>
    <t>SHILOH ONE ARM Sofa</t>
  </si>
  <si>
    <t>SHILOH ONE ARM</t>
  </si>
  <si>
    <t>F722-03L</t>
  </si>
  <si>
    <t>F722-03R</t>
  </si>
  <si>
    <t>F730-03</t>
  </si>
  <si>
    <t>F730-01</t>
  </si>
  <si>
    <t>F722-13R</t>
  </si>
  <si>
    <t>F722-13L</t>
  </si>
  <si>
    <t>F724-01</t>
  </si>
  <si>
    <t>F724-03</t>
  </si>
  <si>
    <t>F593-02</t>
  </si>
  <si>
    <t>HATTERAS Sofa</t>
  </si>
  <si>
    <t>HATTERAS Chair</t>
  </si>
  <si>
    <t>Brielle Loveseat</t>
  </si>
  <si>
    <t>MARGATE ONE ARM Sofa</t>
  </si>
  <si>
    <t>MARGATE ONE ARM</t>
  </si>
  <si>
    <t>MAHATTAN Sofa</t>
  </si>
  <si>
    <t>MAHATTAN Chair</t>
  </si>
  <si>
    <t>MARGATE RETURN ARM Sofa</t>
  </si>
  <si>
    <t>MARGATE RETURN ARM</t>
  </si>
  <si>
    <t>F693J</t>
  </si>
  <si>
    <t>F641K</t>
  </si>
  <si>
    <t>GRAND ISLAND QUEEN SLEEPER Sofa</t>
  </si>
  <si>
    <t>GiGi Ottoman</t>
  </si>
  <si>
    <t>F581-03</t>
  </si>
  <si>
    <t>F746-01</t>
  </si>
  <si>
    <t>WREN Chair</t>
  </si>
  <si>
    <t>F746-03</t>
  </si>
  <si>
    <t>F746-02</t>
  </si>
  <si>
    <t>F589-32</t>
  </si>
  <si>
    <t>F589-05L</t>
  </si>
  <si>
    <t>F746-09</t>
  </si>
  <si>
    <t>WREN Otto</t>
  </si>
  <si>
    <t>WREN Sofa</t>
  </si>
  <si>
    <t>WREN Loveseat</t>
  </si>
  <si>
    <t>F589-05R</t>
  </si>
  <si>
    <t>AIDEN ARMLESS Loveseat</t>
  </si>
  <si>
    <t>AIDEN ONE ARM Chaise</t>
  </si>
  <si>
    <t>AIDEN ONE ARM</t>
  </si>
  <si>
    <t>F567-02</t>
  </si>
  <si>
    <t>F589-13R</t>
  </si>
  <si>
    <t>Pearla Loveseat</t>
  </si>
  <si>
    <t>F589-13L</t>
  </si>
  <si>
    <t>AIDEN RETURN ARM Sofa</t>
  </si>
  <si>
    <t>AIDEN RETURN ARM</t>
  </si>
  <si>
    <t>F737-03L</t>
  </si>
  <si>
    <t>F737-05R</t>
  </si>
  <si>
    <t>F724-09</t>
  </si>
  <si>
    <t>CABANNA ONE ARM Chaise</t>
  </si>
  <si>
    <t>F737-05L</t>
  </si>
  <si>
    <t>CABANNA ONE ARM</t>
  </si>
  <si>
    <t>CABANNA ONE ARM Sofa</t>
  </si>
  <si>
    <t>F737-03R</t>
  </si>
  <si>
    <t>HATTERAS Otto</t>
  </si>
  <si>
    <t>F833-03</t>
  </si>
  <si>
    <t>F732-01</t>
  </si>
  <si>
    <t>F732-03</t>
  </si>
  <si>
    <t>ANKARA Sofa</t>
  </si>
  <si>
    <t>ANKARA Chair</t>
  </si>
  <si>
    <t>Canyon Heights Sofa</t>
  </si>
  <si>
    <t>F620-59</t>
  </si>
  <si>
    <t>Aiden Oversized Ottoman</t>
  </si>
  <si>
    <t>F723-03</t>
  </si>
  <si>
    <t>F589-02</t>
  </si>
  <si>
    <t>F003-09</t>
  </si>
  <si>
    <t>F723-01</t>
  </si>
  <si>
    <t>F730-02</t>
  </si>
  <si>
    <t>F722-02L</t>
  </si>
  <si>
    <t>F589-01</t>
  </si>
  <si>
    <t>F722-02R</t>
  </si>
  <si>
    <t>MAHATTAN Loveseat</t>
  </si>
  <si>
    <t>MADEIRA Chair</t>
  </si>
  <si>
    <t>MADEIRA Sofa</t>
  </si>
  <si>
    <t>MARGATE ONE ARM Loveseat</t>
  </si>
  <si>
    <t>Montecito Ottoman</t>
  </si>
  <si>
    <t>AIDEN Chair</t>
  </si>
  <si>
    <t>AIDEN Loveseat</t>
  </si>
  <si>
    <t xml:space="preserve"> Otto</t>
  </si>
  <si>
    <t>F7595CS</t>
  </si>
  <si>
    <t>F735-01</t>
  </si>
  <si>
    <t>F735-02</t>
  </si>
  <si>
    <t>F610-13L</t>
  </si>
  <si>
    <t>F610-13R</t>
  </si>
  <si>
    <t>SHILOH RETURN ARM Sofa</t>
  </si>
  <si>
    <t>SHILOH RETURN ARM</t>
  </si>
  <si>
    <t>F735-03</t>
  </si>
  <si>
    <t>SANIBEL Sofa</t>
  </si>
  <si>
    <t>SANIBEL Loveseat</t>
  </si>
  <si>
    <t>SANIBEL Chair</t>
  </si>
  <si>
    <t>F733-02</t>
  </si>
  <si>
    <t>F739-32</t>
  </si>
  <si>
    <t>F739-13L</t>
  </si>
  <si>
    <t>F733-03</t>
  </si>
  <si>
    <t>F733-01</t>
  </si>
  <si>
    <t>F739-05R</t>
  </si>
  <si>
    <t>CORONADO ONE ARM Chaise</t>
  </si>
  <si>
    <t>F739-05L</t>
  </si>
  <si>
    <t>CORONADO ONE ARM</t>
  </si>
  <si>
    <t>F739-13R</t>
  </si>
  <si>
    <t>CORONADO RETURN ARM Sofa</t>
  </si>
  <si>
    <t>CORONADO RETURN ARM</t>
  </si>
  <si>
    <t>F739-03R</t>
  </si>
  <si>
    <t>CORONADO ONE ARM Sofa</t>
  </si>
  <si>
    <t>F739-03L</t>
  </si>
  <si>
    <t>F739-33</t>
  </si>
  <si>
    <t>CORONADO ARMLESS Sofa</t>
  </si>
  <si>
    <t>CORONADO ARMLESS Loveseat</t>
  </si>
  <si>
    <t>RODANTHE Sofa</t>
  </si>
  <si>
    <t>RODANTHE Loveseat</t>
  </si>
  <si>
    <t>RODANTHE Chair</t>
  </si>
  <si>
    <t>F741-02</t>
  </si>
  <si>
    <t>PIKES PLACE Loveseat</t>
  </si>
  <si>
    <t>F741-01</t>
  </si>
  <si>
    <t>PIKES PLACE Chair</t>
  </si>
  <si>
    <t>F741-03</t>
  </si>
  <si>
    <t>PIKES PLACE Sofa</t>
  </si>
  <si>
    <t>F755-01</t>
  </si>
  <si>
    <t>F755-03</t>
  </si>
  <si>
    <t>F044-04</t>
  </si>
  <si>
    <t>F722-09</t>
  </si>
  <si>
    <t>PRESTON Sofa</t>
  </si>
  <si>
    <t>F755-02</t>
  </si>
  <si>
    <t>PRESTON Loveseat</t>
  </si>
  <si>
    <t>PRESTON Chair</t>
  </si>
  <si>
    <t>Margate Ottoman</t>
  </si>
  <si>
    <t>F620-05R</t>
  </si>
  <si>
    <t>F620-32</t>
  </si>
  <si>
    <t>ITO ARMLESS Loveseat</t>
  </si>
  <si>
    <t>MONTECITO ONE ARM Chaise</t>
  </si>
  <si>
    <t>F620-05L</t>
  </si>
  <si>
    <t>MONTECITO ONE ARM</t>
  </si>
  <si>
    <t>F627-01</t>
  </si>
  <si>
    <t>F620-08</t>
  </si>
  <si>
    <t>F627-03</t>
  </si>
  <si>
    <t>F620-31</t>
  </si>
  <si>
    <t>F833-02</t>
  </si>
  <si>
    <t>F833-01</t>
  </si>
  <si>
    <t>TIFFANY Sofa</t>
  </si>
  <si>
    <t>F627-02</t>
  </si>
  <si>
    <t>TIFFANY Loveseat</t>
  </si>
  <si>
    <t>TIFFANY Chair</t>
  </si>
  <si>
    <t>MONTECITO/Canyon Heights Sofa</t>
  </si>
  <si>
    <t>MONTECITO/Canyon Heights Loveseat</t>
  </si>
  <si>
    <t>MONTECITO/Canyon Heights Chair</t>
  </si>
  <si>
    <t>MONTECITO ARMLESS Chair</t>
  </si>
  <si>
    <t>MONTECITO CORNER Chair</t>
  </si>
  <si>
    <t>F722-01</t>
  </si>
  <si>
    <t>MARGATE Chair</t>
  </si>
  <si>
    <t>F734-03</t>
  </si>
  <si>
    <t>F726-01</t>
  </si>
  <si>
    <t>F724-02</t>
  </si>
  <si>
    <t>SANTIAGO Sofa</t>
  </si>
  <si>
    <t>F734-02</t>
  </si>
  <si>
    <t>SANTIAGO Loveseat</t>
  </si>
  <si>
    <t>F734-01</t>
  </si>
  <si>
    <t>SANTIAGO Chair</t>
  </si>
  <si>
    <t>HATTERAS Loveseat</t>
  </si>
  <si>
    <t>F726-03</t>
  </si>
  <si>
    <t>GAVIN Sofa</t>
  </si>
  <si>
    <t>F726-02</t>
  </si>
  <si>
    <t>GAVIN Loveseat</t>
  </si>
  <si>
    <t>GAVIN Chair</t>
  </si>
  <si>
    <t>F641-59</t>
  </si>
  <si>
    <t>Grand Island Ottoman</t>
  </si>
  <si>
    <t>F620-01L</t>
  </si>
  <si>
    <t>Vibe One Arm Chair</t>
  </si>
  <si>
    <t>Vibe LAF Chair</t>
  </si>
  <si>
    <t>Montecito LAF Chair</t>
  </si>
  <si>
    <t>F620-01R</t>
  </si>
  <si>
    <t>Montecito RAF Chair</t>
  </si>
  <si>
    <t>F549-09</t>
  </si>
  <si>
    <t>Kylie Ottoman</t>
  </si>
  <si>
    <t>F753-01</t>
  </si>
  <si>
    <t>BEAUMONT Chair</t>
  </si>
  <si>
    <t>F673S</t>
  </si>
  <si>
    <t>F722-01R</t>
  </si>
  <si>
    <t>Margate One Arm</t>
  </si>
  <si>
    <t>F722-01L</t>
  </si>
  <si>
    <t>F722-33</t>
  </si>
  <si>
    <t>Margate Armless Sofa</t>
  </si>
  <si>
    <t>SS-1433</t>
  </si>
  <si>
    <t>Labor Invoice</t>
  </si>
  <si>
    <t>F722-05R</t>
  </si>
  <si>
    <t>S31806</t>
  </si>
  <si>
    <t>Southern Settee</t>
  </si>
  <si>
    <t>F722-05L</t>
  </si>
  <si>
    <t>Margate RAF Chaise</t>
  </si>
  <si>
    <t>Margate LAF Chaise</t>
  </si>
  <si>
    <t>F722-31</t>
  </si>
  <si>
    <t>Margate Armless Chair</t>
  </si>
  <si>
    <t>S71906</t>
  </si>
  <si>
    <t>S3180-06</t>
  </si>
  <si>
    <t>F753-03</t>
  </si>
  <si>
    <t>BEAUMONT Sofa</t>
  </si>
  <si>
    <t>F732-02</t>
  </si>
  <si>
    <t>ANKARA Loveseat</t>
  </si>
  <si>
    <t>F753-02</t>
  </si>
  <si>
    <t>BEAUMONT Loveseat</t>
  </si>
  <si>
    <t>F744-03L</t>
  </si>
  <si>
    <t>F744-03R</t>
  </si>
  <si>
    <t>F744-13R</t>
  </si>
  <si>
    <t>F744-13L</t>
  </si>
  <si>
    <t>3180-06</t>
  </si>
  <si>
    <t>F774-13R</t>
  </si>
  <si>
    <t>Aspen Return</t>
  </si>
  <si>
    <t>F774-13L</t>
  </si>
  <si>
    <t>F774-03R</t>
  </si>
  <si>
    <t>F774-03L</t>
  </si>
  <si>
    <t>Aspen One Arm Sofa</t>
  </si>
  <si>
    <t>F725-03</t>
  </si>
  <si>
    <t>BUXTON Sofa</t>
  </si>
  <si>
    <t>F620-33</t>
  </si>
  <si>
    <t>Montecito Armless Sofa</t>
  </si>
  <si>
    <t>F763-03</t>
  </si>
  <si>
    <t>F763-02</t>
  </si>
  <si>
    <t>F763-01</t>
  </si>
  <si>
    <t>PORTIA Loveseat</t>
  </si>
  <si>
    <t>PORTIA Chair</t>
  </si>
  <si>
    <t>PORTIA Sofa</t>
  </si>
  <si>
    <t>F778-01</t>
  </si>
  <si>
    <t>F775-13R</t>
  </si>
  <si>
    <t>Harrison Return Arm Sofa</t>
  </si>
  <si>
    <t>Bermuda Chair</t>
  </si>
  <si>
    <t>F778-03</t>
  </si>
  <si>
    <t>F722-32</t>
  </si>
  <si>
    <t>F722-08</t>
  </si>
  <si>
    <t>Margate corner</t>
  </si>
  <si>
    <t>Bermuda Sofa</t>
  </si>
  <si>
    <t>MARGATE ARMLESS Loveseat</t>
  </si>
  <si>
    <t>F768-03</t>
  </si>
  <si>
    <t>SENCLAIR</t>
  </si>
  <si>
    <t>FRIDY</t>
  </si>
  <si>
    <t>F769-03</t>
  </si>
  <si>
    <t>F769-02</t>
  </si>
  <si>
    <t>Stephaaaan Loveseat</t>
  </si>
  <si>
    <t>Stephaaaan Sofa</t>
  </si>
  <si>
    <t>F041-04</t>
  </si>
  <si>
    <t>F601-01</t>
  </si>
  <si>
    <t>Vibe Chair</t>
  </si>
  <si>
    <t>F775-03R</t>
  </si>
  <si>
    <t>Harrison One Arm Sofa</t>
  </si>
  <si>
    <t>F7540S</t>
  </si>
  <si>
    <t>F639CQ</t>
  </si>
  <si>
    <t>Calcutta Armless Queen Sleeper</t>
  </si>
  <si>
    <t>F613-09</t>
  </si>
  <si>
    <t>F760-02</t>
  </si>
  <si>
    <t>Soho Ottoman</t>
  </si>
  <si>
    <t>Stephan Loveseat</t>
  </si>
  <si>
    <t>F902-02</t>
  </si>
  <si>
    <t>F902-03</t>
  </si>
  <si>
    <t>F778-02</t>
  </si>
  <si>
    <t>Bermuda Loveseat</t>
  </si>
  <si>
    <t>Chelsea Loveseat</t>
  </si>
  <si>
    <t>Chelsea Sofa</t>
  </si>
  <si>
    <t>F551-03</t>
  </si>
  <si>
    <t>Maxwell Sofa</t>
  </si>
  <si>
    <t>F902-03L</t>
  </si>
  <si>
    <t>F902-03R</t>
  </si>
  <si>
    <t>Chelsea RAF Sofa</t>
  </si>
  <si>
    <t>Ottoman</t>
  </si>
  <si>
    <t>F776-09</t>
  </si>
  <si>
    <t>F766-06</t>
  </si>
  <si>
    <t>F639-01</t>
  </si>
  <si>
    <t>CALCUTTA  Chair</t>
  </si>
  <si>
    <t>F639-03</t>
  </si>
  <si>
    <t>CALCUTTA  Sofa</t>
  </si>
  <si>
    <t>F801J</t>
  </si>
  <si>
    <t>F904-03L</t>
  </si>
  <si>
    <t>F904-03R</t>
  </si>
  <si>
    <t>Loveseat Wedge</t>
  </si>
  <si>
    <t>F551-01</t>
  </si>
  <si>
    <t>Maxwell Chair</t>
  </si>
  <si>
    <t>F551-02</t>
  </si>
  <si>
    <t>F902-01</t>
  </si>
  <si>
    <t>F904-03</t>
  </si>
  <si>
    <t>Maxwell Loveseat</t>
  </si>
  <si>
    <t>Chealsea Chair</t>
  </si>
  <si>
    <t>Tudor Sofa</t>
  </si>
  <si>
    <t>F906-03</t>
  </si>
  <si>
    <t>Sofa</t>
  </si>
  <si>
    <t>F7579S</t>
  </si>
  <si>
    <t>Chicago OCC Chair</t>
  </si>
  <si>
    <t>F768-01</t>
  </si>
  <si>
    <t>F524-30</t>
  </si>
  <si>
    <t>Sinclair Chair</t>
  </si>
  <si>
    <t>Sara/Beth Queen Armless Sleeper</t>
  </si>
  <si>
    <t>F639-02</t>
  </si>
  <si>
    <t>Calcutta Loveseat</t>
  </si>
  <si>
    <t>F903-03</t>
  </si>
  <si>
    <t>F903-23</t>
  </si>
  <si>
    <t>0076</t>
  </si>
  <si>
    <t>0086</t>
  </si>
  <si>
    <t>0090</t>
  </si>
  <si>
    <t>0087</t>
  </si>
  <si>
    <t>0089</t>
  </si>
  <si>
    <t>q</t>
  </si>
  <si>
    <t>F641-33R</t>
  </si>
  <si>
    <t>F641-33L</t>
  </si>
  <si>
    <t>Grand Island RAF Sleeper</t>
  </si>
  <si>
    <t>Grand Island LASF Sleeper</t>
  </si>
  <si>
    <t>F533-03</t>
  </si>
  <si>
    <t>Windsor Park Sofa</t>
  </si>
  <si>
    <t>F842-03</t>
  </si>
  <si>
    <t>F842-01</t>
  </si>
  <si>
    <t>F842-02</t>
  </si>
  <si>
    <t>Loft Chair</t>
  </si>
  <si>
    <t>Loft Loveseat</t>
  </si>
  <si>
    <t>Loft Sofa</t>
  </si>
  <si>
    <t>F841-13R</t>
  </si>
  <si>
    <t>F841-03L</t>
  </si>
  <si>
    <t>Hunter One Arm Sofa</t>
  </si>
  <si>
    <t>Hunter Sectional</t>
  </si>
  <si>
    <t>F842-09</t>
  </si>
  <si>
    <t>Hunter Ottoman</t>
  </si>
  <si>
    <t>F842-03L</t>
  </si>
  <si>
    <t>F841-13L</t>
  </si>
  <si>
    <t>F842-03R</t>
  </si>
  <si>
    <t>Loft One Arm Sofa</t>
  </si>
  <si>
    <t>F842-01R</t>
  </si>
  <si>
    <t>Loft One Arm Chair</t>
  </si>
  <si>
    <t>F842-01L</t>
  </si>
  <si>
    <t>Loft One Arm Chiar</t>
  </si>
  <si>
    <t>F842-33</t>
  </si>
  <si>
    <t>Loft Armless Sofa</t>
  </si>
  <si>
    <t>F842-31</t>
  </si>
  <si>
    <t>Loft Armless Chair</t>
  </si>
  <si>
    <t>F842-08</t>
  </si>
  <si>
    <t>Loft Corner</t>
  </si>
  <si>
    <t>F842-05R</t>
  </si>
  <si>
    <t>Loft Chaise</t>
  </si>
  <si>
    <t>F842-05L</t>
  </si>
  <si>
    <t>F763-09</t>
  </si>
  <si>
    <t>Hunter RAF Sectional</t>
  </si>
  <si>
    <t>Hunter LAF Sectional</t>
  </si>
  <si>
    <t>F841-03</t>
  </si>
  <si>
    <t>Hunter Sofa</t>
  </si>
  <si>
    <t>F842-35R</t>
  </si>
  <si>
    <t>F841-02</t>
  </si>
  <si>
    <t>Hunter Loveseat</t>
  </si>
  <si>
    <t>F829-08</t>
  </si>
  <si>
    <t>F766-09</t>
  </si>
  <si>
    <t>F829-31</t>
  </si>
  <si>
    <t>Laguna Corner</t>
  </si>
  <si>
    <t>Laguna Armless Chair</t>
  </si>
  <si>
    <t>F829-03L</t>
  </si>
  <si>
    <t>F829-02</t>
  </si>
  <si>
    <t>F829-01</t>
  </si>
  <si>
    <t>F829-09</t>
  </si>
  <si>
    <t>F829-03</t>
  </si>
  <si>
    <t>F829-03R</t>
  </si>
  <si>
    <t>Laguna One Arm Sofa</t>
  </si>
  <si>
    <t xml:space="preserve">Laguna </t>
  </si>
  <si>
    <t>F841-02r</t>
  </si>
  <si>
    <t>Hunter One Arm Loveseat</t>
  </si>
  <si>
    <t>F639-13R</t>
  </si>
  <si>
    <t>CALCUTTA RETURN ARM Sofa</t>
  </si>
  <si>
    <t>F639-13L</t>
  </si>
  <si>
    <t>CALCUTTA RETURN ARM</t>
  </si>
  <si>
    <t>F839RA</t>
  </si>
  <si>
    <t>F839LA</t>
  </si>
  <si>
    <t>Spring Up Employee 2</t>
  </si>
  <si>
    <t>Spring Up Employee 1</t>
  </si>
  <si>
    <t>Knock Up Employee 1</t>
  </si>
  <si>
    <t>Knockup Employee 1</t>
  </si>
  <si>
    <t>Random Employee 1</t>
  </si>
  <si>
    <t>Random Employee 2</t>
  </si>
  <si>
    <t>Random Employee 3</t>
  </si>
  <si>
    <t>Random Employee 4</t>
  </si>
  <si>
    <t>Random Employee 5</t>
  </si>
  <si>
    <t>Random Employee 6</t>
  </si>
  <si>
    <t>Random Employee 7</t>
  </si>
  <si>
    <t>Random Employee 8</t>
  </si>
  <si>
    <t>Random Employee 9</t>
  </si>
  <si>
    <t>Random Employee 10</t>
  </si>
  <si>
    <t>Random Employee 11</t>
  </si>
  <si>
    <t>Random Employee 12</t>
  </si>
  <si>
    <t>Random Employee 14</t>
  </si>
  <si>
    <t>Random Employee 15</t>
  </si>
  <si>
    <t>Random Employee 16</t>
  </si>
  <si>
    <t>Random Employee 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</si>
</sst>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[$$-409]#,##0.00;[Red]\-[$$-409]#,##0.00"/>
    <numFmt numFmtId="165" formatCode="\$#,##0.00\ ;&quot;($&quot;#,##0.00\)"/>
    <numFmt numFmtId="166" formatCode="&quot;$&quot;#,##0.00"/>
  </numFmts>
  <fonts count="7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6500"/>
      <name val="Calibri"/>
      <family val="2"/>
      <scheme val="minor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name val="Bar Code 39 d HR"/>
      <family val="3"/>
    </font>
    <font>
      <sz val="48"/>
      <name val="Bar Code 39 d HR"/>
      <family val="3"/>
    </font>
    <font>
      <sz val="20"/>
      <name val="Calibri"/>
      <family val="2"/>
      <scheme val="minor"/>
    </font>
    <font>
      <sz val="9"/>
      <name val="Calibri"/>
      <family val="2"/>
      <scheme val="minor"/>
    </font>
    <font>
      <sz val="9"/>
      <name val="Arial"/>
      <family val="2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9"/>
      <color theme="1"/>
      <name val="Calibri"/>
      <family val="2"/>
      <scheme val="minor"/>
    </font>
    <font>
      <b/>
      <sz val="9"/>
      <name val="Arial"/>
      <family val="2"/>
    </font>
    <font>
      <sz val="8"/>
      <color theme="1"/>
      <name val="Calibri"/>
      <family val="2"/>
      <scheme val="minor"/>
    </font>
    <font>
      <b/>
      <u/>
      <sz val="8"/>
      <name val="Arial"/>
      <family val="2"/>
    </font>
    <font>
      <b/>
      <u/>
      <sz val="8"/>
      <color theme="1"/>
      <name val="Calibri"/>
      <family val="2"/>
      <scheme val="minor"/>
    </font>
    <font>
      <b/>
      <sz val="8"/>
      <name val="Arial"/>
      <family val="2"/>
    </font>
    <font>
      <sz val="9"/>
      <color theme="1"/>
      <name val="Bar Code 39 d HR"/>
      <family val="3"/>
    </font>
    <font>
      <sz val="10"/>
      <color rgb="FFFF0000"/>
      <name val="Calibri"/>
      <family val="2"/>
      <scheme val="minor"/>
    </font>
    <font>
      <sz val="12"/>
      <name val="Calibri"/>
      <family val="2"/>
      <scheme val="minor"/>
    </font>
    <font>
      <sz val="48"/>
      <name val="Bar Code 39 d HR"/>
      <family val="3"/>
    </font>
    <font>
      <sz val="14"/>
      <color theme="1"/>
      <name val="Calibri"/>
      <family val="2"/>
      <scheme val="minor"/>
    </font>
    <font>
      <sz val="12"/>
      <name val="Calibri"/>
      <family val="2"/>
      <scheme val="minor"/>
    </font>
    <font>
      <sz val="48"/>
      <name val="Bar Code 39 d HR"/>
      <family val="3"/>
    </font>
    <font>
      <sz val="12"/>
      <name val="Calibri"/>
      <family val="2"/>
      <scheme val="minor"/>
    </font>
    <font>
      <sz val="48"/>
      <name val="Bar Code 39 d HR"/>
      <family val="3"/>
    </font>
    <font>
      <sz val="12"/>
      <name val="Calibri"/>
      <family val="2"/>
      <scheme val="minor"/>
    </font>
    <font>
      <sz val="48"/>
      <name val="Bar Code 39 d HR"/>
      <family val="3"/>
    </font>
    <font>
      <sz val="12"/>
      <name val="Calibri"/>
      <family val="2"/>
      <scheme val="minor"/>
    </font>
    <font>
      <sz val="48"/>
      <name val="Bar Code 39 d HR"/>
      <family val="3"/>
    </font>
    <font>
      <sz val="12"/>
      <name val="Calibri"/>
      <family val="2"/>
      <scheme val="minor"/>
    </font>
    <font>
      <sz val="48"/>
      <name val="Bar Code 39 d HR"/>
      <family val="3"/>
    </font>
    <font>
      <sz val="12"/>
      <name val="Calibri"/>
      <family val="2"/>
      <scheme val="minor"/>
    </font>
    <font>
      <sz val="48"/>
      <name val="Bar Code 39 d HR"/>
      <family val="3"/>
    </font>
    <font>
      <sz val="12"/>
      <name val="Calibri"/>
      <family val="2"/>
      <scheme val="minor"/>
    </font>
    <font>
      <sz val="48"/>
      <name val="Bar Code 39 d HR"/>
      <family val="3"/>
    </font>
    <font>
      <sz val="12"/>
      <name val="Calibri"/>
      <family val="2"/>
      <scheme val="minor"/>
    </font>
    <font>
      <sz val="48"/>
      <name val="Bar Code 39 d HR"/>
      <family val="3"/>
    </font>
    <font>
      <sz val="12"/>
      <name val="Calibri"/>
      <family val="2"/>
      <scheme val="minor"/>
    </font>
    <font>
      <sz val="48"/>
      <name val="Bar Code 39 d HR"/>
      <family val="3"/>
    </font>
    <font>
      <sz val="12"/>
      <name val="Calibri"/>
      <family val="2"/>
      <scheme val="minor"/>
    </font>
    <font>
      <sz val="48"/>
      <name val="Bar Code 39 d HR"/>
      <family val="3"/>
    </font>
    <font>
      <sz val="12"/>
      <name val="Calibri"/>
      <family val="2"/>
      <scheme val="minor"/>
    </font>
    <font>
      <sz val="48"/>
      <name val="Bar Code 39 d HR"/>
      <family val="3"/>
    </font>
    <font>
      <sz val="12"/>
      <name val="Calibri"/>
      <family val="2"/>
      <scheme val="minor"/>
    </font>
    <font>
      <sz val="48"/>
      <name val="Bar Code 39 d HR"/>
      <family val="3"/>
    </font>
    <font>
      <sz val="12"/>
      <name val="Calibri"/>
      <family val="2"/>
      <scheme val="minor"/>
    </font>
    <font>
      <sz val="48"/>
      <name val="Bar Code 39 d HR"/>
      <family val="3"/>
    </font>
    <font>
      <sz val="12"/>
      <name val="Calibri"/>
      <family val="2"/>
      <scheme val="minor"/>
    </font>
    <font>
      <sz val="48"/>
      <name val="Bar Code 39 d HR"/>
      <family val="3"/>
    </font>
    <font>
      <sz val="12"/>
      <name val="Calibri"/>
      <family val="2"/>
      <scheme val="minor"/>
    </font>
    <font>
      <sz val="48"/>
      <name val="Bar Code 39 d HR"/>
      <family val="3"/>
    </font>
    <font>
      <sz val="12"/>
      <name val="Calibri"/>
      <family val="2"/>
      <scheme val="minor"/>
    </font>
    <font>
      <sz val="48"/>
      <name val="Bar Code 39 d HR"/>
      <family val="3"/>
    </font>
    <font>
      <sz val="12"/>
      <name val="Calibri"/>
      <family val="2"/>
      <scheme val="minor"/>
    </font>
    <font>
      <sz val="48"/>
      <name val="Bar Code 39 d HR"/>
      <family val="3"/>
    </font>
    <font>
      <b/>
      <i/>
      <sz val="9"/>
      <name val="Arial"/>
      <family val="2"/>
    </font>
    <font>
      <b/>
      <i/>
      <sz val="8"/>
      <name val="Arial"/>
      <family val="2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</fills>
  <borders count="42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1907">
    <xf numFmtId="0" fontId="0" fillId="0" borderId="0"/>
    <xf numFmtId="44" fontId="1" fillId="0" borderId="0" applyFont="0" applyFill="0" applyBorder="0" applyAlignment="0" applyProtection="0"/>
    <xf numFmtId="44" fontId="17" fillId="0" borderId="0" applyFont="0" applyFill="0" applyBorder="0" applyAlignment="0" applyProtection="0"/>
    <xf numFmtId="0" fontId="3" fillId="0" borderId="0"/>
    <xf numFmtId="0" fontId="3" fillId="0" borderId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5" fillId="10" borderId="0" applyNumberFormat="0" applyBorder="0" applyAlignment="0" applyProtection="0"/>
    <xf numFmtId="0" fontId="16" fillId="11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14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0" fontId="10" fillId="0" borderId="0" xfId="0" applyFont="1"/>
    <xf numFmtId="44" fontId="0" fillId="0" borderId="0" xfId="1" applyFont="1"/>
    <xf numFmtId="44" fontId="0" fillId="0" borderId="0" xfId="0" applyNumberFormat="1"/>
    <xf numFmtId="0" fontId="12" fillId="0" borderId="0" xfId="0" applyFont="1"/>
    <xf numFmtId="0" fontId="8" fillId="0" borderId="0" xfId="0" applyFont="1"/>
    <xf numFmtId="0" fontId="8" fillId="0" borderId="0" xfId="0" applyFont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/>
    <xf numFmtId="0" fontId="13" fillId="0" borderId="0" xfId="0" applyFont="1" applyAlignment="1">
      <alignment horizontal="center"/>
    </xf>
    <xf numFmtId="0" fontId="21" fillId="0" borderId="0" xfId="0" applyFont="1"/>
    <xf numFmtId="0" fontId="23" fillId="0" borderId="0" xfId="0" applyFont="1"/>
    <xf numFmtId="0" fontId="23" fillId="2" borderId="0" xfId="0" applyFont="1" applyFill="1"/>
    <xf numFmtId="164" fontId="23" fillId="2" borderId="0" xfId="0" applyNumberFormat="1" applyFont="1" applyFill="1"/>
    <xf numFmtId="164" fontId="23" fillId="2" borderId="0" xfId="0" applyNumberFormat="1" applyFont="1" applyFill="1" applyAlignment="1">
      <alignment horizontal="right"/>
    </xf>
    <xf numFmtId="0" fontId="20" fillId="0" borderId="0" xfId="0" applyFont="1"/>
    <xf numFmtId="0" fontId="24" fillId="0" borderId="0" xfId="0" applyFont="1" applyAlignment="1">
      <alignment horizontal="center"/>
    </xf>
    <xf numFmtId="164" fontId="24" fillId="0" borderId="0" xfId="0" applyNumberFormat="1" applyFont="1" applyAlignment="1">
      <alignment horizontal="center"/>
    </xf>
    <xf numFmtId="166" fontId="24" fillId="0" borderId="0" xfId="0" applyNumberFormat="1" applyFont="1" applyAlignment="1">
      <alignment horizontal="center"/>
    </xf>
    <xf numFmtId="0" fontId="24" fillId="0" borderId="0" xfId="0" applyFont="1" applyAlignment="1">
      <alignment horizontal="center" wrapText="1"/>
    </xf>
    <xf numFmtId="164" fontId="25" fillId="0" borderId="0" xfId="1" applyNumberFormat="1" applyFont="1" applyFill="1" applyBorder="1" applyAlignment="1" applyProtection="1">
      <alignment horizontal="center" wrapText="1"/>
    </xf>
    <xf numFmtId="0" fontId="26" fillId="0" borderId="0" xfId="0" applyFont="1"/>
    <xf numFmtId="0" fontId="13" fillId="0" borderId="0" xfId="0" applyFont="1"/>
    <xf numFmtId="0" fontId="22" fillId="0" borderId="11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14" fillId="0" borderId="10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44" fontId="14" fillId="0" borderId="10" xfId="2" applyFont="1" applyFill="1" applyBorder="1" applyAlignment="1">
      <alignment horizontal="center" vertical="center"/>
    </xf>
    <xf numFmtId="0" fontId="14" fillId="0" borderId="10" xfId="0" applyFont="1" applyBorder="1" applyAlignment="1">
      <alignment horizontal="center" vertical="center" wrapText="1"/>
    </xf>
    <xf numFmtId="0" fontId="14" fillId="0" borderId="8" xfId="0" applyFont="1" applyBorder="1" applyAlignment="1">
      <alignment horizontal="center" vertical="center" wrapText="1"/>
    </xf>
    <xf numFmtId="0" fontId="14" fillId="0" borderId="15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0" fontId="14" fillId="0" borderId="0" xfId="0" applyFont="1"/>
    <xf numFmtId="0" fontId="0" fillId="0" borderId="20" xfId="0" applyBorder="1"/>
    <xf numFmtId="166" fontId="0" fillId="0" borderId="20" xfId="0" applyNumberForma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0" fontId="0" fillId="0" borderId="20" xfId="0" applyBorder="1" applyAlignment="1">
      <alignment horizontal="center"/>
    </xf>
    <xf numFmtId="44" fontId="0" fillId="0" borderId="20" xfId="1" applyFont="1" applyBorder="1" applyAlignment="1">
      <alignment horizontal="center"/>
    </xf>
    <xf numFmtId="44" fontId="0" fillId="0" borderId="20" xfId="1" applyFont="1" applyBorder="1"/>
    <xf numFmtId="165" fontId="0" fillId="0" borderId="20" xfId="0" applyNumberFormat="1" applyBorder="1" applyAlignment="1">
      <alignment horizontal="center"/>
    </xf>
    <xf numFmtId="2" fontId="0" fillId="0" borderId="20" xfId="0" applyNumberFormat="1" applyBorder="1"/>
    <xf numFmtId="0" fontId="0" fillId="4" borderId="20" xfId="0" applyFill="1" applyBorder="1"/>
    <xf numFmtId="0" fontId="0" fillId="7" borderId="20" xfId="0" applyFill="1" applyBorder="1"/>
    <xf numFmtId="0" fontId="0" fillId="5" borderId="20" xfId="0" applyFill="1" applyBorder="1"/>
    <xf numFmtId="0" fontId="0" fillId="3" borderId="20" xfId="0" applyFill="1" applyBorder="1"/>
    <xf numFmtId="0" fontId="14" fillId="0" borderId="20" xfId="0" applyFont="1" applyBorder="1"/>
    <xf numFmtId="44" fontId="14" fillId="0" borderId="20" xfId="1" applyFont="1" applyFill="1" applyBorder="1"/>
    <xf numFmtId="12" fontId="14" fillId="0" borderId="20" xfId="0" applyNumberFormat="1" applyFont="1" applyBorder="1"/>
    <xf numFmtId="44" fontId="14" fillId="0" borderId="20" xfId="0" applyNumberFormat="1" applyFont="1" applyBorder="1"/>
    <xf numFmtId="0" fontId="0" fillId="0" borderId="12" xfId="0" applyBorder="1"/>
    <xf numFmtId="0" fontId="0" fillId="0" borderId="12" xfId="0" applyBorder="1" applyAlignment="1">
      <alignment horizontal="center"/>
    </xf>
    <xf numFmtId="44" fontId="14" fillId="0" borderId="8" xfId="1" applyFont="1" applyFill="1" applyBorder="1" applyAlignment="1">
      <alignment horizontal="center" vertical="center"/>
    </xf>
    <xf numFmtId="44" fontId="14" fillId="0" borderId="8" xfId="1" applyFont="1" applyFill="1" applyBorder="1" applyAlignment="1" applyProtection="1">
      <alignment horizontal="center" vertical="center" wrapText="1"/>
    </xf>
    <xf numFmtId="44" fontId="14" fillId="0" borderId="9" xfId="1" applyFont="1" applyFill="1" applyBorder="1" applyAlignment="1">
      <alignment horizontal="center" vertical="center"/>
    </xf>
    <xf numFmtId="44" fontId="14" fillId="0" borderId="17" xfId="1" applyFont="1" applyFill="1" applyBorder="1" applyAlignment="1">
      <alignment horizontal="center" vertical="center"/>
    </xf>
    <xf numFmtId="44" fontId="14" fillId="0" borderId="18" xfId="1" applyFont="1" applyFill="1" applyBorder="1" applyAlignment="1">
      <alignment horizontal="center" vertical="center"/>
    </xf>
    <xf numFmtId="44" fontId="14" fillId="0" borderId="19" xfId="1" applyFont="1" applyFill="1" applyBorder="1" applyAlignment="1">
      <alignment horizontal="center" vertical="center"/>
    </xf>
    <xf numFmtId="0" fontId="14" fillId="0" borderId="23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/>
    </xf>
    <xf numFmtId="44" fontId="14" fillId="0" borderId="0" xfId="1" applyFont="1" applyFill="1" applyBorder="1" applyAlignment="1" applyProtection="1">
      <alignment horizontal="center" vertical="center" wrapText="1"/>
    </xf>
    <xf numFmtId="44" fontId="14" fillId="0" borderId="9" xfId="1" applyFont="1" applyFill="1" applyBorder="1" applyAlignment="1" applyProtection="1">
      <alignment horizontal="center" vertical="center" wrapText="1"/>
    </xf>
    <xf numFmtId="44" fontId="14" fillId="0" borderId="13" xfId="1" applyFont="1" applyFill="1" applyBorder="1" applyAlignment="1">
      <alignment horizontal="center" vertical="center"/>
    </xf>
    <xf numFmtId="44" fontId="14" fillId="0" borderId="14" xfId="1" applyFont="1" applyFill="1" applyBorder="1" applyAlignment="1">
      <alignment horizontal="center" vertical="center"/>
    </xf>
    <xf numFmtId="44" fontId="14" fillId="0" borderId="24" xfId="1" applyFont="1" applyFill="1" applyBorder="1" applyAlignment="1">
      <alignment horizontal="center" vertical="center"/>
    </xf>
    <xf numFmtId="44" fontId="14" fillId="0" borderId="25" xfId="1" applyFont="1" applyFill="1" applyBorder="1" applyAlignment="1">
      <alignment horizontal="center" vertical="center"/>
    </xf>
    <xf numFmtId="0" fontId="0" fillId="0" borderId="24" xfId="0" applyBorder="1" applyAlignment="1">
      <alignment horizontal="center"/>
    </xf>
    <xf numFmtId="0" fontId="28" fillId="0" borderId="0" xfId="0" applyFont="1"/>
    <xf numFmtId="166" fontId="0" fillId="0" borderId="20" xfId="0" applyNumberFormat="1" applyBorder="1"/>
    <xf numFmtId="0" fontId="0" fillId="0" borderId="26" xfId="0" applyBorder="1"/>
    <xf numFmtId="0" fontId="7" fillId="0" borderId="27" xfId="0" applyFont="1" applyBorder="1"/>
    <xf numFmtId="44" fontId="7" fillId="0" borderId="27" xfId="1" applyFont="1" applyFill="1" applyBorder="1"/>
    <xf numFmtId="0" fontId="7" fillId="0" borderId="28" xfId="0" applyFont="1" applyBorder="1"/>
    <xf numFmtId="0" fontId="5" fillId="0" borderId="29" xfId="0" applyFont="1" applyBorder="1" applyAlignment="1">
      <alignment horizontal="center"/>
    </xf>
    <xf numFmtId="44" fontId="0" fillId="0" borderId="30" xfId="1" applyFont="1" applyBorder="1"/>
    <xf numFmtId="0" fontId="0" fillId="0" borderId="23" xfId="0" applyBorder="1"/>
    <xf numFmtId="0" fontId="0" fillId="0" borderId="24" xfId="0" applyBorder="1"/>
    <xf numFmtId="2" fontId="6" fillId="0" borderId="24" xfId="0" applyNumberFormat="1" applyFont="1" applyBorder="1" applyAlignment="1">
      <alignment horizontal="center"/>
    </xf>
    <xf numFmtId="166" fontId="6" fillId="0" borderId="24" xfId="0" applyNumberFormat="1" applyFont="1" applyBorder="1" applyAlignment="1">
      <alignment horizontal="center"/>
    </xf>
    <xf numFmtId="165" fontId="6" fillId="0" borderId="24" xfId="0" applyNumberFormat="1" applyFont="1" applyBorder="1" applyAlignment="1">
      <alignment horizontal="center"/>
    </xf>
    <xf numFmtId="44" fontId="0" fillId="0" borderId="24" xfId="1" applyFon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0" fontId="0" fillId="0" borderId="25" xfId="0" applyBorder="1"/>
    <xf numFmtId="44" fontId="0" fillId="0" borderId="20" xfId="0" applyNumberFormat="1" applyBorder="1"/>
    <xf numFmtId="0" fontId="7" fillId="0" borderId="27" xfId="0" applyFont="1" applyBorder="1" applyAlignment="1">
      <alignment horizontal="center"/>
    </xf>
    <xf numFmtId="0" fontId="0" fillId="0" borderId="29" xfId="0" applyBorder="1"/>
    <xf numFmtId="44" fontId="0" fillId="0" borderId="24" xfId="0" applyNumberFormat="1" applyBorder="1"/>
    <xf numFmtId="0" fontId="7" fillId="0" borderId="26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27" fillId="0" borderId="0" xfId="0" applyFont="1"/>
    <xf numFmtId="44" fontId="14" fillId="0" borderId="4" xfId="1" applyFont="1" applyFill="1" applyBorder="1" applyAlignment="1">
      <alignment horizontal="center" vertical="center"/>
    </xf>
    <xf numFmtId="44" fontId="14" fillId="0" borderId="5" xfId="1" applyFont="1" applyFill="1" applyBorder="1" applyAlignment="1">
      <alignment horizontal="center" vertical="center"/>
    </xf>
    <xf numFmtId="0" fontId="0" fillId="12" borderId="0" xfId="0" applyFill="1"/>
    <xf numFmtId="49" fontId="0" fillId="0" borderId="0" xfId="0" applyNumberFormat="1" applyAlignment="1">
      <alignment horizontal="right"/>
    </xf>
    <xf numFmtId="12" fontId="0" fillId="0" borderId="0" xfId="0" applyNumberFormat="1"/>
    <xf numFmtId="49" fontId="10" fillId="0" borderId="0" xfId="0" applyNumberFormat="1" applyFont="1" applyAlignment="1">
      <alignment horizontal="right"/>
    </xf>
    <xf numFmtId="0" fontId="11" fillId="0" borderId="0" xfId="0" applyFont="1"/>
    <xf numFmtId="12" fontId="10" fillId="0" borderId="0" xfId="0" applyNumberFormat="1" applyFont="1"/>
    <xf numFmtId="49" fontId="10" fillId="0" borderId="0" xfId="0" applyNumberFormat="1" applyFont="1" applyAlignment="1">
      <alignment horizontal="center"/>
    </xf>
    <xf numFmtId="0" fontId="10" fillId="0" borderId="21" xfId="0" applyFont="1" applyBorder="1"/>
    <xf numFmtId="0" fontId="10" fillId="0" borderId="22" xfId="0" applyFont="1" applyBorder="1"/>
    <xf numFmtId="0" fontId="5" fillId="0" borderId="38" xfId="0" applyFont="1" applyBorder="1" applyAlignment="1">
      <alignment horizontal="center"/>
    </xf>
    <xf numFmtId="166" fontId="0" fillId="0" borderId="12" xfId="0" applyNumberFormat="1" applyBorder="1" applyAlignment="1">
      <alignment horizontal="center"/>
    </xf>
    <xf numFmtId="0" fontId="6" fillId="0" borderId="2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14" fillId="0" borderId="20" xfId="0" applyNumberFormat="1" applyFont="1" applyBorder="1" applyAlignment="1">
      <alignment horizontal="right"/>
    </xf>
    <xf numFmtId="14" fontId="0" fillId="0" borderId="36" xfId="0" applyNumberFormat="1" applyBorder="1"/>
    <xf numFmtId="0" fontId="8" fillId="0" borderId="36" xfId="0" applyFont="1" applyBorder="1"/>
    <xf numFmtId="0" fontId="0" fillId="0" borderId="36" xfId="0" applyBorder="1"/>
    <xf numFmtId="0" fontId="22" fillId="0" borderId="4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33" fillId="0" borderId="0" xfId="0" applyFont="1" applyAlignment="1">
      <alignment horizontal="left"/>
    </xf>
    <xf numFmtId="0" fontId="34" fillId="0" borderId="0" xfId="0" applyFont="1"/>
    <xf numFmtId="165" fontId="35" fillId="0" borderId="0" xfId="0" applyNumberFormat="1" applyFont="1"/>
    <xf numFmtId="0" fontId="33" fillId="0" borderId="0" xfId="0" applyFont="1" applyAlignment="1">
      <alignment horizontal="center"/>
    </xf>
    <xf numFmtId="0" fontId="33" fillId="0" borderId="0" xfId="0" applyFont="1"/>
    <xf numFmtId="165" fontId="33" fillId="0" borderId="1" xfId="0" applyNumberFormat="1" applyFont="1" applyBorder="1" applyAlignment="1">
      <alignment horizontal="center"/>
    </xf>
    <xf numFmtId="165" fontId="36" fillId="0" borderId="0" xfId="0" applyNumberFormat="1" applyFont="1"/>
    <xf numFmtId="14" fontId="33" fillId="0" borderId="0" xfId="0" applyNumberFormat="1" applyFont="1"/>
    <xf numFmtId="0" fontId="36" fillId="0" borderId="0" xfId="0" applyFont="1"/>
    <xf numFmtId="165" fontId="33" fillId="0" borderId="0" xfId="0" applyNumberFormat="1" applyFont="1" applyAlignment="1">
      <alignment horizontal="center"/>
    </xf>
    <xf numFmtId="165" fontId="33" fillId="0" borderId="0" xfId="0" applyNumberFormat="1" applyFont="1"/>
    <xf numFmtId="0" fontId="36" fillId="0" borderId="2" xfId="0" applyFont="1" applyBorder="1" applyAlignment="1">
      <alignment horizontal="right"/>
    </xf>
    <xf numFmtId="166" fontId="33" fillId="0" borderId="0" xfId="0" applyNumberFormat="1" applyFont="1"/>
    <xf numFmtId="0" fontId="36" fillId="0" borderId="0" xfId="0" applyFont="1" applyAlignment="1">
      <alignment horizontal="right"/>
    </xf>
    <xf numFmtId="0" fontId="33" fillId="0" borderId="0" xfId="0" applyFont="1" applyAlignment="1">
      <alignment horizontal="right"/>
    </xf>
    <xf numFmtId="165" fontId="33" fillId="2" borderId="1" xfId="0" applyNumberFormat="1" applyFont="1" applyFill="1" applyBorder="1" applyAlignment="1">
      <alignment horizontal="center"/>
    </xf>
    <xf numFmtId="165" fontId="36" fillId="0" borderId="36" xfId="0" applyNumberFormat="1" applyFont="1" applyBorder="1"/>
    <xf numFmtId="0" fontId="36" fillId="0" borderId="36" xfId="0" applyFont="1" applyBorder="1"/>
    <xf numFmtId="165" fontId="33" fillId="0" borderId="36" xfId="0" applyNumberFormat="1" applyFont="1" applyBorder="1" applyAlignment="1">
      <alignment horizontal="center"/>
    </xf>
    <xf numFmtId="165" fontId="33" fillId="0" borderId="36" xfId="0" applyNumberFormat="1" applyFont="1" applyBorder="1"/>
    <xf numFmtId="0" fontId="33" fillId="0" borderId="36" xfId="0" applyFont="1" applyBorder="1"/>
    <xf numFmtId="0" fontId="33" fillId="0" borderId="36" xfId="0" applyFont="1" applyBorder="1" applyAlignment="1">
      <alignment horizontal="left"/>
    </xf>
    <xf numFmtId="0" fontId="36" fillId="0" borderId="36" xfId="0" applyFont="1" applyBorder="1" applyAlignment="1">
      <alignment horizontal="right"/>
    </xf>
    <xf numFmtId="166" fontId="33" fillId="0" borderId="36" xfId="1" applyNumberFormat="1" applyFont="1" applyBorder="1"/>
    <xf numFmtId="0" fontId="11" fillId="0" borderId="0" xfId="0" applyFont="1" applyAlignment="1">
      <alignment horizontal="center" vertical="center"/>
    </xf>
    <xf numFmtId="0" fontId="26" fillId="0" borderId="0" xfId="0" applyFont="1" applyAlignment="1">
      <alignment horizontal="left" vertical="center"/>
    </xf>
    <xf numFmtId="0" fontId="30" fillId="0" borderId="0" xfId="0" applyFont="1" applyAlignment="1">
      <alignment vertical="center"/>
    </xf>
    <xf numFmtId="165" fontId="31" fillId="0" borderId="0" xfId="0" applyNumberFormat="1" applyFont="1" applyAlignment="1">
      <alignment vertical="center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165" fontId="26" fillId="0" borderId="1" xfId="0" applyNumberFormat="1" applyFont="1" applyBorder="1" applyAlignment="1">
      <alignment horizontal="center" vertical="center"/>
    </xf>
    <xf numFmtId="0" fontId="37" fillId="0" borderId="0" xfId="0" applyFont="1" applyAlignment="1">
      <alignment vertical="center"/>
    </xf>
    <xf numFmtId="165" fontId="32" fillId="0" borderId="0" xfId="0" applyNumberFormat="1" applyFont="1" applyAlignment="1">
      <alignment vertical="center"/>
    </xf>
    <xf numFmtId="14" fontId="26" fillId="0" borderId="0" xfId="0" applyNumberFormat="1" applyFont="1" applyAlignment="1">
      <alignment vertical="center"/>
    </xf>
    <xf numFmtId="0" fontId="32" fillId="0" borderId="0" xfId="0" applyFont="1" applyAlignment="1">
      <alignment vertical="center"/>
    </xf>
    <xf numFmtId="165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vertical="center"/>
    </xf>
    <xf numFmtId="0" fontId="32" fillId="0" borderId="20" xfId="0" applyFont="1" applyBorder="1" applyAlignment="1">
      <alignment horizontal="right" vertical="center"/>
    </xf>
    <xf numFmtId="166" fontId="26" fillId="0" borderId="0" xfId="0" applyNumberFormat="1" applyFont="1" applyAlignment="1">
      <alignment vertical="center"/>
    </xf>
    <xf numFmtId="0" fontId="32" fillId="0" borderId="0" xfId="0" applyFont="1" applyAlignment="1">
      <alignment horizontal="right" vertical="center"/>
    </xf>
    <xf numFmtId="0" fontId="24" fillId="0" borderId="0" xfId="0" applyFont="1" applyAlignment="1">
      <alignment vertical="center"/>
    </xf>
    <xf numFmtId="0" fontId="38" fillId="0" borderId="0" xfId="0" applyFont="1"/>
    <xf numFmtId="0" fontId="38" fillId="0" borderId="0" xfId="0" applyFont="1" applyAlignment="1">
      <alignment horizontal="center"/>
    </xf>
    <xf numFmtId="0" fontId="11" fillId="0" borderId="20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1" fillId="0" borderId="20" xfId="0" applyFont="1" applyBorder="1"/>
    <xf numFmtId="0" fontId="11" fillId="0" borderId="12" xfId="0" applyFont="1" applyBorder="1"/>
    <xf numFmtId="0" fontId="11" fillId="0" borderId="12" xfId="0" applyFont="1" applyBorder="1" applyAlignment="1">
      <alignment horizontal="center"/>
    </xf>
    <xf numFmtId="0" fontId="29" fillId="0" borderId="26" xfId="0" applyFont="1" applyBorder="1" applyAlignment="1">
      <alignment horizontal="center"/>
    </xf>
    <xf numFmtId="0" fontId="29" fillId="0" borderId="27" xfId="0" applyFont="1" applyBorder="1"/>
    <xf numFmtId="0" fontId="29" fillId="0" borderId="27" xfId="0" applyFont="1" applyBorder="1" applyAlignment="1">
      <alignment horizontal="center" vertical="center"/>
    </xf>
    <xf numFmtId="44" fontId="29" fillId="0" borderId="27" xfId="1" applyFont="1" applyFill="1" applyBorder="1"/>
    <xf numFmtId="0" fontId="29" fillId="0" borderId="28" xfId="0" applyFont="1" applyBorder="1"/>
    <xf numFmtId="166" fontId="11" fillId="0" borderId="20" xfId="0" applyNumberFormat="1" applyFont="1" applyBorder="1" applyAlignment="1">
      <alignment horizontal="center"/>
    </xf>
    <xf numFmtId="0" fontId="11" fillId="0" borderId="23" xfId="0" applyFont="1" applyBorder="1"/>
    <xf numFmtId="0" fontId="11" fillId="0" borderId="24" xfId="0" applyFont="1" applyBorder="1"/>
    <xf numFmtId="0" fontId="3" fillId="0" borderId="24" xfId="0" applyFont="1" applyBorder="1" applyAlignment="1">
      <alignment horizontal="center" vertical="center"/>
    </xf>
    <xf numFmtId="2" fontId="3" fillId="0" borderId="24" xfId="0" applyNumberFormat="1" applyFont="1" applyBorder="1" applyAlignment="1">
      <alignment horizontal="center"/>
    </xf>
    <xf numFmtId="166" fontId="3" fillId="0" borderId="24" xfId="0" applyNumberFormat="1" applyFont="1" applyBorder="1" applyAlignment="1">
      <alignment horizontal="center"/>
    </xf>
    <xf numFmtId="165" fontId="3" fillId="0" borderId="24" xfId="0" applyNumberFormat="1" applyFont="1" applyBorder="1" applyAlignment="1">
      <alignment horizontal="center"/>
    </xf>
    <xf numFmtId="0" fontId="11" fillId="0" borderId="24" xfId="0" applyFont="1" applyBorder="1" applyAlignment="1">
      <alignment horizontal="center"/>
    </xf>
    <xf numFmtId="44" fontId="11" fillId="0" borderId="24" xfId="1" applyFont="1" applyBorder="1" applyAlignment="1">
      <alignment horizontal="center"/>
    </xf>
    <xf numFmtId="2" fontId="11" fillId="0" borderId="24" xfId="0" applyNumberFormat="1" applyFont="1" applyBorder="1" applyAlignment="1">
      <alignment horizontal="center"/>
    </xf>
    <xf numFmtId="0" fontId="11" fillId="0" borderId="25" xfId="0" applyFont="1" applyBorder="1"/>
    <xf numFmtId="44" fontId="11" fillId="0" borderId="0" xfId="1" applyFont="1"/>
    <xf numFmtId="0" fontId="5" fillId="0" borderId="0" xfId="0" applyFont="1" applyAlignment="1">
      <alignment horizontal="center" vertical="center"/>
    </xf>
    <xf numFmtId="0" fontId="11" fillId="0" borderId="26" xfId="0" applyFont="1" applyBorder="1"/>
    <xf numFmtId="0" fontId="29" fillId="0" borderId="27" xfId="0" applyFont="1" applyBorder="1" applyAlignment="1">
      <alignment horizontal="center"/>
    </xf>
    <xf numFmtId="165" fontId="11" fillId="0" borderId="20" xfId="0" applyNumberFormat="1" applyFont="1" applyBorder="1" applyAlignment="1">
      <alignment horizontal="center"/>
    </xf>
    <xf numFmtId="0" fontId="11" fillId="0" borderId="29" xfId="0" applyFont="1" applyBorder="1"/>
    <xf numFmtId="0" fontId="11" fillId="0" borderId="20" xfId="0" applyFont="1" applyBorder="1" applyAlignment="1">
      <alignment horizontal="center" vertical="center"/>
    </xf>
    <xf numFmtId="2" fontId="11" fillId="0" borderId="20" xfId="0" applyNumberFormat="1" applyFont="1" applyBorder="1"/>
    <xf numFmtId="44" fontId="11" fillId="0" borderId="20" xfId="0" applyNumberFormat="1" applyFont="1" applyBorder="1"/>
    <xf numFmtId="44" fontId="11" fillId="0" borderId="20" xfId="1" applyFont="1" applyBorder="1"/>
    <xf numFmtId="44" fontId="11" fillId="0" borderId="30" xfId="1" applyFont="1" applyBorder="1"/>
    <xf numFmtId="44" fontId="11" fillId="0" borderId="24" xfId="0" applyNumberFormat="1" applyFont="1" applyBorder="1"/>
    <xf numFmtId="44" fontId="14" fillId="0" borderId="15" xfId="1" applyFont="1" applyFill="1" applyBorder="1" applyAlignment="1">
      <alignment horizontal="center" vertical="center"/>
    </xf>
    <xf numFmtId="44" fontId="14" fillId="0" borderId="31" xfId="1" applyFont="1" applyFill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14" fillId="0" borderId="20" xfId="0" applyFont="1" applyBorder="1" applyAlignment="1">
      <alignment horizontal="center" vertical="center"/>
    </xf>
    <xf numFmtId="44" fontId="14" fillId="0" borderId="20" xfId="1" applyFont="1" applyFill="1" applyBorder="1" applyAlignment="1">
      <alignment horizontal="center" vertical="center"/>
    </xf>
    <xf numFmtId="44" fontId="14" fillId="0" borderId="4" xfId="2" applyFont="1" applyFill="1" applyBorder="1" applyAlignment="1">
      <alignment horizontal="center" vertical="center"/>
    </xf>
    <xf numFmtId="44" fontId="14" fillId="0" borderId="32" xfId="1" applyFont="1" applyFill="1" applyBorder="1" applyAlignment="1">
      <alignment horizontal="center" vertical="center"/>
    </xf>
    <xf numFmtId="44" fontId="14" fillId="0" borderId="33" xfId="1" applyFont="1" applyFill="1" applyBorder="1" applyAlignment="1">
      <alignment horizontal="center" vertical="center"/>
    </xf>
    <xf numFmtId="44" fontId="14" fillId="0" borderId="34" xfId="1" applyFont="1" applyFill="1" applyBorder="1" applyAlignment="1">
      <alignment horizontal="center" vertical="center"/>
    </xf>
    <xf numFmtId="44" fontId="14" fillId="0" borderId="35" xfId="1" applyFont="1" applyFill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44" fontId="14" fillId="0" borderId="37" xfId="1" applyFont="1" applyFill="1" applyBorder="1" applyAlignment="1">
      <alignment horizontal="center" vertical="center"/>
    </xf>
    <xf numFmtId="0" fontId="22" fillId="0" borderId="37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0" fontId="14" fillId="0" borderId="9" xfId="0" applyFont="1" applyBorder="1"/>
    <xf numFmtId="44" fontId="14" fillId="0" borderId="10" xfId="2" applyFont="1" applyFill="1" applyBorder="1" applyAlignment="1">
      <alignment horizontal="center"/>
    </xf>
    <xf numFmtId="0" fontId="14" fillId="0" borderId="8" xfId="0" applyFont="1" applyBorder="1" applyAlignment="1">
      <alignment horizontal="center"/>
    </xf>
    <xf numFmtId="44" fontId="14" fillId="0" borderId="8" xfId="0" applyNumberFormat="1" applyFont="1" applyBorder="1" applyAlignment="1">
      <alignment horizontal="center"/>
    </xf>
    <xf numFmtId="44" fontId="14" fillId="0" borderId="0" xfId="1" applyFont="1" applyFill="1" applyAlignment="1">
      <alignment horizontal="center" vertical="center"/>
    </xf>
    <xf numFmtId="1" fontId="33" fillId="0" borderId="0" xfId="0" applyNumberFormat="1" applyFont="1"/>
    <xf numFmtId="0" fontId="39" fillId="0" borderId="4" xfId="0" applyFont="1" applyBorder="1" applyAlignment="1">
      <alignment horizontal="center" vertical="center"/>
    </xf>
    <xf numFmtId="44" fontId="39" fillId="0" borderId="4" xfId="1" applyFont="1" applyFill="1" applyBorder="1" applyAlignment="1">
      <alignment horizontal="center" vertical="center"/>
    </xf>
    <xf numFmtId="44" fontId="39" fillId="0" borderId="5" xfId="1" applyFont="1" applyFill="1" applyBorder="1" applyAlignment="1">
      <alignment horizontal="center" vertical="center"/>
    </xf>
    <xf numFmtId="0" fontId="40" fillId="0" borderId="4" xfId="0" applyFont="1" applyBorder="1" applyAlignment="1">
      <alignment horizontal="center"/>
    </xf>
    <xf numFmtId="0" fontId="39" fillId="0" borderId="0" xfId="0" applyFont="1"/>
    <xf numFmtId="166" fontId="41" fillId="0" borderId="39" xfId="0" applyNumberFormat="1" applyFont="1" applyBorder="1" applyAlignment="1">
      <alignment horizontal="center"/>
    </xf>
    <xf numFmtId="0" fontId="42" fillId="0" borderId="4" xfId="0" applyFont="1" applyBorder="1" applyAlignment="1">
      <alignment horizontal="center" vertical="center"/>
    </xf>
    <xf numFmtId="44" fontId="42" fillId="0" borderId="4" xfId="1" applyFont="1" applyFill="1" applyBorder="1" applyAlignment="1">
      <alignment horizontal="center" vertical="center"/>
    </xf>
    <xf numFmtId="44" fontId="42" fillId="0" borderId="5" xfId="1" applyFont="1" applyFill="1" applyBorder="1" applyAlignment="1">
      <alignment horizontal="center" vertical="center"/>
    </xf>
    <xf numFmtId="0" fontId="43" fillId="0" borderId="4" xfId="0" applyFont="1" applyBorder="1" applyAlignment="1">
      <alignment horizontal="center"/>
    </xf>
    <xf numFmtId="0" fontId="42" fillId="0" borderId="0" xfId="0" applyFont="1"/>
    <xf numFmtId="0" fontId="42" fillId="0" borderId="37" xfId="0" applyFont="1" applyBorder="1" applyAlignment="1">
      <alignment horizontal="center" vertical="center"/>
    </xf>
    <xf numFmtId="44" fontId="42" fillId="0" borderId="37" xfId="1" applyFont="1" applyFill="1" applyBorder="1" applyAlignment="1">
      <alignment horizontal="center" vertical="center"/>
    </xf>
    <xf numFmtId="44" fontId="42" fillId="0" borderId="35" xfId="1" applyFont="1" applyFill="1" applyBorder="1" applyAlignment="1">
      <alignment horizontal="center" vertical="center"/>
    </xf>
    <xf numFmtId="0" fontId="43" fillId="0" borderId="37" xfId="0" applyFont="1" applyBorder="1" applyAlignment="1">
      <alignment horizontal="center"/>
    </xf>
    <xf numFmtId="0" fontId="44" fillId="0" borderId="4" xfId="0" applyFont="1" applyBorder="1" applyAlignment="1">
      <alignment horizontal="center" vertical="center"/>
    </xf>
    <xf numFmtId="44" fontId="44" fillId="0" borderId="4" xfId="1" applyFont="1" applyFill="1" applyBorder="1" applyAlignment="1">
      <alignment horizontal="center" vertical="center"/>
    </xf>
    <xf numFmtId="44" fontId="44" fillId="0" borderId="5" xfId="1" applyFont="1" applyFill="1" applyBorder="1" applyAlignment="1">
      <alignment horizontal="center" vertical="center"/>
    </xf>
    <xf numFmtId="0" fontId="45" fillId="0" borderId="4" xfId="0" applyFont="1" applyBorder="1" applyAlignment="1">
      <alignment horizontal="center"/>
    </xf>
    <xf numFmtId="0" fontId="44" fillId="0" borderId="0" xfId="0" applyFont="1"/>
    <xf numFmtId="0" fontId="46" fillId="0" borderId="4" xfId="0" applyFont="1" applyBorder="1" applyAlignment="1">
      <alignment horizontal="center" vertical="center"/>
    </xf>
    <xf numFmtId="44" fontId="46" fillId="0" borderId="4" xfId="1" applyFont="1" applyFill="1" applyBorder="1" applyAlignment="1">
      <alignment horizontal="center" vertical="center"/>
    </xf>
    <xf numFmtId="44" fontId="46" fillId="0" borderId="5" xfId="1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/>
    </xf>
    <xf numFmtId="0" fontId="46" fillId="0" borderId="0" xfId="0" applyFont="1"/>
    <xf numFmtId="0" fontId="48" fillId="0" borderId="4" xfId="0" applyFont="1" applyBorder="1" applyAlignment="1">
      <alignment horizontal="center" vertical="center"/>
    </xf>
    <xf numFmtId="44" fontId="48" fillId="0" borderId="4" xfId="1" applyFont="1" applyFill="1" applyBorder="1" applyAlignment="1">
      <alignment horizontal="center" vertical="center"/>
    </xf>
    <xf numFmtId="44" fontId="48" fillId="0" borderId="5" xfId="1" applyFont="1" applyFill="1" applyBorder="1" applyAlignment="1">
      <alignment horizontal="center" vertical="center"/>
    </xf>
    <xf numFmtId="0" fontId="49" fillId="0" borderId="4" xfId="0" applyFont="1" applyBorder="1" applyAlignment="1">
      <alignment horizontal="center"/>
    </xf>
    <xf numFmtId="0" fontId="48" fillId="0" borderId="0" xfId="0" applyFont="1"/>
    <xf numFmtId="0" fontId="50" fillId="0" borderId="4" xfId="0" applyFont="1" applyBorder="1" applyAlignment="1">
      <alignment horizontal="center" vertical="center"/>
    </xf>
    <xf numFmtId="44" fontId="50" fillId="0" borderId="4" xfId="1" applyFont="1" applyFill="1" applyBorder="1" applyAlignment="1">
      <alignment horizontal="center" vertical="center"/>
    </xf>
    <xf numFmtId="44" fontId="50" fillId="0" borderId="5" xfId="1" applyFont="1" applyFill="1" applyBorder="1" applyAlignment="1">
      <alignment horizontal="center" vertical="center"/>
    </xf>
    <xf numFmtId="0" fontId="51" fillId="0" borderId="4" xfId="0" applyFont="1" applyBorder="1" applyAlignment="1">
      <alignment horizontal="center"/>
    </xf>
    <xf numFmtId="0" fontId="50" fillId="0" borderId="0" xfId="0" applyFont="1"/>
    <xf numFmtId="0" fontId="11" fillId="0" borderId="40" xfId="0" applyFont="1" applyBorder="1"/>
    <xf numFmtId="0" fontId="11" fillId="0" borderId="40" xfId="0" applyFont="1" applyBorder="1" applyAlignment="1">
      <alignment horizontal="center"/>
    </xf>
    <xf numFmtId="0" fontId="52" fillId="0" borderId="4" xfId="0" applyFont="1" applyBorder="1" applyAlignment="1">
      <alignment horizontal="center" vertical="center"/>
    </xf>
    <xf numFmtId="44" fontId="52" fillId="0" borderId="4" xfId="1" applyFont="1" applyFill="1" applyBorder="1" applyAlignment="1">
      <alignment horizontal="center" vertical="center"/>
    </xf>
    <xf numFmtId="44" fontId="52" fillId="0" borderId="5" xfId="1" applyFont="1" applyFill="1" applyBorder="1" applyAlignment="1">
      <alignment horizontal="center" vertical="center"/>
    </xf>
    <xf numFmtId="0" fontId="53" fillId="0" borderId="4" xfId="0" applyFont="1" applyBorder="1" applyAlignment="1">
      <alignment horizontal="center"/>
    </xf>
    <xf numFmtId="0" fontId="52" fillId="0" borderId="0" xfId="0" applyFont="1"/>
    <xf numFmtId="0" fontId="54" fillId="0" borderId="40" xfId="0" applyFont="1" applyBorder="1"/>
    <xf numFmtId="44" fontId="54" fillId="0" borderId="40" xfId="1" applyFont="1" applyFill="1" applyBorder="1"/>
    <xf numFmtId="0" fontId="0" fillId="0" borderId="40" xfId="0" applyBorder="1" applyAlignment="1">
      <alignment horizontal="center"/>
    </xf>
    <xf numFmtId="0" fontId="0" fillId="0" borderId="40" xfId="0" applyBorder="1"/>
    <xf numFmtId="0" fontId="54" fillId="0" borderId="4" xfId="0" applyFont="1" applyBorder="1" applyAlignment="1">
      <alignment horizontal="center" vertical="center"/>
    </xf>
    <xf numFmtId="44" fontId="54" fillId="0" borderId="4" xfId="1" applyFont="1" applyFill="1" applyBorder="1" applyAlignment="1">
      <alignment horizontal="center" vertical="center"/>
    </xf>
    <xf numFmtId="44" fontId="54" fillId="0" borderId="5" xfId="1" applyFont="1" applyFill="1" applyBorder="1" applyAlignment="1">
      <alignment horizontal="center" vertical="center"/>
    </xf>
    <xf numFmtId="0" fontId="55" fillId="0" borderId="4" xfId="0" applyFont="1" applyBorder="1" applyAlignment="1">
      <alignment horizontal="center"/>
    </xf>
    <xf numFmtId="0" fontId="54" fillId="0" borderId="0" xfId="0" applyFont="1"/>
    <xf numFmtId="44" fontId="54" fillId="0" borderId="40" xfId="0" applyNumberFormat="1" applyFont="1" applyBorder="1"/>
    <xf numFmtId="44" fontId="33" fillId="0" borderId="36" xfId="1" applyFont="1" applyBorder="1" applyAlignment="1">
      <alignment horizontal="center"/>
    </xf>
    <xf numFmtId="44" fontId="33" fillId="2" borderId="0" xfId="0" applyNumberFormat="1" applyFont="1" applyFill="1"/>
    <xf numFmtId="44" fontId="33" fillId="0" borderId="0" xfId="1" applyFont="1" applyBorder="1" applyAlignment="1">
      <alignment horizontal="center"/>
    </xf>
    <xf numFmtId="4" fontId="26" fillId="0" borderId="0" xfId="0" applyNumberFormat="1" applyFont="1" applyAlignment="1">
      <alignment vertical="center"/>
    </xf>
    <xf numFmtId="0" fontId="26" fillId="2" borderId="0" xfId="0" applyFont="1" applyFill="1" applyAlignment="1">
      <alignment vertical="center"/>
    </xf>
    <xf numFmtId="0" fontId="56" fillId="0" borderId="4" xfId="0" applyFont="1" applyBorder="1" applyAlignment="1">
      <alignment horizontal="center" vertical="center"/>
    </xf>
    <xf numFmtId="44" fontId="56" fillId="0" borderId="4" xfId="1" applyFont="1" applyFill="1" applyBorder="1" applyAlignment="1">
      <alignment horizontal="center" vertical="center"/>
    </xf>
    <xf numFmtId="44" fontId="56" fillId="0" borderId="5" xfId="1" applyFont="1" applyFill="1" applyBorder="1" applyAlignment="1">
      <alignment horizontal="center" vertical="center"/>
    </xf>
    <xf numFmtId="0" fontId="57" fillId="0" borderId="4" xfId="0" applyFont="1" applyBorder="1" applyAlignment="1">
      <alignment horizontal="center"/>
    </xf>
    <xf numFmtId="0" fontId="56" fillId="0" borderId="0" xfId="0" applyFont="1"/>
    <xf numFmtId="0" fontId="58" fillId="0" borderId="4" xfId="0" applyFont="1" applyBorder="1" applyAlignment="1">
      <alignment horizontal="center" vertical="center"/>
    </xf>
    <xf numFmtId="44" fontId="58" fillId="0" borderId="4" xfId="1" applyFont="1" applyFill="1" applyBorder="1" applyAlignment="1">
      <alignment horizontal="center" vertical="center"/>
    </xf>
    <xf numFmtId="44" fontId="58" fillId="0" borderId="5" xfId="1" applyFont="1" applyFill="1" applyBorder="1" applyAlignment="1">
      <alignment horizontal="center" vertical="center"/>
    </xf>
    <xf numFmtId="0" fontId="59" fillId="0" borderId="4" xfId="0" applyFont="1" applyBorder="1" applyAlignment="1">
      <alignment horizontal="center"/>
    </xf>
    <xf numFmtId="0" fontId="58" fillId="0" borderId="0" xfId="0" applyFont="1"/>
    <xf numFmtId="0" fontId="60" fillId="0" borderId="4" xfId="0" applyFont="1" applyBorder="1" applyAlignment="1">
      <alignment horizontal="center" vertical="center"/>
    </xf>
    <xf numFmtId="44" fontId="60" fillId="0" borderId="4" xfId="1" applyFont="1" applyFill="1" applyBorder="1" applyAlignment="1">
      <alignment horizontal="center" vertical="center"/>
    </xf>
    <xf numFmtId="44" fontId="60" fillId="0" borderId="5" xfId="1" applyFont="1" applyFill="1" applyBorder="1" applyAlignment="1">
      <alignment horizontal="center" vertical="center"/>
    </xf>
    <xf numFmtId="0" fontId="61" fillId="0" borderId="4" xfId="0" applyFont="1" applyBorder="1" applyAlignment="1">
      <alignment horizontal="center"/>
    </xf>
    <xf numFmtId="0" fontId="60" fillId="0" borderId="0" xfId="0" applyFont="1"/>
    <xf numFmtId="0" fontId="62" fillId="0" borderId="4" xfId="0" applyFont="1" applyBorder="1" applyAlignment="1">
      <alignment horizontal="center" vertical="center"/>
    </xf>
    <xf numFmtId="44" fontId="62" fillId="0" borderId="4" xfId="1" applyFont="1" applyFill="1" applyBorder="1" applyAlignment="1">
      <alignment horizontal="center" vertical="center"/>
    </xf>
    <xf numFmtId="44" fontId="62" fillId="0" borderId="5" xfId="1" applyFont="1" applyFill="1" applyBorder="1" applyAlignment="1">
      <alignment horizontal="center" vertical="center"/>
    </xf>
    <xf numFmtId="0" fontId="63" fillId="0" borderId="4" xfId="0" applyFont="1" applyBorder="1" applyAlignment="1">
      <alignment horizontal="center"/>
    </xf>
    <xf numFmtId="0" fontId="62" fillId="0" borderId="0" xfId="0" applyFont="1"/>
    <xf numFmtId="0" fontId="14" fillId="0" borderId="10" xfId="2" applyNumberFormat="1" applyFont="1" applyFill="1" applyBorder="1" applyAlignment="1">
      <alignment horizontal="center" vertical="center"/>
    </xf>
    <xf numFmtId="44" fontId="13" fillId="0" borderId="10" xfId="2" applyFont="1" applyFill="1" applyBorder="1" applyAlignment="1">
      <alignment horizontal="center"/>
    </xf>
    <xf numFmtId="0" fontId="42" fillId="0" borderId="10" xfId="0" applyFont="1" applyBorder="1" applyAlignment="1">
      <alignment horizontal="center" vertical="center"/>
    </xf>
    <xf numFmtId="0" fontId="42" fillId="0" borderId="15" xfId="0" applyFont="1" applyBorder="1" applyAlignment="1">
      <alignment horizontal="center" vertical="center"/>
    </xf>
    <xf numFmtId="44" fontId="14" fillId="0" borderId="37" xfId="2" applyFont="1" applyFill="1" applyBorder="1" applyAlignment="1">
      <alignment horizontal="center" vertical="center"/>
    </xf>
    <xf numFmtId="0" fontId="39" fillId="0" borderId="10" xfId="0" applyFont="1" applyBorder="1" applyAlignment="1">
      <alignment horizontal="center" vertical="center"/>
    </xf>
    <xf numFmtId="0" fontId="60" fillId="0" borderId="10" xfId="0" applyFont="1" applyBorder="1" applyAlignment="1">
      <alignment horizontal="center" vertical="center"/>
    </xf>
    <xf numFmtId="44" fontId="14" fillId="0" borderId="15" xfId="2" applyFont="1" applyFill="1" applyBorder="1" applyAlignment="1">
      <alignment horizontal="center" vertical="center"/>
    </xf>
    <xf numFmtId="0" fontId="39" fillId="0" borderId="15" xfId="0" applyFont="1" applyBorder="1" applyAlignment="1">
      <alignment horizontal="center" vertical="center"/>
    </xf>
    <xf numFmtId="0" fontId="56" fillId="0" borderId="10" xfId="0" applyFont="1" applyBorder="1" applyAlignment="1">
      <alignment horizontal="center" vertical="center"/>
    </xf>
    <xf numFmtId="44" fontId="14" fillId="0" borderId="16" xfId="2" applyFont="1" applyFill="1" applyBorder="1" applyAlignment="1">
      <alignment horizontal="center" vertical="center"/>
    </xf>
    <xf numFmtId="0" fontId="50" fillId="0" borderId="10" xfId="0" applyFont="1" applyBorder="1" applyAlignment="1">
      <alignment horizontal="center" vertical="center"/>
    </xf>
    <xf numFmtId="0" fontId="60" fillId="0" borderId="37" xfId="0" applyFont="1" applyBorder="1" applyAlignment="1">
      <alignment horizontal="center" vertical="center"/>
    </xf>
    <xf numFmtId="0" fontId="52" fillId="0" borderId="10" xfId="0" applyFont="1" applyBorder="1" applyAlignment="1">
      <alignment horizontal="center" vertical="center"/>
    </xf>
    <xf numFmtId="44" fontId="14" fillId="0" borderId="4" xfId="2" applyFont="1" applyFill="1" applyBorder="1" applyAlignment="1">
      <alignment horizontal="center"/>
    </xf>
    <xf numFmtId="0" fontId="48" fillId="0" borderId="10" xfId="0" applyFont="1" applyBorder="1" applyAlignment="1">
      <alignment horizontal="center" vertical="center"/>
    </xf>
    <xf numFmtId="0" fontId="62" fillId="0" borderId="10" xfId="0" applyFont="1" applyBorder="1" applyAlignment="1">
      <alignment horizontal="center" vertical="center"/>
    </xf>
    <xf numFmtId="0" fontId="14" fillId="0" borderId="4" xfId="0" applyFont="1" applyBorder="1"/>
    <xf numFmtId="0" fontId="13" fillId="0" borderId="8" xfId="0" applyFont="1" applyBorder="1" applyAlignment="1">
      <alignment horizontal="center"/>
    </xf>
    <xf numFmtId="0" fontId="42" fillId="0" borderId="8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 wrapText="1"/>
    </xf>
    <xf numFmtId="0" fontId="39" fillId="0" borderId="8" xfId="0" applyFont="1" applyBorder="1" applyAlignment="1">
      <alignment horizontal="center" vertical="center"/>
    </xf>
    <xf numFmtId="0" fontId="60" fillId="0" borderId="8" xfId="0" applyFont="1" applyBorder="1" applyAlignment="1">
      <alignment horizontal="center" vertical="center"/>
    </xf>
    <xf numFmtId="0" fontId="56" fillId="0" borderId="8" xfId="0" applyFont="1" applyBorder="1" applyAlignment="1">
      <alignment horizontal="center" vertical="center"/>
    </xf>
    <xf numFmtId="0" fontId="50" fillId="0" borderId="8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52" fillId="0" borderId="8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/>
    </xf>
    <xf numFmtId="0" fontId="48" fillId="0" borderId="8" xfId="0" applyFont="1" applyBorder="1" applyAlignment="1">
      <alignment horizontal="center" vertical="center"/>
    </xf>
    <xf numFmtId="0" fontId="62" fillId="0" borderId="8" xfId="0" applyFont="1" applyBorder="1" applyAlignment="1">
      <alignment horizontal="center" vertical="center"/>
    </xf>
    <xf numFmtId="44" fontId="13" fillId="0" borderId="8" xfId="0" applyNumberFormat="1" applyFont="1" applyBorder="1" applyAlignment="1">
      <alignment horizontal="center"/>
    </xf>
    <xf numFmtId="44" fontId="42" fillId="0" borderId="8" xfId="1" applyFont="1" applyFill="1" applyBorder="1" applyAlignment="1">
      <alignment horizontal="center" vertical="center"/>
    </xf>
    <xf numFmtId="44" fontId="42" fillId="0" borderId="15" xfId="1" applyFont="1" applyFill="1" applyBorder="1" applyAlignment="1">
      <alignment horizontal="center" vertical="center"/>
    </xf>
    <xf numFmtId="44" fontId="39" fillId="0" borderId="8" xfId="1" applyFont="1" applyFill="1" applyBorder="1" applyAlignment="1">
      <alignment horizontal="center" vertical="center"/>
    </xf>
    <xf numFmtId="44" fontId="60" fillId="0" borderId="8" xfId="1" applyFont="1" applyFill="1" applyBorder="1" applyAlignment="1">
      <alignment horizontal="center" vertical="center"/>
    </xf>
    <xf numFmtId="44" fontId="39" fillId="0" borderId="15" xfId="1" applyFont="1" applyFill="1" applyBorder="1" applyAlignment="1">
      <alignment horizontal="center" vertical="center"/>
    </xf>
    <xf numFmtId="44" fontId="56" fillId="0" borderId="8" xfId="1" applyFont="1" applyFill="1" applyBorder="1" applyAlignment="1">
      <alignment horizontal="center" vertical="center"/>
    </xf>
    <xf numFmtId="44" fontId="50" fillId="0" borderId="8" xfId="1" applyFont="1" applyFill="1" applyBorder="1" applyAlignment="1">
      <alignment horizontal="center" vertical="center"/>
    </xf>
    <xf numFmtId="44" fontId="60" fillId="0" borderId="37" xfId="1" applyFont="1" applyFill="1" applyBorder="1" applyAlignment="1">
      <alignment horizontal="center" vertical="center"/>
    </xf>
    <xf numFmtId="44" fontId="52" fillId="0" borderId="8" xfId="1" applyFont="1" applyFill="1" applyBorder="1" applyAlignment="1">
      <alignment horizontal="center" vertical="center"/>
    </xf>
    <xf numFmtId="44" fontId="14" fillId="0" borderId="4" xfId="0" applyNumberFormat="1" applyFont="1" applyBorder="1" applyAlignment="1">
      <alignment horizontal="center"/>
    </xf>
    <xf numFmtId="44" fontId="48" fillId="0" borderId="8" xfId="1" applyFont="1" applyFill="1" applyBorder="1" applyAlignment="1">
      <alignment horizontal="center" vertical="center"/>
    </xf>
    <xf numFmtId="44" fontId="62" fillId="0" borderId="8" xfId="1" applyFont="1" applyFill="1" applyBorder="1" applyAlignment="1">
      <alignment horizontal="center" vertical="center"/>
    </xf>
    <xf numFmtId="44" fontId="14" fillId="0" borderId="5" xfId="1" applyFont="1" applyFill="1" applyBorder="1" applyAlignment="1" applyProtection="1">
      <alignment horizontal="center" vertical="center" wrapText="1"/>
    </xf>
    <xf numFmtId="44" fontId="39" fillId="0" borderId="34" xfId="1" applyFont="1" applyFill="1" applyBorder="1" applyAlignment="1">
      <alignment horizontal="center" vertical="center"/>
    </xf>
    <xf numFmtId="44" fontId="60" fillId="0" borderId="35" xfId="1" applyFont="1" applyFill="1" applyBorder="1" applyAlignment="1">
      <alignment horizontal="center" vertical="center"/>
    </xf>
    <xf numFmtId="44" fontId="14" fillId="0" borderId="5" xfId="0" applyNumberFormat="1" applyFont="1" applyBorder="1" applyAlignment="1">
      <alignment horizontal="center"/>
    </xf>
    <xf numFmtId="0" fontId="43" fillId="0" borderId="11" xfId="0" applyFont="1" applyBorder="1" applyAlignment="1">
      <alignment horizontal="center"/>
    </xf>
    <xf numFmtId="0" fontId="43" fillId="0" borderId="15" xfId="0" applyFont="1" applyBorder="1" applyAlignment="1">
      <alignment horizontal="center"/>
    </xf>
    <xf numFmtId="0" fontId="40" fillId="0" borderId="11" xfId="0" applyFont="1" applyBorder="1" applyAlignment="1">
      <alignment horizontal="center"/>
    </xf>
    <xf numFmtId="0" fontId="61" fillId="0" borderId="11" xfId="0" applyFont="1" applyBorder="1" applyAlignment="1">
      <alignment horizontal="center"/>
    </xf>
    <xf numFmtId="0" fontId="40" fillId="0" borderId="15" xfId="0" applyFont="1" applyBorder="1" applyAlignment="1">
      <alignment horizontal="center"/>
    </xf>
    <xf numFmtId="0" fontId="57" fillId="0" borderId="11" xfId="0" applyFont="1" applyBorder="1" applyAlignment="1">
      <alignment horizontal="center"/>
    </xf>
    <xf numFmtId="0" fontId="51" fillId="0" borderId="11" xfId="0" applyFont="1" applyBorder="1" applyAlignment="1">
      <alignment horizontal="center"/>
    </xf>
    <xf numFmtId="0" fontId="61" fillId="0" borderId="37" xfId="0" applyFont="1" applyBorder="1" applyAlignment="1">
      <alignment horizontal="center"/>
    </xf>
    <xf numFmtId="0" fontId="53" fillId="0" borderId="11" xfId="0" applyFont="1" applyBorder="1" applyAlignment="1">
      <alignment horizontal="center"/>
    </xf>
    <xf numFmtId="0" fontId="49" fillId="0" borderId="11" xfId="0" applyFont="1" applyBorder="1" applyAlignment="1">
      <alignment horizontal="center"/>
    </xf>
    <xf numFmtId="0" fontId="63" fillId="0" borderId="11" xfId="0" applyFont="1" applyBorder="1" applyAlignment="1">
      <alignment horizontal="center"/>
    </xf>
    <xf numFmtId="0" fontId="52" fillId="0" borderId="40" xfId="0" applyFont="1" applyBorder="1"/>
    <xf numFmtId="44" fontId="52" fillId="0" borderId="40" xfId="1" applyFont="1" applyFill="1" applyBorder="1"/>
    <xf numFmtId="44" fontId="52" fillId="0" borderId="40" xfId="0" applyNumberFormat="1" applyFont="1" applyBorder="1"/>
    <xf numFmtId="0" fontId="64" fillId="0" borderId="4" xfId="0" applyFont="1" applyBorder="1" applyAlignment="1">
      <alignment horizontal="center" vertical="center"/>
    </xf>
    <xf numFmtId="44" fontId="64" fillId="0" borderId="4" xfId="1" applyFont="1" applyFill="1" applyBorder="1" applyAlignment="1">
      <alignment horizontal="center" vertical="center"/>
    </xf>
    <xf numFmtId="44" fontId="64" fillId="0" borderId="5" xfId="1" applyFont="1" applyFill="1" applyBorder="1" applyAlignment="1">
      <alignment horizontal="center" vertical="center"/>
    </xf>
    <xf numFmtId="0" fontId="65" fillId="0" borderId="4" xfId="0" applyFont="1" applyBorder="1" applyAlignment="1">
      <alignment horizontal="center"/>
    </xf>
    <xf numFmtId="0" fontId="64" fillId="0" borderId="0" xfId="0" applyFont="1"/>
    <xf numFmtId="49" fontId="14" fillId="0" borderId="40" xfId="0" applyNumberFormat="1" applyFont="1" applyBorder="1" applyAlignment="1">
      <alignment horizontal="right"/>
    </xf>
    <xf numFmtId="165" fontId="33" fillId="0" borderId="41" xfId="0" applyNumberFormat="1" applyFont="1" applyBorder="1" applyAlignment="1">
      <alignment horizontal="center"/>
    </xf>
    <xf numFmtId="165" fontId="33" fillId="2" borderId="41" xfId="0" applyNumberFormat="1" applyFont="1" applyFill="1" applyBorder="1" applyAlignment="1">
      <alignment horizontal="center"/>
    </xf>
    <xf numFmtId="165" fontId="26" fillId="0" borderId="41" xfId="0" applyNumberFormat="1" applyFont="1" applyBorder="1" applyAlignment="1">
      <alignment horizontal="center" vertical="center"/>
    </xf>
    <xf numFmtId="0" fontId="66" fillId="0" borderId="4" xfId="0" applyFont="1" applyBorder="1" applyAlignment="1">
      <alignment horizontal="center" vertical="center"/>
    </xf>
    <xf numFmtId="44" fontId="66" fillId="0" borderId="4" xfId="1" applyFont="1" applyFill="1" applyBorder="1" applyAlignment="1">
      <alignment horizontal="center" vertical="center"/>
    </xf>
    <xf numFmtId="44" fontId="66" fillId="0" borderId="5" xfId="1" applyFont="1" applyFill="1" applyBorder="1" applyAlignment="1">
      <alignment horizontal="center" vertical="center"/>
    </xf>
    <xf numFmtId="0" fontId="67" fillId="0" borderId="4" xfId="0" applyFont="1" applyBorder="1" applyAlignment="1">
      <alignment horizontal="center"/>
    </xf>
    <xf numFmtId="0" fontId="66" fillId="0" borderId="0" xfId="0" applyFont="1"/>
    <xf numFmtId="0" fontId="68" fillId="0" borderId="37" xfId="0" applyFont="1" applyBorder="1" applyAlignment="1">
      <alignment horizontal="center" vertical="center"/>
    </xf>
    <xf numFmtId="44" fontId="68" fillId="0" borderId="37" xfId="1" applyFont="1" applyFill="1" applyBorder="1" applyAlignment="1">
      <alignment horizontal="center" vertical="center"/>
    </xf>
    <xf numFmtId="44" fontId="68" fillId="0" borderId="35" xfId="1" applyFont="1" applyFill="1" applyBorder="1" applyAlignment="1">
      <alignment horizontal="center" vertical="center"/>
    </xf>
    <xf numFmtId="0" fontId="69" fillId="0" borderId="37" xfId="0" applyFont="1" applyBorder="1" applyAlignment="1">
      <alignment horizontal="center"/>
    </xf>
    <xf numFmtId="0" fontId="68" fillId="0" borderId="0" xfId="0" applyFont="1"/>
    <xf numFmtId="0" fontId="68" fillId="0" borderId="4" xfId="0" applyFont="1" applyBorder="1" applyAlignment="1">
      <alignment horizontal="center" vertical="center"/>
    </xf>
    <xf numFmtId="44" fontId="68" fillId="0" borderId="4" xfId="1" applyFont="1" applyFill="1" applyBorder="1" applyAlignment="1">
      <alignment horizontal="center" vertical="center"/>
    </xf>
    <xf numFmtId="44" fontId="68" fillId="0" borderId="5" xfId="1" applyFont="1" applyFill="1" applyBorder="1" applyAlignment="1">
      <alignment horizontal="center" vertical="center"/>
    </xf>
    <xf numFmtId="0" fontId="69" fillId="0" borderId="4" xfId="0" applyFont="1" applyBorder="1" applyAlignment="1">
      <alignment horizontal="center"/>
    </xf>
    <xf numFmtId="0" fontId="70" fillId="0" borderId="4" xfId="0" applyFont="1" applyBorder="1" applyAlignment="1">
      <alignment horizontal="center" vertical="center"/>
    </xf>
    <xf numFmtId="44" fontId="70" fillId="0" borderId="4" xfId="1" applyFont="1" applyFill="1" applyBorder="1" applyAlignment="1">
      <alignment horizontal="center" vertical="center"/>
    </xf>
    <xf numFmtId="44" fontId="70" fillId="0" borderId="5" xfId="1" applyFont="1" applyFill="1" applyBorder="1" applyAlignment="1">
      <alignment horizontal="center" vertical="center"/>
    </xf>
    <xf numFmtId="0" fontId="71" fillId="0" borderId="4" xfId="0" applyFont="1" applyBorder="1" applyAlignment="1">
      <alignment horizontal="center"/>
    </xf>
    <xf numFmtId="0" fontId="70" fillId="0" borderId="0" xfId="0" applyFont="1"/>
    <xf numFmtId="0" fontId="72" fillId="0" borderId="4" xfId="0" applyFont="1" applyBorder="1" applyAlignment="1">
      <alignment horizontal="center" vertical="center"/>
    </xf>
    <xf numFmtId="44" fontId="72" fillId="0" borderId="4" xfId="1" applyFont="1" applyFill="1" applyBorder="1" applyAlignment="1">
      <alignment horizontal="center" vertical="center"/>
    </xf>
    <xf numFmtId="44" fontId="72" fillId="0" borderId="5" xfId="1" applyFont="1" applyFill="1" applyBorder="1" applyAlignment="1">
      <alignment horizontal="center" vertical="center"/>
    </xf>
    <xf numFmtId="0" fontId="73" fillId="0" borderId="4" xfId="0" applyFont="1" applyBorder="1" applyAlignment="1">
      <alignment horizontal="center"/>
    </xf>
    <xf numFmtId="0" fontId="72" fillId="0" borderId="0" xfId="0" applyFont="1"/>
    <xf numFmtId="0" fontId="74" fillId="0" borderId="4" xfId="0" applyFont="1" applyBorder="1" applyAlignment="1">
      <alignment horizontal="center" vertical="center"/>
    </xf>
    <xf numFmtId="44" fontId="74" fillId="0" borderId="4" xfId="1" applyFont="1" applyFill="1" applyBorder="1" applyAlignment="1">
      <alignment horizontal="center" vertical="center"/>
    </xf>
    <xf numFmtId="44" fontId="74" fillId="0" borderId="5" xfId="1" applyFont="1" applyFill="1" applyBorder="1" applyAlignment="1">
      <alignment horizontal="center" vertical="center"/>
    </xf>
    <xf numFmtId="0" fontId="75" fillId="0" borderId="4" xfId="0" applyFont="1" applyBorder="1" applyAlignment="1">
      <alignment horizontal="center"/>
    </xf>
    <xf numFmtId="0" fontId="74" fillId="0" borderId="0" xfId="0" applyFont="1"/>
    <xf numFmtId="0" fontId="74" fillId="0" borderId="37" xfId="0" applyFont="1" applyBorder="1" applyAlignment="1">
      <alignment horizontal="center" vertical="center"/>
    </xf>
    <xf numFmtId="44" fontId="74" fillId="0" borderId="37" xfId="1" applyFont="1" applyFill="1" applyBorder="1" applyAlignment="1">
      <alignment horizontal="center" vertical="center"/>
    </xf>
    <xf numFmtId="44" fontId="74" fillId="0" borderId="35" xfId="1" applyFont="1" applyFill="1" applyBorder="1" applyAlignment="1">
      <alignment horizontal="center" vertical="center"/>
    </xf>
    <xf numFmtId="0" fontId="75" fillId="0" borderId="37" xfId="0" applyFont="1" applyBorder="1" applyAlignment="1">
      <alignment horizontal="center"/>
    </xf>
    <xf numFmtId="0" fontId="9" fillId="0" borderId="36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11" fillId="0" borderId="36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76" fillId="0" borderId="0" xfId="0" applyFont="1" applyAlignment="1">
      <alignment horizontal="center" vertical="center"/>
    </xf>
    <xf numFmtId="0" fontId="77" fillId="0" borderId="0" xfId="0" applyFont="1" applyAlignment="1">
      <alignment horizontal="center"/>
    </xf>
    <xf numFmtId="0" fontId="77" fillId="0" borderId="36" xfId="0" applyFont="1" applyBorder="1" applyAlignment="1">
      <alignment horizontal="center"/>
    </xf>
  </cellXfs>
  <cellStyles count="11907">
    <cellStyle name="Currency" xfId="1" builtinId="4"/>
    <cellStyle name="Currency 2" xfId="2" xr:uid="{00000000-0005-0000-0000-000001000000}"/>
    <cellStyle name="Excel Built-in Normal" xfId="3" xr:uid="{00000000-0005-0000-0000-000002000000}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832" builtinId="9" hidden="1"/>
    <cellStyle name="Followed Hyperlink" xfId="1834" builtinId="9" hidden="1"/>
    <cellStyle name="Followed Hyperlink" xfId="1836" builtinId="9" hidden="1"/>
    <cellStyle name="Followed Hyperlink" xfId="1838" builtinId="9" hidden="1"/>
    <cellStyle name="Followed Hyperlink" xfId="1840" builtinId="9" hidden="1"/>
    <cellStyle name="Followed Hyperlink" xfId="1842" builtinId="9" hidden="1"/>
    <cellStyle name="Followed Hyperlink" xfId="1844" builtinId="9" hidden="1"/>
    <cellStyle name="Followed Hyperlink" xfId="1846" builtinId="9" hidden="1"/>
    <cellStyle name="Followed Hyperlink" xfId="1848" builtinId="9" hidden="1"/>
    <cellStyle name="Followed Hyperlink" xfId="1850" builtinId="9" hidden="1"/>
    <cellStyle name="Followed Hyperlink" xfId="1852" builtinId="9" hidden="1"/>
    <cellStyle name="Followed Hyperlink" xfId="1854" builtinId="9" hidden="1"/>
    <cellStyle name="Followed Hyperlink" xfId="1856" builtinId="9" hidden="1"/>
    <cellStyle name="Followed Hyperlink" xfId="1858" builtinId="9" hidden="1"/>
    <cellStyle name="Followed Hyperlink" xfId="1860" builtinId="9" hidden="1"/>
    <cellStyle name="Followed Hyperlink" xfId="1862" builtinId="9" hidden="1"/>
    <cellStyle name="Followed Hyperlink" xfId="1864" builtinId="9" hidden="1"/>
    <cellStyle name="Followed Hyperlink" xfId="1866" builtinId="9" hidden="1"/>
    <cellStyle name="Followed Hyperlink" xfId="1868" builtinId="9" hidden="1"/>
    <cellStyle name="Followed Hyperlink" xfId="1870" builtinId="9" hidden="1"/>
    <cellStyle name="Followed Hyperlink" xfId="1872" builtinId="9" hidden="1"/>
    <cellStyle name="Followed Hyperlink" xfId="1874" builtinId="9" hidden="1"/>
    <cellStyle name="Followed Hyperlink" xfId="1876" builtinId="9" hidden="1"/>
    <cellStyle name="Followed Hyperlink" xfId="1878" builtinId="9" hidden="1"/>
    <cellStyle name="Followed Hyperlink" xfId="1880" builtinId="9" hidden="1"/>
    <cellStyle name="Followed Hyperlink" xfId="1882" builtinId="9" hidden="1"/>
    <cellStyle name="Followed Hyperlink" xfId="1884" builtinId="9" hidden="1"/>
    <cellStyle name="Followed Hyperlink" xfId="1886" builtinId="9" hidden="1"/>
    <cellStyle name="Followed Hyperlink" xfId="1888" builtinId="9" hidden="1"/>
    <cellStyle name="Followed Hyperlink" xfId="1890" builtinId="9" hidden="1"/>
    <cellStyle name="Followed Hyperlink" xfId="1892" builtinId="9" hidden="1"/>
    <cellStyle name="Followed Hyperlink" xfId="1894" builtinId="9" hidden="1"/>
    <cellStyle name="Followed Hyperlink" xfId="1896" builtinId="9" hidden="1"/>
    <cellStyle name="Followed Hyperlink" xfId="1898" builtinId="9" hidden="1"/>
    <cellStyle name="Followed Hyperlink" xfId="1900" builtinId="9" hidden="1"/>
    <cellStyle name="Followed Hyperlink" xfId="1902" builtinId="9" hidden="1"/>
    <cellStyle name="Followed Hyperlink" xfId="1904" builtinId="9" hidden="1"/>
    <cellStyle name="Followed Hyperlink" xfId="1906" builtinId="9" hidden="1"/>
    <cellStyle name="Followed Hyperlink" xfId="1908" builtinId="9" hidden="1"/>
    <cellStyle name="Followed Hyperlink" xfId="1910" builtinId="9" hidden="1"/>
    <cellStyle name="Followed Hyperlink" xfId="1912" builtinId="9" hidden="1"/>
    <cellStyle name="Followed Hyperlink" xfId="1914" builtinId="9" hidden="1"/>
    <cellStyle name="Followed Hyperlink" xfId="1916" builtinId="9" hidden="1"/>
    <cellStyle name="Followed Hyperlink" xfId="1918" builtinId="9" hidden="1"/>
    <cellStyle name="Followed Hyperlink" xfId="1920" builtinId="9" hidden="1"/>
    <cellStyle name="Followed Hyperlink" xfId="1922" builtinId="9" hidden="1"/>
    <cellStyle name="Followed Hyperlink" xfId="1924" builtinId="9" hidden="1"/>
    <cellStyle name="Followed Hyperlink" xfId="1926" builtinId="9" hidden="1"/>
    <cellStyle name="Followed Hyperlink" xfId="1928" builtinId="9" hidden="1"/>
    <cellStyle name="Followed Hyperlink" xfId="1930" builtinId="9" hidden="1"/>
    <cellStyle name="Followed Hyperlink" xfId="1932" builtinId="9" hidden="1"/>
    <cellStyle name="Followed Hyperlink" xfId="1934" builtinId="9" hidden="1"/>
    <cellStyle name="Followed Hyperlink" xfId="1936" builtinId="9" hidden="1"/>
    <cellStyle name="Followed Hyperlink" xfId="1938" builtinId="9" hidden="1"/>
    <cellStyle name="Followed Hyperlink" xfId="1940" builtinId="9" hidden="1"/>
    <cellStyle name="Followed Hyperlink" xfId="1942" builtinId="9" hidden="1"/>
    <cellStyle name="Followed Hyperlink" xfId="1944" builtinId="9" hidden="1"/>
    <cellStyle name="Followed Hyperlink" xfId="1946" builtinId="9" hidden="1"/>
    <cellStyle name="Followed Hyperlink" xfId="1948" builtinId="9" hidden="1"/>
    <cellStyle name="Followed Hyperlink" xfId="1950" builtinId="9" hidden="1"/>
    <cellStyle name="Followed Hyperlink" xfId="1952" builtinId="9" hidden="1"/>
    <cellStyle name="Followed Hyperlink" xfId="1954" builtinId="9" hidden="1"/>
    <cellStyle name="Followed Hyperlink" xfId="1956" builtinId="9" hidden="1"/>
    <cellStyle name="Followed Hyperlink" xfId="1958" builtinId="9" hidden="1"/>
    <cellStyle name="Followed Hyperlink" xfId="1960" builtinId="9" hidden="1"/>
    <cellStyle name="Followed Hyperlink" xfId="1962" builtinId="9" hidden="1"/>
    <cellStyle name="Followed Hyperlink" xfId="1964" builtinId="9" hidden="1"/>
    <cellStyle name="Followed Hyperlink" xfId="1966" builtinId="9" hidden="1"/>
    <cellStyle name="Followed Hyperlink" xfId="1968" builtinId="9" hidden="1"/>
    <cellStyle name="Followed Hyperlink" xfId="1970" builtinId="9" hidden="1"/>
    <cellStyle name="Followed Hyperlink" xfId="1972" builtinId="9" hidden="1"/>
    <cellStyle name="Followed Hyperlink" xfId="1974" builtinId="9" hidden="1"/>
    <cellStyle name="Followed Hyperlink" xfId="1976" builtinId="9" hidden="1"/>
    <cellStyle name="Followed Hyperlink" xfId="1978" builtinId="9" hidden="1"/>
    <cellStyle name="Followed Hyperlink" xfId="1980" builtinId="9" hidden="1"/>
    <cellStyle name="Followed Hyperlink" xfId="1982" builtinId="9" hidden="1"/>
    <cellStyle name="Followed Hyperlink" xfId="1984" builtinId="9" hidden="1"/>
    <cellStyle name="Followed Hyperlink" xfId="1986" builtinId="9" hidden="1"/>
    <cellStyle name="Followed Hyperlink" xfId="1988" builtinId="9" hidden="1"/>
    <cellStyle name="Followed Hyperlink" xfId="1990" builtinId="9" hidden="1"/>
    <cellStyle name="Followed Hyperlink" xfId="1992" builtinId="9" hidden="1"/>
    <cellStyle name="Followed Hyperlink" xfId="1994" builtinId="9" hidden="1"/>
    <cellStyle name="Followed Hyperlink" xfId="1996" builtinId="9" hidden="1"/>
    <cellStyle name="Followed Hyperlink" xfId="1998" builtinId="9" hidden="1"/>
    <cellStyle name="Followed Hyperlink" xfId="2000" builtinId="9" hidden="1"/>
    <cellStyle name="Followed Hyperlink" xfId="2002" builtinId="9" hidden="1"/>
    <cellStyle name="Followed Hyperlink" xfId="2004" builtinId="9" hidden="1"/>
    <cellStyle name="Followed Hyperlink" xfId="2006" builtinId="9" hidden="1"/>
    <cellStyle name="Followed Hyperlink" xfId="2008" builtinId="9" hidden="1"/>
    <cellStyle name="Followed Hyperlink" xfId="2010" builtinId="9" hidden="1"/>
    <cellStyle name="Followed Hyperlink" xfId="2012" builtinId="9" hidden="1"/>
    <cellStyle name="Followed Hyperlink" xfId="2014" builtinId="9" hidden="1"/>
    <cellStyle name="Followed Hyperlink" xfId="2016" builtinId="9" hidden="1"/>
    <cellStyle name="Followed Hyperlink" xfId="2018" builtinId="9" hidden="1"/>
    <cellStyle name="Followed Hyperlink" xfId="2020" builtinId="9" hidden="1"/>
    <cellStyle name="Followed Hyperlink" xfId="2022" builtinId="9" hidden="1"/>
    <cellStyle name="Followed Hyperlink" xfId="2024" builtinId="9" hidden="1"/>
    <cellStyle name="Followed Hyperlink" xfId="2026" builtinId="9" hidden="1"/>
    <cellStyle name="Followed Hyperlink" xfId="2028" builtinId="9" hidden="1"/>
    <cellStyle name="Followed Hyperlink" xfId="2030" builtinId="9" hidden="1"/>
    <cellStyle name="Followed Hyperlink" xfId="2032" builtinId="9" hidden="1"/>
    <cellStyle name="Followed Hyperlink" xfId="2034" builtinId="9" hidden="1"/>
    <cellStyle name="Followed Hyperlink" xfId="2036" builtinId="9" hidden="1"/>
    <cellStyle name="Followed Hyperlink" xfId="2038" builtinId="9" hidden="1"/>
    <cellStyle name="Followed Hyperlink" xfId="2040" builtinId="9" hidden="1"/>
    <cellStyle name="Followed Hyperlink" xfId="2042" builtinId="9" hidden="1"/>
    <cellStyle name="Followed Hyperlink" xfId="2044" builtinId="9" hidden="1"/>
    <cellStyle name="Followed Hyperlink" xfId="2046" builtinId="9" hidden="1"/>
    <cellStyle name="Followed Hyperlink" xfId="2048" builtinId="9" hidden="1"/>
    <cellStyle name="Followed Hyperlink" xfId="2050" builtinId="9" hidden="1"/>
    <cellStyle name="Followed Hyperlink" xfId="2052" builtinId="9" hidden="1"/>
    <cellStyle name="Followed Hyperlink" xfId="2054" builtinId="9" hidden="1"/>
    <cellStyle name="Followed Hyperlink" xfId="2056" builtinId="9" hidden="1"/>
    <cellStyle name="Followed Hyperlink" xfId="2058" builtinId="9" hidden="1"/>
    <cellStyle name="Followed Hyperlink" xfId="2060" builtinId="9" hidden="1"/>
    <cellStyle name="Followed Hyperlink" xfId="2062" builtinId="9" hidden="1"/>
    <cellStyle name="Followed Hyperlink" xfId="2064" builtinId="9" hidden="1"/>
    <cellStyle name="Followed Hyperlink" xfId="2066" builtinId="9" hidden="1"/>
    <cellStyle name="Followed Hyperlink" xfId="2068" builtinId="9" hidden="1"/>
    <cellStyle name="Followed Hyperlink" xfId="2070" builtinId="9" hidden="1"/>
    <cellStyle name="Followed Hyperlink" xfId="2072" builtinId="9" hidden="1"/>
    <cellStyle name="Followed Hyperlink" xfId="2074" builtinId="9" hidden="1"/>
    <cellStyle name="Followed Hyperlink" xfId="2076" builtinId="9" hidden="1"/>
    <cellStyle name="Followed Hyperlink" xfId="2078" builtinId="9" hidden="1"/>
    <cellStyle name="Followed Hyperlink" xfId="2080" builtinId="9" hidden="1"/>
    <cellStyle name="Followed Hyperlink" xfId="2082" builtinId="9" hidden="1"/>
    <cellStyle name="Followed Hyperlink" xfId="2084" builtinId="9" hidden="1"/>
    <cellStyle name="Followed Hyperlink" xfId="2086" builtinId="9" hidden="1"/>
    <cellStyle name="Followed Hyperlink" xfId="2088" builtinId="9" hidden="1"/>
    <cellStyle name="Followed Hyperlink" xfId="2090" builtinId="9" hidden="1"/>
    <cellStyle name="Followed Hyperlink" xfId="2092" builtinId="9" hidden="1"/>
    <cellStyle name="Followed Hyperlink" xfId="2094" builtinId="9" hidden="1"/>
    <cellStyle name="Followed Hyperlink" xfId="2096" builtinId="9" hidden="1"/>
    <cellStyle name="Followed Hyperlink" xfId="2098" builtinId="9" hidden="1"/>
    <cellStyle name="Followed Hyperlink" xfId="2100" builtinId="9" hidden="1"/>
    <cellStyle name="Followed Hyperlink" xfId="2102" builtinId="9" hidden="1"/>
    <cellStyle name="Followed Hyperlink" xfId="2104" builtinId="9" hidden="1"/>
    <cellStyle name="Followed Hyperlink" xfId="2106" builtinId="9" hidden="1"/>
    <cellStyle name="Followed Hyperlink" xfId="2108" builtinId="9" hidden="1"/>
    <cellStyle name="Followed Hyperlink" xfId="2110" builtinId="9" hidden="1"/>
    <cellStyle name="Followed Hyperlink" xfId="2112" builtinId="9" hidden="1"/>
    <cellStyle name="Followed Hyperlink" xfId="2114" builtinId="9" hidden="1"/>
    <cellStyle name="Followed Hyperlink" xfId="2116" builtinId="9" hidden="1"/>
    <cellStyle name="Followed Hyperlink" xfId="2118" builtinId="9" hidden="1"/>
    <cellStyle name="Followed Hyperlink" xfId="2120" builtinId="9" hidden="1"/>
    <cellStyle name="Followed Hyperlink" xfId="2122" builtinId="9" hidden="1"/>
    <cellStyle name="Followed Hyperlink" xfId="2124" builtinId="9" hidden="1"/>
    <cellStyle name="Followed Hyperlink" xfId="2126" builtinId="9" hidden="1"/>
    <cellStyle name="Followed Hyperlink" xfId="2128" builtinId="9" hidden="1"/>
    <cellStyle name="Followed Hyperlink" xfId="2130" builtinId="9" hidden="1"/>
    <cellStyle name="Followed Hyperlink" xfId="2132" builtinId="9" hidden="1"/>
    <cellStyle name="Followed Hyperlink" xfId="2134" builtinId="9" hidden="1"/>
    <cellStyle name="Followed Hyperlink" xfId="2136" builtinId="9" hidden="1"/>
    <cellStyle name="Followed Hyperlink" xfId="2138" builtinId="9" hidden="1"/>
    <cellStyle name="Followed Hyperlink" xfId="2140" builtinId="9" hidden="1"/>
    <cellStyle name="Followed Hyperlink" xfId="2142" builtinId="9" hidden="1"/>
    <cellStyle name="Followed Hyperlink" xfId="2144" builtinId="9" hidden="1"/>
    <cellStyle name="Followed Hyperlink" xfId="2146" builtinId="9" hidden="1"/>
    <cellStyle name="Followed Hyperlink" xfId="2148" builtinId="9" hidden="1"/>
    <cellStyle name="Followed Hyperlink" xfId="2150" builtinId="9" hidden="1"/>
    <cellStyle name="Followed Hyperlink" xfId="2152" builtinId="9" hidden="1"/>
    <cellStyle name="Followed Hyperlink" xfId="2154" builtinId="9" hidden="1"/>
    <cellStyle name="Followed Hyperlink" xfId="2156" builtinId="9" hidden="1"/>
    <cellStyle name="Followed Hyperlink" xfId="2158" builtinId="9" hidden="1"/>
    <cellStyle name="Followed Hyperlink" xfId="2160" builtinId="9" hidden="1"/>
    <cellStyle name="Followed Hyperlink" xfId="2162" builtinId="9" hidden="1"/>
    <cellStyle name="Followed Hyperlink" xfId="2164" builtinId="9" hidden="1"/>
    <cellStyle name="Followed Hyperlink" xfId="2166" builtinId="9" hidden="1"/>
    <cellStyle name="Followed Hyperlink" xfId="2168" builtinId="9" hidden="1"/>
    <cellStyle name="Followed Hyperlink" xfId="2170" builtinId="9" hidden="1"/>
    <cellStyle name="Followed Hyperlink" xfId="2172" builtinId="9" hidden="1"/>
    <cellStyle name="Followed Hyperlink" xfId="2174" builtinId="9" hidden="1"/>
    <cellStyle name="Followed Hyperlink" xfId="2176" builtinId="9" hidden="1"/>
    <cellStyle name="Followed Hyperlink" xfId="2178" builtinId="9" hidden="1"/>
    <cellStyle name="Followed Hyperlink" xfId="2180" builtinId="9" hidden="1"/>
    <cellStyle name="Followed Hyperlink" xfId="2182" builtinId="9" hidden="1"/>
    <cellStyle name="Followed Hyperlink" xfId="2184" builtinId="9" hidden="1"/>
    <cellStyle name="Followed Hyperlink" xfId="2186" builtinId="9" hidden="1"/>
    <cellStyle name="Followed Hyperlink" xfId="2188" builtinId="9" hidden="1"/>
    <cellStyle name="Followed Hyperlink" xfId="2190" builtinId="9" hidden="1"/>
    <cellStyle name="Followed Hyperlink" xfId="2192" builtinId="9" hidden="1"/>
    <cellStyle name="Followed Hyperlink" xfId="2194" builtinId="9" hidden="1"/>
    <cellStyle name="Followed Hyperlink" xfId="2196" builtinId="9" hidden="1"/>
    <cellStyle name="Followed Hyperlink" xfId="2198" builtinId="9" hidden="1"/>
    <cellStyle name="Followed Hyperlink" xfId="2200" builtinId="9" hidden="1"/>
    <cellStyle name="Followed Hyperlink" xfId="2202" builtinId="9" hidden="1"/>
    <cellStyle name="Followed Hyperlink" xfId="2204" builtinId="9" hidden="1"/>
    <cellStyle name="Followed Hyperlink" xfId="2206" builtinId="9" hidden="1"/>
    <cellStyle name="Followed Hyperlink" xfId="2208" builtinId="9" hidden="1"/>
    <cellStyle name="Followed Hyperlink" xfId="2210" builtinId="9" hidden="1"/>
    <cellStyle name="Followed Hyperlink" xfId="2212" builtinId="9" hidden="1"/>
    <cellStyle name="Followed Hyperlink" xfId="2214" builtinId="9" hidden="1"/>
    <cellStyle name="Followed Hyperlink" xfId="2216" builtinId="9" hidden="1"/>
    <cellStyle name="Followed Hyperlink" xfId="2218" builtinId="9" hidden="1"/>
    <cellStyle name="Followed Hyperlink" xfId="2220" builtinId="9" hidden="1"/>
    <cellStyle name="Followed Hyperlink" xfId="2222" builtinId="9" hidden="1"/>
    <cellStyle name="Followed Hyperlink" xfId="2224" builtinId="9" hidden="1"/>
    <cellStyle name="Followed Hyperlink" xfId="2226" builtinId="9" hidden="1"/>
    <cellStyle name="Followed Hyperlink" xfId="2228" builtinId="9" hidden="1"/>
    <cellStyle name="Followed Hyperlink" xfId="2230" builtinId="9" hidden="1"/>
    <cellStyle name="Followed Hyperlink" xfId="2232" builtinId="9" hidden="1"/>
    <cellStyle name="Followed Hyperlink" xfId="2234" builtinId="9" hidden="1"/>
    <cellStyle name="Followed Hyperlink" xfId="2236" builtinId="9" hidden="1"/>
    <cellStyle name="Followed Hyperlink" xfId="2238" builtinId="9" hidden="1"/>
    <cellStyle name="Followed Hyperlink" xfId="2240" builtinId="9" hidden="1"/>
    <cellStyle name="Followed Hyperlink" xfId="2242" builtinId="9" hidden="1"/>
    <cellStyle name="Followed Hyperlink" xfId="2244" builtinId="9" hidden="1"/>
    <cellStyle name="Followed Hyperlink" xfId="2246" builtinId="9" hidden="1"/>
    <cellStyle name="Followed Hyperlink" xfId="2248" builtinId="9" hidden="1"/>
    <cellStyle name="Followed Hyperlink" xfId="2250" builtinId="9" hidden="1"/>
    <cellStyle name="Followed Hyperlink" xfId="2252" builtinId="9" hidden="1"/>
    <cellStyle name="Followed Hyperlink" xfId="2254" builtinId="9" hidden="1"/>
    <cellStyle name="Followed Hyperlink" xfId="2256" builtinId="9" hidden="1"/>
    <cellStyle name="Followed Hyperlink" xfId="2258" builtinId="9" hidden="1"/>
    <cellStyle name="Followed Hyperlink" xfId="2260" builtinId="9" hidden="1"/>
    <cellStyle name="Followed Hyperlink" xfId="2262" builtinId="9" hidden="1"/>
    <cellStyle name="Followed Hyperlink" xfId="2264" builtinId="9" hidden="1"/>
    <cellStyle name="Followed Hyperlink" xfId="2266" builtinId="9" hidden="1"/>
    <cellStyle name="Followed Hyperlink" xfId="2268" builtinId="9" hidden="1"/>
    <cellStyle name="Followed Hyperlink" xfId="2270" builtinId="9" hidden="1"/>
    <cellStyle name="Followed Hyperlink" xfId="2272" builtinId="9" hidden="1"/>
    <cellStyle name="Followed Hyperlink" xfId="2274" builtinId="9" hidden="1"/>
    <cellStyle name="Followed Hyperlink" xfId="2276" builtinId="9" hidden="1"/>
    <cellStyle name="Followed Hyperlink" xfId="2278" builtinId="9" hidden="1"/>
    <cellStyle name="Followed Hyperlink" xfId="2280" builtinId="9" hidden="1"/>
    <cellStyle name="Followed Hyperlink" xfId="2282" builtinId="9" hidden="1"/>
    <cellStyle name="Followed Hyperlink" xfId="2284" builtinId="9" hidden="1"/>
    <cellStyle name="Followed Hyperlink" xfId="2286" builtinId="9" hidden="1"/>
    <cellStyle name="Followed Hyperlink" xfId="2288" builtinId="9" hidden="1"/>
    <cellStyle name="Followed Hyperlink" xfId="2290" builtinId="9" hidden="1"/>
    <cellStyle name="Followed Hyperlink" xfId="2292" builtinId="9" hidden="1"/>
    <cellStyle name="Followed Hyperlink" xfId="2294" builtinId="9" hidden="1"/>
    <cellStyle name="Followed Hyperlink" xfId="2296" builtinId="9" hidden="1"/>
    <cellStyle name="Followed Hyperlink" xfId="2298" builtinId="9" hidden="1"/>
    <cellStyle name="Followed Hyperlink" xfId="2300" builtinId="9" hidden="1"/>
    <cellStyle name="Followed Hyperlink" xfId="2302" builtinId="9" hidden="1"/>
    <cellStyle name="Followed Hyperlink" xfId="2304" builtinId="9" hidden="1"/>
    <cellStyle name="Followed Hyperlink" xfId="2306" builtinId="9" hidden="1"/>
    <cellStyle name="Followed Hyperlink" xfId="2308" builtinId="9" hidden="1"/>
    <cellStyle name="Followed Hyperlink" xfId="2310" builtinId="9" hidden="1"/>
    <cellStyle name="Followed Hyperlink" xfId="2312" builtinId="9" hidden="1"/>
    <cellStyle name="Followed Hyperlink" xfId="2314" builtinId="9" hidden="1"/>
    <cellStyle name="Followed Hyperlink" xfId="2316" builtinId="9" hidden="1"/>
    <cellStyle name="Followed Hyperlink" xfId="2318" builtinId="9" hidden="1"/>
    <cellStyle name="Followed Hyperlink" xfId="2320" builtinId="9" hidden="1"/>
    <cellStyle name="Followed Hyperlink" xfId="2322" builtinId="9" hidden="1"/>
    <cellStyle name="Followed Hyperlink" xfId="2324" builtinId="9" hidden="1"/>
    <cellStyle name="Followed Hyperlink" xfId="2326" builtinId="9" hidden="1"/>
    <cellStyle name="Followed Hyperlink" xfId="2328" builtinId="9" hidden="1"/>
    <cellStyle name="Followed Hyperlink" xfId="2330" builtinId="9" hidden="1"/>
    <cellStyle name="Followed Hyperlink" xfId="2332" builtinId="9" hidden="1"/>
    <cellStyle name="Followed Hyperlink" xfId="2334" builtinId="9" hidden="1"/>
    <cellStyle name="Followed Hyperlink" xfId="2336" builtinId="9" hidden="1"/>
    <cellStyle name="Followed Hyperlink" xfId="2338" builtinId="9" hidden="1"/>
    <cellStyle name="Followed Hyperlink" xfId="2340" builtinId="9" hidden="1"/>
    <cellStyle name="Followed Hyperlink" xfId="2342" builtinId="9" hidden="1"/>
    <cellStyle name="Followed Hyperlink" xfId="2344" builtinId="9" hidden="1"/>
    <cellStyle name="Followed Hyperlink" xfId="2346" builtinId="9" hidden="1"/>
    <cellStyle name="Followed Hyperlink" xfId="2348" builtinId="9" hidden="1"/>
    <cellStyle name="Followed Hyperlink" xfId="2350" builtinId="9" hidden="1"/>
    <cellStyle name="Followed Hyperlink" xfId="2352" builtinId="9" hidden="1"/>
    <cellStyle name="Followed Hyperlink" xfId="2354" builtinId="9" hidden="1"/>
    <cellStyle name="Followed Hyperlink" xfId="2356" builtinId="9" hidden="1"/>
    <cellStyle name="Followed Hyperlink" xfId="2358" builtinId="9" hidden="1"/>
    <cellStyle name="Followed Hyperlink" xfId="2360" builtinId="9" hidden="1"/>
    <cellStyle name="Followed Hyperlink" xfId="2362" builtinId="9" hidden="1"/>
    <cellStyle name="Followed Hyperlink" xfId="2364" builtinId="9" hidden="1"/>
    <cellStyle name="Followed Hyperlink" xfId="2366" builtinId="9" hidden="1"/>
    <cellStyle name="Followed Hyperlink" xfId="2368" builtinId="9" hidden="1"/>
    <cellStyle name="Followed Hyperlink" xfId="2370" builtinId="9" hidden="1"/>
    <cellStyle name="Followed Hyperlink" xfId="2372" builtinId="9" hidden="1"/>
    <cellStyle name="Followed Hyperlink" xfId="2374" builtinId="9" hidden="1"/>
    <cellStyle name="Followed Hyperlink" xfId="2376" builtinId="9" hidden="1"/>
    <cellStyle name="Followed Hyperlink" xfId="2378" builtinId="9" hidden="1"/>
    <cellStyle name="Followed Hyperlink" xfId="2380" builtinId="9" hidden="1"/>
    <cellStyle name="Followed Hyperlink" xfId="2382" builtinId="9" hidden="1"/>
    <cellStyle name="Followed Hyperlink" xfId="2384" builtinId="9" hidden="1"/>
    <cellStyle name="Followed Hyperlink" xfId="2386" builtinId="9" hidden="1"/>
    <cellStyle name="Followed Hyperlink" xfId="2388" builtinId="9" hidden="1"/>
    <cellStyle name="Followed Hyperlink" xfId="2390" builtinId="9" hidden="1"/>
    <cellStyle name="Followed Hyperlink" xfId="2392" builtinId="9" hidden="1"/>
    <cellStyle name="Followed Hyperlink" xfId="2394" builtinId="9" hidden="1"/>
    <cellStyle name="Followed Hyperlink" xfId="2396" builtinId="9" hidden="1"/>
    <cellStyle name="Followed Hyperlink" xfId="2398" builtinId="9" hidden="1"/>
    <cellStyle name="Followed Hyperlink" xfId="2400" builtinId="9" hidden="1"/>
    <cellStyle name="Followed Hyperlink" xfId="2402" builtinId="9" hidden="1"/>
    <cellStyle name="Followed Hyperlink" xfId="2404" builtinId="9" hidden="1"/>
    <cellStyle name="Followed Hyperlink" xfId="2406" builtinId="9" hidden="1"/>
    <cellStyle name="Followed Hyperlink" xfId="2408" builtinId="9" hidden="1"/>
    <cellStyle name="Followed Hyperlink" xfId="2410" builtinId="9" hidden="1"/>
    <cellStyle name="Followed Hyperlink" xfId="2412" builtinId="9" hidden="1"/>
    <cellStyle name="Followed Hyperlink" xfId="2414" builtinId="9" hidden="1"/>
    <cellStyle name="Followed Hyperlink" xfId="2416" builtinId="9" hidden="1"/>
    <cellStyle name="Followed Hyperlink" xfId="2418" builtinId="9" hidden="1"/>
    <cellStyle name="Followed Hyperlink" xfId="2420" builtinId="9" hidden="1"/>
    <cellStyle name="Followed Hyperlink" xfId="2422" builtinId="9" hidden="1"/>
    <cellStyle name="Followed Hyperlink" xfId="2424" builtinId="9" hidden="1"/>
    <cellStyle name="Followed Hyperlink" xfId="2426" builtinId="9" hidden="1"/>
    <cellStyle name="Followed Hyperlink" xfId="2428" builtinId="9" hidden="1"/>
    <cellStyle name="Followed Hyperlink" xfId="2430" builtinId="9" hidden="1"/>
    <cellStyle name="Followed Hyperlink" xfId="2432" builtinId="9" hidden="1"/>
    <cellStyle name="Followed Hyperlink" xfId="2434" builtinId="9" hidden="1"/>
    <cellStyle name="Followed Hyperlink" xfId="2436" builtinId="9" hidden="1"/>
    <cellStyle name="Followed Hyperlink" xfId="2438" builtinId="9" hidden="1"/>
    <cellStyle name="Followed Hyperlink" xfId="2440" builtinId="9" hidden="1"/>
    <cellStyle name="Followed Hyperlink" xfId="2442" builtinId="9" hidden="1"/>
    <cellStyle name="Followed Hyperlink" xfId="2444" builtinId="9" hidden="1"/>
    <cellStyle name="Followed Hyperlink" xfId="2446" builtinId="9" hidden="1"/>
    <cellStyle name="Followed Hyperlink" xfId="2448" builtinId="9" hidden="1"/>
    <cellStyle name="Followed Hyperlink" xfId="2450" builtinId="9" hidden="1"/>
    <cellStyle name="Followed Hyperlink" xfId="2452" builtinId="9" hidden="1"/>
    <cellStyle name="Followed Hyperlink" xfId="2454" builtinId="9" hidden="1"/>
    <cellStyle name="Followed Hyperlink" xfId="2456" builtinId="9" hidden="1"/>
    <cellStyle name="Followed Hyperlink" xfId="2458" builtinId="9" hidden="1"/>
    <cellStyle name="Followed Hyperlink" xfId="2460" builtinId="9" hidden="1"/>
    <cellStyle name="Followed Hyperlink" xfId="2462" builtinId="9" hidden="1"/>
    <cellStyle name="Followed Hyperlink" xfId="2464" builtinId="9" hidden="1"/>
    <cellStyle name="Followed Hyperlink" xfId="2466" builtinId="9" hidden="1"/>
    <cellStyle name="Followed Hyperlink" xfId="2468" builtinId="9" hidden="1"/>
    <cellStyle name="Followed Hyperlink" xfId="2470" builtinId="9" hidden="1"/>
    <cellStyle name="Followed Hyperlink" xfId="2472" builtinId="9" hidden="1"/>
    <cellStyle name="Followed Hyperlink" xfId="2474" builtinId="9" hidden="1"/>
    <cellStyle name="Followed Hyperlink" xfId="2476" builtinId="9" hidden="1"/>
    <cellStyle name="Followed Hyperlink" xfId="2478" builtinId="9" hidden="1"/>
    <cellStyle name="Followed Hyperlink" xfId="2480" builtinId="9" hidden="1"/>
    <cellStyle name="Followed Hyperlink" xfId="2482" builtinId="9" hidden="1"/>
    <cellStyle name="Followed Hyperlink" xfId="2484" builtinId="9" hidden="1"/>
    <cellStyle name="Followed Hyperlink" xfId="2486" builtinId="9" hidden="1"/>
    <cellStyle name="Followed Hyperlink" xfId="2488" builtinId="9" hidden="1"/>
    <cellStyle name="Followed Hyperlink" xfId="2490" builtinId="9" hidden="1"/>
    <cellStyle name="Followed Hyperlink" xfId="2492" builtinId="9" hidden="1"/>
    <cellStyle name="Followed Hyperlink" xfId="2494" builtinId="9" hidden="1"/>
    <cellStyle name="Followed Hyperlink" xfId="2496" builtinId="9" hidden="1"/>
    <cellStyle name="Followed Hyperlink" xfId="2498" builtinId="9" hidden="1"/>
    <cellStyle name="Followed Hyperlink" xfId="2500" builtinId="9" hidden="1"/>
    <cellStyle name="Followed Hyperlink" xfId="2502" builtinId="9" hidden="1"/>
    <cellStyle name="Followed Hyperlink" xfId="2504" builtinId="9" hidden="1"/>
    <cellStyle name="Followed Hyperlink" xfId="2506" builtinId="9" hidden="1"/>
    <cellStyle name="Followed Hyperlink" xfId="2508" builtinId="9" hidden="1"/>
    <cellStyle name="Followed Hyperlink" xfId="2510" builtinId="9" hidden="1"/>
    <cellStyle name="Followed Hyperlink" xfId="2512" builtinId="9" hidden="1"/>
    <cellStyle name="Followed Hyperlink" xfId="2514" builtinId="9" hidden="1"/>
    <cellStyle name="Followed Hyperlink" xfId="2516" builtinId="9" hidden="1"/>
    <cellStyle name="Followed Hyperlink" xfId="2518" builtinId="9" hidden="1"/>
    <cellStyle name="Followed Hyperlink" xfId="2520" builtinId="9" hidden="1"/>
    <cellStyle name="Followed Hyperlink" xfId="2522" builtinId="9" hidden="1"/>
    <cellStyle name="Followed Hyperlink" xfId="2524" builtinId="9" hidden="1"/>
    <cellStyle name="Followed Hyperlink" xfId="2526" builtinId="9" hidden="1"/>
    <cellStyle name="Followed Hyperlink" xfId="2528" builtinId="9" hidden="1"/>
    <cellStyle name="Followed Hyperlink" xfId="2530" builtinId="9" hidden="1"/>
    <cellStyle name="Followed Hyperlink" xfId="2532" builtinId="9" hidden="1"/>
    <cellStyle name="Followed Hyperlink" xfId="2534" builtinId="9" hidden="1"/>
    <cellStyle name="Followed Hyperlink" xfId="2536" builtinId="9" hidden="1"/>
    <cellStyle name="Followed Hyperlink" xfId="2538" builtinId="9" hidden="1"/>
    <cellStyle name="Followed Hyperlink" xfId="2540" builtinId="9" hidden="1"/>
    <cellStyle name="Followed Hyperlink" xfId="2542" builtinId="9" hidden="1"/>
    <cellStyle name="Followed Hyperlink" xfId="2544" builtinId="9" hidden="1"/>
    <cellStyle name="Followed Hyperlink" xfId="2546" builtinId="9" hidden="1"/>
    <cellStyle name="Followed Hyperlink" xfId="2548" builtinId="9" hidden="1"/>
    <cellStyle name="Followed Hyperlink" xfId="2550" builtinId="9" hidden="1"/>
    <cellStyle name="Followed Hyperlink" xfId="2552" builtinId="9" hidden="1"/>
    <cellStyle name="Followed Hyperlink" xfId="2554" builtinId="9" hidden="1"/>
    <cellStyle name="Followed Hyperlink" xfId="2556" builtinId="9" hidden="1"/>
    <cellStyle name="Followed Hyperlink" xfId="2558" builtinId="9" hidden="1"/>
    <cellStyle name="Followed Hyperlink" xfId="2560" builtinId="9" hidden="1"/>
    <cellStyle name="Followed Hyperlink" xfId="2562" builtinId="9" hidden="1"/>
    <cellStyle name="Followed Hyperlink" xfId="2564" builtinId="9" hidden="1"/>
    <cellStyle name="Followed Hyperlink" xfId="2566" builtinId="9" hidden="1"/>
    <cellStyle name="Followed Hyperlink" xfId="2568" builtinId="9" hidden="1"/>
    <cellStyle name="Followed Hyperlink" xfId="2570" builtinId="9" hidden="1"/>
    <cellStyle name="Followed Hyperlink" xfId="2572" builtinId="9" hidden="1"/>
    <cellStyle name="Followed Hyperlink" xfId="2574" builtinId="9" hidden="1"/>
    <cellStyle name="Followed Hyperlink" xfId="2576" builtinId="9" hidden="1"/>
    <cellStyle name="Followed Hyperlink" xfId="2578" builtinId="9" hidden="1"/>
    <cellStyle name="Followed Hyperlink" xfId="2580" builtinId="9" hidden="1"/>
    <cellStyle name="Followed Hyperlink" xfId="2582" builtinId="9" hidden="1"/>
    <cellStyle name="Followed Hyperlink" xfId="2584" builtinId="9" hidden="1"/>
    <cellStyle name="Followed Hyperlink" xfId="2586" builtinId="9" hidden="1"/>
    <cellStyle name="Followed Hyperlink" xfId="2588" builtinId="9" hidden="1"/>
    <cellStyle name="Followed Hyperlink" xfId="2590" builtinId="9" hidden="1"/>
    <cellStyle name="Followed Hyperlink" xfId="2592" builtinId="9" hidden="1"/>
    <cellStyle name="Followed Hyperlink" xfId="2594" builtinId="9" hidden="1"/>
    <cellStyle name="Followed Hyperlink" xfId="2596" builtinId="9" hidden="1"/>
    <cellStyle name="Followed Hyperlink" xfId="2598" builtinId="9" hidden="1"/>
    <cellStyle name="Followed Hyperlink" xfId="2600" builtinId="9" hidden="1"/>
    <cellStyle name="Followed Hyperlink" xfId="2602" builtinId="9" hidden="1"/>
    <cellStyle name="Followed Hyperlink" xfId="2604" builtinId="9" hidden="1"/>
    <cellStyle name="Followed Hyperlink" xfId="2606" builtinId="9" hidden="1"/>
    <cellStyle name="Followed Hyperlink" xfId="2608" builtinId="9" hidden="1"/>
    <cellStyle name="Followed Hyperlink" xfId="2610" builtinId="9" hidden="1"/>
    <cellStyle name="Followed Hyperlink" xfId="2612" builtinId="9" hidden="1"/>
    <cellStyle name="Followed Hyperlink" xfId="2614" builtinId="9" hidden="1"/>
    <cellStyle name="Followed Hyperlink" xfId="2616" builtinId="9" hidden="1"/>
    <cellStyle name="Followed Hyperlink" xfId="2618" builtinId="9" hidden="1"/>
    <cellStyle name="Followed Hyperlink" xfId="2620" builtinId="9" hidden="1"/>
    <cellStyle name="Followed Hyperlink" xfId="2622" builtinId="9" hidden="1"/>
    <cellStyle name="Followed Hyperlink" xfId="2624" builtinId="9" hidden="1"/>
    <cellStyle name="Followed Hyperlink" xfId="2626" builtinId="9" hidden="1"/>
    <cellStyle name="Followed Hyperlink" xfId="2628" builtinId="9" hidden="1"/>
    <cellStyle name="Followed Hyperlink" xfId="2630" builtinId="9" hidden="1"/>
    <cellStyle name="Followed Hyperlink" xfId="2632" builtinId="9" hidden="1"/>
    <cellStyle name="Followed Hyperlink" xfId="2634" builtinId="9" hidden="1"/>
    <cellStyle name="Followed Hyperlink" xfId="2636" builtinId="9" hidden="1"/>
    <cellStyle name="Followed Hyperlink" xfId="2638" builtinId="9" hidden="1"/>
    <cellStyle name="Followed Hyperlink" xfId="2640" builtinId="9" hidden="1"/>
    <cellStyle name="Followed Hyperlink" xfId="2642" builtinId="9" hidden="1"/>
    <cellStyle name="Followed Hyperlink" xfId="2644" builtinId="9" hidden="1"/>
    <cellStyle name="Followed Hyperlink" xfId="2646" builtinId="9" hidden="1"/>
    <cellStyle name="Followed Hyperlink" xfId="2648" builtinId="9" hidden="1"/>
    <cellStyle name="Followed Hyperlink" xfId="2650" builtinId="9" hidden="1"/>
    <cellStyle name="Followed Hyperlink" xfId="2652" builtinId="9" hidden="1"/>
    <cellStyle name="Followed Hyperlink" xfId="2654" builtinId="9" hidden="1"/>
    <cellStyle name="Followed Hyperlink" xfId="2656" builtinId="9" hidden="1"/>
    <cellStyle name="Followed Hyperlink" xfId="2658" builtinId="9" hidden="1"/>
    <cellStyle name="Followed Hyperlink" xfId="2660" builtinId="9" hidden="1"/>
    <cellStyle name="Followed Hyperlink" xfId="2662" builtinId="9" hidden="1"/>
    <cellStyle name="Followed Hyperlink" xfId="2664" builtinId="9" hidden="1"/>
    <cellStyle name="Followed Hyperlink" xfId="2666" builtinId="9" hidden="1"/>
    <cellStyle name="Followed Hyperlink" xfId="2668" builtinId="9" hidden="1"/>
    <cellStyle name="Followed Hyperlink" xfId="2670" builtinId="9" hidden="1"/>
    <cellStyle name="Followed Hyperlink" xfId="2672" builtinId="9" hidden="1"/>
    <cellStyle name="Followed Hyperlink" xfId="2674" builtinId="9" hidden="1"/>
    <cellStyle name="Followed Hyperlink" xfId="2676" builtinId="9" hidden="1"/>
    <cellStyle name="Followed Hyperlink" xfId="2678" builtinId="9" hidden="1"/>
    <cellStyle name="Followed Hyperlink" xfId="2680" builtinId="9" hidden="1"/>
    <cellStyle name="Followed Hyperlink" xfId="2682" builtinId="9" hidden="1"/>
    <cellStyle name="Followed Hyperlink" xfId="2684" builtinId="9" hidden="1"/>
    <cellStyle name="Followed Hyperlink" xfId="2686" builtinId="9" hidden="1"/>
    <cellStyle name="Followed Hyperlink" xfId="2688" builtinId="9" hidden="1"/>
    <cellStyle name="Followed Hyperlink" xfId="2690" builtinId="9" hidden="1"/>
    <cellStyle name="Followed Hyperlink" xfId="2692" builtinId="9" hidden="1"/>
    <cellStyle name="Followed Hyperlink" xfId="2694" builtinId="9" hidden="1"/>
    <cellStyle name="Followed Hyperlink" xfId="2696" builtinId="9" hidden="1"/>
    <cellStyle name="Followed Hyperlink" xfId="2698" builtinId="9" hidden="1"/>
    <cellStyle name="Followed Hyperlink" xfId="2700" builtinId="9" hidden="1"/>
    <cellStyle name="Followed Hyperlink" xfId="2702" builtinId="9" hidden="1"/>
    <cellStyle name="Followed Hyperlink" xfId="2704" builtinId="9" hidden="1"/>
    <cellStyle name="Followed Hyperlink" xfId="2706" builtinId="9" hidden="1"/>
    <cellStyle name="Followed Hyperlink" xfId="2708" builtinId="9" hidden="1"/>
    <cellStyle name="Followed Hyperlink" xfId="2710" builtinId="9" hidden="1"/>
    <cellStyle name="Followed Hyperlink" xfId="2712" builtinId="9" hidden="1"/>
    <cellStyle name="Followed Hyperlink" xfId="2714" builtinId="9" hidden="1"/>
    <cellStyle name="Followed Hyperlink" xfId="2716" builtinId="9" hidden="1"/>
    <cellStyle name="Followed Hyperlink" xfId="2718" builtinId="9" hidden="1"/>
    <cellStyle name="Followed Hyperlink" xfId="2720" builtinId="9" hidden="1"/>
    <cellStyle name="Followed Hyperlink" xfId="2722" builtinId="9" hidden="1"/>
    <cellStyle name="Followed Hyperlink" xfId="2724" builtinId="9" hidden="1"/>
    <cellStyle name="Followed Hyperlink" xfId="2726" builtinId="9" hidden="1"/>
    <cellStyle name="Followed Hyperlink" xfId="2728" builtinId="9" hidden="1"/>
    <cellStyle name="Followed Hyperlink" xfId="2730" builtinId="9" hidden="1"/>
    <cellStyle name="Followed Hyperlink" xfId="2732" builtinId="9" hidden="1"/>
    <cellStyle name="Followed Hyperlink" xfId="2734" builtinId="9" hidden="1"/>
    <cellStyle name="Followed Hyperlink" xfId="2736" builtinId="9" hidden="1"/>
    <cellStyle name="Followed Hyperlink" xfId="2738" builtinId="9" hidden="1"/>
    <cellStyle name="Followed Hyperlink" xfId="2740" builtinId="9" hidden="1"/>
    <cellStyle name="Followed Hyperlink" xfId="2742" builtinId="9" hidden="1"/>
    <cellStyle name="Followed Hyperlink" xfId="2744" builtinId="9" hidden="1"/>
    <cellStyle name="Followed Hyperlink" xfId="2746" builtinId="9" hidden="1"/>
    <cellStyle name="Followed Hyperlink" xfId="2748" builtinId="9" hidden="1"/>
    <cellStyle name="Followed Hyperlink" xfId="2750" builtinId="9" hidden="1"/>
    <cellStyle name="Followed Hyperlink" xfId="2752" builtinId="9" hidden="1"/>
    <cellStyle name="Followed Hyperlink" xfId="2754" builtinId="9" hidden="1"/>
    <cellStyle name="Followed Hyperlink" xfId="2756" builtinId="9" hidden="1"/>
    <cellStyle name="Followed Hyperlink" xfId="2758" builtinId="9" hidden="1"/>
    <cellStyle name="Followed Hyperlink" xfId="2760" builtinId="9" hidden="1"/>
    <cellStyle name="Followed Hyperlink" xfId="2762" builtinId="9" hidden="1"/>
    <cellStyle name="Followed Hyperlink" xfId="2764" builtinId="9" hidden="1"/>
    <cellStyle name="Followed Hyperlink" xfId="2766" builtinId="9" hidden="1"/>
    <cellStyle name="Followed Hyperlink" xfId="2768" builtinId="9" hidden="1"/>
    <cellStyle name="Followed Hyperlink" xfId="2770" builtinId="9" hidden="1"/>
    <cellStyle name="Followed Hyperlink" xfId="2772" builtinId="9" hidden="1"/>
    <cellStyle name="Followed Hyperlink" xfId="2774" builtinId="9" hidden="1"/>
    <cellStyle name="Followed Hyperlink" xfId="2776" builtinId="9" hidden="1"/>
    <cellStyle name="Followed Hyperlink" xfId="2778" builtinId="9" hidden="1"/>
    <cellStyle name="Followed Hyperlink" xfId="2780" builtinId="9" hidden="1"/>
    <cellStyle name="Followed Hyperlink" xfId="2782" builtinId="9" hidden="1"/>
    <cellStyle name="Followed Hyperlink" xfId="2784" builtinId="9" hidden="1"/>
    <cellStyle name="Followed Hyperlink" xfId="2786" builtinId="9" hidden="1"/>
    <cellStyle name="Followed Hyperlink" xfId="2788" builtinId="9" hidden="1"/>
    <cellStyle name="Followed Hyperlink" xfId="2790" builtinId="9" hidden="1"/>
    <cellStyle name="Followed Hyperlink" xfId="2792" builtinId="9" hidden="1"/>
    <cellStyle name="Followed Hyperlink" xfId="2794" builtinId="9" hidden="1"/>
    <cellStyle name="Followed Hyperlink" xfId="2796" builtinId="9" hidden="1"/>
    <cellStyle name="Followed Hyperlink" xfId="2798" builtinId="9" hidden="1"/>
    <cellStyle name="Followed Hyperlink" xfId="2800" builtinId="9" hidden="1"/>
    <cellStyle name="Followed Hyperlink" xfId="2802" builtinId="9" hidden="1"/>
    <cellStyle name="Followed Hyperlink" xfId="2804" builtinId="9" hidden="1"/>
    <cellStyle name="Followed Hyperlink" xfId="2806" builtinId="9" hidden="1"/>
    <cellStyle name="Followed Hyperlink" xfId="2808" builtinId="9" hidden="1"/>
    <cellStyle name="Followed Hyperlink" xfId="2810" builtinId="9" hidden="1"/>
    <cellStyle name="Followed Hyperlink" xfId="2812" builtinId="9" hidden="1"/>
    <cellStyle name="Followed Hyperlink" xfId="2814" builtinId="9" hidden="1"/>
    <cellStyle name="Followed Hyperlink" xfId="2816" builtinId="9" hidden="1"/>
    <cellStyle name="Followed Hyperlink" xfId="2818" builtinId="9" hidden="1"/>
    <cellStyle name="Followed Hyperlink" xfId="2820" builtinId="9" hidden="1"/>
    <cellStyle name="Followed Hyperlink" xfId="2822" builtinId="9" hidden="1"/>
    <cellStyle name="Followed Hyperlink" xfId="2824" builtinId="9" hidden="1"/>
    <cellStyle name="Followed Hyperlink" xfId="2826" builtinId="9" hidden="1"/>
    <cellStyle name="Followed Hyperlink" xfId="2828" builtinId="9" hidden="1"/>
    <cellStyle name="Followed Hyperlink" xfId="2830" builtinId="9" hidden="1"/>
    <cellStyle name="Followed Hyperlink" xfId="2832" builtinId="9" hidden="1"/>
    <cellStyle name="Followed Hyperlink" xfId="2834" builtinId="9" hidden="1"/>
    <cellStyle name="Followed Hyperlink" xfId="2836" builtinId="9" hidden="1"/>
    <cellStyle name="Followed Hyperlink" xfId="2838" builtinId="9" hidden="1"/>
    <cellStyle name="Followed Hyperlink" xfId="2840" builtinId="9" hidden="1"/>
    <cellStyle name="Followed Hyperlink" xfId="2842" builtinId="9" hidden="1"/>
    <cellStyle name="Followed Hyperlink" xfId="2844" builtinId="9" hidden="1"/>
    <cellStyle name="Followed Hyperlink" xfId="2846" builtinId="9" hidden="1"/>
    <cellStyle name="Followed Hyperlink" xfId="2848" builtinId="9" hidden="1"/>
    <cellStyle name="Followed Hyperlink" xfId="2850" builtinId="9" hidden="1"/>
    <cellStyle name="Followed Hyperlink" xfId="2852" builtinId="9" hidden="1"/>
    <cellStyle name="Followed Hyperlink" xfId="2854" builtinId="9" hidden="1"/>
    <cellStyle name="Followed Hyperlink" xfId="2856" builtinId="9" hidden="1"/>
    <cellStyle name="Followed Hyperlink" xfId="2858" builtinId="9" hidden="1"/>
    <cellStyle name="Followed Hyperlink" xfId="2860" builtinId="9" hidden="1"/>
    <cellStyle name="Followed Hyperlink" xfId="2862" builtinId="9" hidden="1"/>
    <cellStyle name="Followed Hyperlink" xfId="2864" builtinId="9" hidden="1"/>
    <cellStyle name="Followed Hyperlink" xfId="2866" builtinId="9" hidden="1"/>
    <cellStyle name="Followed Hyperlink" xfId="2868" builtinId="9" hidden="1"/>
    <cellStyle name="Followed Hyperlink" xfId="2870" builtinId="9" hidden="1"/>
    <cellStyle name="Followed Hyperlink" xfId="2872" builtinId="9" hidden="1"/>
    <cellStyle name="Followed Hyperlink" xfId="2874" builtinId="9" hidden="1"/>
    <cellStyle name="Followed Hyperlink" xfId="2876" builtinId="9" hidden="1"/>
    <cellStyle name="Followed Hyperlink" xfId="2878" builtinId="9" hidden="1"/>
    <cellStyle name="Followed Hyperlink" xfId="2880" builtinId="9" hidden="1"/>
    <cellStyle name="Followed Hyperlink" xfId="2882" builtinId="9" hidden="1"/>
    <cellStyle name="Followed Hyperlink" xfId="2884" builtinId="9" hidden="1"/>
    <cellStyle name="Followed Hyperlink" xfId="2886" builtinId="9" hidden="1"/>
    <cellStyle name="Followed Hyperlink" xfId="2888" builtinId="9" hidden="1"/>
    <cellStyle name="Followed Hyperlink" xfId="2890" builtinId="9" hidden="1"/>
    <cellStyle name="Followed Hyperlink" xfId="2892" builtinId="9" hidden="1"/>
    <cellStyle name="Followed Hyperlink" xfId="2894" builtinId="9" hidden="1"/>
    <cellStyle name="Followed Hyperlink" xfId="2896" builtinId="9" hidden="1"/>
    <cellStyle name="Followed Hyperlink" xfId="2898" builtinId="9" hidden="1"/>
    <cellStyle name="Followed Hyperlink" xfId="2900" builtinId="9" hidden="1"/>
    <cellStyle name="Followed Hyperlink" xfId="2902" builtinId="9" hidden="1"/>
    <cellStyle name="Followed Hyperlink" xfId="2904" builtinId="9" hidden="1"/>
    <cellStyle name="Followed Hyperlink" xfId="2906" builtinId="9" hidden="1"/>
    <cellStyle name="Followed Hyperlink" xfId="2908" builtinId="9" hidden="1"/>
    <cellStyle name="Followed Hyperlink" xfId="2910" builtinId="9" hidden="1"/>
    <cellStyle name="Followed Hyperlink" xfId="2912" builtinId="9" hidden="1"/>
    <cellStyle name="Followed Hyperlink" xfId="2914" builtinId="9" hidden="1"/>
    <cellStyle name="Followed Hyperlink" xfId="2916" builtinId="9" hidden="1"/>
    <cellStyle name="Followed Hyperlink" xfId="2918" builtinId="9" hidden="1"/>
    <cellStyle name="Followed Hyperlink" xfId="2920" builtinId="9" hidden="1"/>
    <cellStyle name="Followed Hyperlink" xfId="2922" builtinId="9" hidden="1"/>
    <cellStyle name="Followed Hyperlink" xfId="2924" builtinId="9" hidden="1"/>
    <cellStyle name="Followed Hyperlink" xfId="2926" builtinId="9" hidden="1"/>
    <cellStyle name="Followed Hyperlink" xfId="2928" builtinId="9" hidden="1"/>
    <cellStyle name="Followed Hyperlink" xfId="2930" builtinId="9" hidden="1"/>
    <cellStyle name="Followed Hyperlink" xfId="2932" builtinId="9" hidden="1"/>
    <cellStyle name="Followed Hyperlink" xfId="2934" builtinId="9" hidden="1"/>
    <cellStyle name="Followed Hyperlink" xfId="2936" builtinId="9" hidden="1"/>
    <cellStyle name="Followed Hyperlink" xfId="2938" builtinId="9" hidden="1"/>
    <cellStyle name="Followed Hyperlink" xfId="2940" builtinId="9" hidden="1"/>
    <cellStyle name="Followed Hyperlink" xfId="2942" builtinId="9" hidden="1"/>
    <cellStyle name="Followed Hyperlink" xfId="2944" builtinId="9" hidden="1"/>
    <cellStyle name="Followed Hyperlink" xfId="2946" builtinId="9" hidden="1"/>
    <cellStyle name="Followed Hyperlink" xfId="2948" builtinId="9" hidden="1"/>
    <cellStyle name="Followed Hyperlink" xfId="2950" builtinId="9" hidden="1"/>
    <cellStyle name="Followed Hyperlink" xfId="2952" builtinId="9" hidden="1"/>
    <cellStyle name="Followed Hyperlink" xfId="2954" builtinId="9" hidden="1"/>
    <cellStyle name="Followed Hyperlink" xfId="2956" builtinId="9" hidden="1"/>
    <cellStyle name="Followed Hyperlink" xfId="2958" builtinId="9" hidden="1"/>
    <cellStyle name="Followed Hyperlink" xfId="2960" builtinId="9" hidden="1"/>
    <cellStyle name="Followed Hyperlink" xfId="2962" builtinId="9" hidden="1"/>
    <cellStyle name="Followed Hyperlink" xfId="2964" builtinId="9" hidden="1"/>
    <cellStyle name="Followed Hyperlink" xfId="2966" builtinId="9" hidden="1"/>
    <cellStyle name="Followed Hyperlink" xfId="2968" builtinId="9" hidden="1"/>
    <cellStyle name="Followed Hyperlink" xfId="2970" builtinId="9" hidden="1"/>
    <cellStyle name="Followed Hyperlink" xfId="2972" builtinId="9" hidden="1"/>
    <cellStyle name="Followed Hyperlink" xfId="2974" builtinId="9" hidden="1"/>
    <cellStyle name="Followed Hyperlink" xfId="2976" builtinId="9" hidden="1"/>
    <cellStyle name="Followed Hyperlink" xfId="2978" builtinId="9" hidden="1"/>
    <cellStyle name="Followed Hyperlink" xfId="2980" builtinId="9" hidden="1"/>
    <cellStyle name="Followed Hyperlink" xfId="2982" builtinId="9" hidden="1"/>
    <cellStyle name="Followed Hyperlink" xfId="2984" builtinId="9" hidden="1"/>
    <cellStyle name="Followed Hyperlink" xfId="2986" builtinId="9" hidden="1"/>
    <cellStyle name="Followed Hyperlink" xfId="2988" builtinId="9" hidden="1"/>
    <cellStyle name="Followed Hyperlink" xfId="2990" builtinId="9" hidden="1"/>
    <cellStyle name="Followed Hyperlink" xfId="2992" builtinId="9" hidden="1"/>
    <cellStyle name="Followed Hyperlink" xfId="2994" builtinId="9" hidden="1"/>
    <cellStyle name="Followed Hyperlink" xfId="2996" builtinId="9" hidden="1"/>
    <cellStyle name="Followed Hyperlink" xfId="2998" builtinId="9" hidden="1"/>
    <cellStyle name="Followed Hyperlink" xfId="3000" builtinId="9" hidden="1"/>
    <cellStyle name="Followed Hyperlink" xfId="3002" builtinId="9" hidden="1"/>
    <cellStyle name="Followed Hyperlink" xfId="3004" builtinId="9" hidden="1"/>
    <cellStyle name="Followed Hyperlink" xfId="3006" builtinId="9" hidden="1"/>
    <cellStyle name="Followed Hyperlink" xfId="3008" builtinId="9" hidden="1"/>
    <cellStyle name="Followed Hyperlink" xfId="3010" builtinId="9" hidden="1"/>
    <cellStyle name="Followed Hyperlink" xfId="3012" builtinId="9" hidden="1"/>
    <cellStyle name="Followed Hyperlink" xfId="3014" builtinId="9" hidden="1"/>
    <cellStyle name="Followed Hyperlink" xfId="3016" builtinId="9" hidden="1"/>
    <cellStyle name="Followed Hyperlink" xfId="3018" builtinId="9" hidden="1"/>
    <cellStyle name="Followed Hyperlink" xfId="3020" builtinId="9" hidden="1"/>
    <cellStyle name="Followed Hyperlink" xfId="3022" builtinId="9" hidden="1"/>
    <cellStyle name="Followed Hyperlink" xfId="3024" builtinId="9" hidden="1"/>
    <cellStyle name="Followed Hyperlink" xfId="3026" builtinId="9" hidden="1"/>
    <cellStyle name="Followed Hyperlink" xfId="3028" builtinId="9" hidden="1"/>
    <cellStyle name="Followed Hyperlink" xfId="3030" builtinId="9" hidden="1"/>
    <cellStyle name="Followed Hyperlink" xfId="3032" builtinId="9" hidden="1"/>
    <cellStyle name="Followed Hyperlink" xfId="3034" builtinId="9" hidden="1"/>
    <cellStyle name="Followed Hyperlink" xfId="3036" builtinId="9" hidden="1"/>
    <cellStyle name="Followed Hyperlink" xfId="3038" builtinId="9" hidden="1"/>
    <cellStyle name="Followed Hyperlink" xfId="3040" builtinId="9" hidden="1"/>
    <cellStyle name="Followed Hyperlink" xfId="3042" builtinId="9" hidden="1"/>
    <cellStyle name="Followed Hyperlink" xfId="3044" builtinId="9" hidden="1"/>
    <cellStyle name="Followed Hyperlink" xfId="3046" builtinId="9" hidden="1"/>
    <cellStyle name="Followed Hyperlink" xfId="3048" builtinId="9" hidden="1"/>
    <cellStyle name="Followed Hyperlink" xfId="3050" builtinId="9" hidden="1"/>
    <cellStyle name="Followed Hyperlink" xfId="3052" builtinId="9" hidden="1"/>
    <cellStyle name="Followed Hyperlink" xfId="3054" builtinId="9" hidden="1"/>
    <cellStyle name="Followed Hyperlink" xfId="3056" builtinId="9" hidden="1"/>
    <cellStyle name="Followed Hyperlink" xfId="3058" builtinId="9" hidden="1"/>
    <cellStyle name="Followed Hyperlink" xfId="3060" builtinId="9" hidden="1"/>
    <cellStyle name="Followed Hyperlink" xfId="3062" builtinId="9" hidden="1"/>
    <cellStyle name="Followed Hyperlink" xfId="3064" builtinId="9" hidden="1"/>
    <cellStyle name="Followed Hyperlink" xfId="3066" builtinId="9" hidden="1"/>
    <cellStyle name="Followed Hyperlink" xfId="3068" builtinId="9" hidden="1"/>
    <cellStyle name="Followed Hyperlink" xfId="3070" builtinId="9" hidden="1"/>
    <cellStyle name="Followed Hyperlink" xfId="3072" builtinId="9" hidden="1"/>
    <cellStyle name="Followed Hyperlink" xfId="3074" builtinId="9" hidden="1"/>
    <cellStyle name="Followed Hyperlink" xfId="3076" builtinId="9" hidden="1"/>
    <cellStyle name="Followed Hyperlink" xfId="3078" builtinId="9" hidden="1"/>
    <cellStyle name="Followed Hyperlink" xfId="3080" builtinId="9" hidden="1"/>
    <cellStyle name="Followed Hyperlink" xfId="3082" builtinId="9" hidden="1"/>
    <cellStyle name="Followed Hyperlink" xfId="3084" builtinId="9" hidden="1"/>
    <cellStyle name="Followed Hyperlink" xfId="3086" builtinId="9" hidden="1"/>
    <cellStyle name="Followed Hyperlink" xfId="3088" builtinId="9" hidden="1"/>
    <cellStyle name="Followed Hyperlink" xfId="3090" builtinId="9" hidden="1"/>
    <cellStyle name="Followed Hyperlink" xfId="3092" builtinId="9" hidden="1"/>
    <cellStyle name="Followed Hyperlink" xfId="3094" builtinId="9" hidden="1"/>
    <cellStyle name="Followed Hyperlink" xfId="3096" builtinId="9" hidden="1"/>
    <cellStyle name="Followed Hyperlink" xfId="3098" builtinId="9" hidden="1"/>
    <cellStyle name="Followed Hyperlink" xfId="3100" builtinId="9" hidden="1"/>
    <cellStyle name="Followed Hyperlink" xfId="3102" builtinId="9" hidden="1"/>
    <cellStyle name="Followed Hyperlink" xfId="3104" builtinId="9" hidden="1"/>
    <cellStyle name="Followed Hyperlink" xfId="3106" builtinId="9" hidden="1"/>
    <cellStyle name="Followed Hyperlink" xfId="3108" builtinId="9" hidden="1"/>
    <cellStyle name="Followed Hyperlink" xfId="3110" builtinId="9" hidden="1"/>
    <cellStyle name="Followed Hyperlink" xfId="3112" builtinId="9" hidden="1"/>
    <cellStyle name="Followed Hyperlink" xfId="3114" builtinId="9" hidden="1"/>
    <cellStyle name="Followed Hyperlink" xfId="3116" builtinId="9" hidden="1"/>
    <cellStyle name="Followed Hyperlink" xfId="3118" builtinId="9" hidden="1"/>
    <cellStyle name="Followed Hyperlink" xfId="3120" builtinId="9" hidden="1"/>
    <cellStyle name="Followed Hyperlink" xfId="3122" builtinId="9" hidden="1"/>
    <cellStyle name="Followed Hyperlink" xfId="3124" builtinId="9" hidden="1"/>
    <cellStyle name="Followed Hyperlink" xfId="3126" builtinId="9" hidden="1"/>
    <cellStyle name="Followed Hyperlink" xfId="3128" builtinId="9" hidden="1"/>
    <cellStyle name="Followed Hyperlink" xfId="3130" builtinId="9" hidden="1"/>
    <cellStyle name="Followed Hyperlink" xfId="3132" builtinId="9" hidden="1"/>
    <cellStyle name="Followed Hyperlink" xfId="3134" builtinId="9" hidden="1"/>
    <cellStyle name="Followed Hyperlink" xfId="3136" builtinId="9" hidden="1"/>
    <cellStyle name="Followed Hyperlink" xfId="3138" builtinId="9" hidden="1"/>
    <cellStyle name="Followed Hyperlink" xfId="3140" builtinId="9" hidden="1"/>
    <cellStyle name="Followed Hyperlink" xfId="3142" builtinId="9" hidden="1"/>
    <cellStyle name="Followed Hyperlink" xfId="3144" builtinId="9" hidden="1"/>
    <cellStyle name="Followed Hyperlink" xfId="3146" builtinId="9" hidden="1"/>
    <cellStyle name="Followed Hyperlink" xfId="3148" builtinId="9" hidden="1"/>
    <cellStyle name="Followed Hyperlink" xfId="3150" builtinId="9" hidden="1"/>
    <cellStyle name="Followed Hyperlink" xfId="3152" builtinId="9" hidden="1"/>
    <cellStyle name="Followed Hyperlink" xfId="3154" builtinId="9" hidden="1"/>
    <cellStyle name="Followed Hyperlink" xfId="3156" builtinId="9" hidden="1"/>
    <cellStyle name="Followed Hyperlink" xfId="3158" builtinId="9" hidden="1"/>
    <cellStyle name="Followed Hyperlink" xfId="3160" builtinId="9" hidden="1"/>
    <cellStyle name="Followed Hyperlink" xfId="3162" builtinId="9" hidden="1"/>
    <cellStyle name="Followed Hyperlink" xfId="3164" builtinId="9" hidden="1"/>
    <cellStyle name="Followed Hyperlink" xfId="3166" builtinId="9" hidden="1"/>
    <cellStyle name="Followed Hyperlink" xfId="3168" builtinId="9" hidden="1"/>
    <cellStyle name="Followed Hyperlink" xfId="3170" builtinId="9" hidden="1"/>
    <cellStyle name="Followed Hyperlink" xfId="3172" builtinId="9" hidden="1"/>
    <cellStyle name="Followed Hyperlink" xfId="3174" builtinId="9" hidden="1"/>
    <cellStyle name="Followed Hyperlink" xfId="3176" builtinId="9" hidden="1"/>
    <cellStyle name="Followed Hyperlink" xfId="3178" builtinId="9" hidden="1"/>
    <cellStyle name="Followed Hyperlink" xfId="3180" builtinId="9" hidden="1"/>
    <cellStyle name="Followed Hyperlink" xfId="3182" builtinId="9" hidden="1"/>
    <cellStyle name="Followed Hyperlink" xfId="3184" builtinId="9" hidden="1"/>
    <cellStyle name="Followed Hyperlink" xfId="3186" builtinId="9" hidden="1"/>
    <cellStyle name="Followed Hyperlink" xfId="3188" builtinId="9" hidden="1"/>
    <cellStyle name="Followed Hyperlink" xfId="3190" builtinId="9" hidden="1"/>
    <cellStyle name="Followed Hyperlink" xfId="3192" builtinId="9" hidden="1"/>
    <cellStyle name="Followed Hyperlink" xfId="3194" builtinId="9" hidden="1"/>
    <cellStyle name="Followed Hyperlink" xfId="3196" builtinId="9" hidden="1"/>
    <cellStyle name="Followed Hyperlink" xfId="3198" builtinId="9" hidden="1"/>
    <cellStyle name="Followed Hyperlink" xfId="3200" builtinId="9" hidden="1"/>
    <cellStyle name="Followed Hyperlink" xfId="3202" builtinId="9" hidden="1"/>
    <cellStyle name="Followed Hyperlink" xfId="3204" builtinId="9" hidden="1"/>
    <cellStyle name="Followed Hyperlink" xfId="3206" builtinId="9" hidden="1"/>
    <cellStyle name="Followed Hyperlink" xfId="3208" builtinId="9" hidden="1"/>
    <cellStyle name="Followed Hyperlink" xfId="3210" builtinId="9" hidden="1"/>
    <cellStyle name="Followed Hyperlink" xfId="3212" builtinId="9" hidden="1"/>
    <cellStyle name="Followed Hyperlink" xfId="3214" builtinId="9" hidden="1"/>
    <cellStyle name="Followed Hyperlink" xfId="3216" builtinId="9" hidden="1"/>
    <cellStyle name="Followed Hyperlink" xfId="3218" builtinId="9" hidden="1"/>
    <cellStyle name="Followed Hyperlink" xfId="3220" builtinId="9" hidden="1"/>
    <cellStyle name="Followed Hyperlink" xfId="3222" builtinId="9" hidden="1"/>
    <cellStyle name="Followed Hyperlink" xfId="3224" builtinId="9" hidden="1"/>
    <cellStyle name="Followed Hyperlink" xfId="3226" builtinId="9" hidden="1"/>
    <cellStyle name="Followed Hyperlink" xfId="3228" builtinId="9" hidden="1"/>
    <cellStyle name="Followed Hyperlink" xfId="3230" builtinId="9" hidden="1"/>
    <cellStyle name="Followed Hyperlink" xfId="3232" builtinId="9" hidden="1"/>
    <cellStyle name="Followed Hyperlink" xfId="3234" builtinId="9" hidden="1"/>
    <cellStyle name="Followed Hyperlink" xfId="3236" builtinId="9" hidden="1"/>
    <cellStyle name="Followed Hyperlink" xfId="3238" builtinId="9" hidden="1"/>
    <cellStyle name="Followed Hyperlink" xfId="3240" builtinId="9" hidden="1"/>
    <cellStyle name="Followed Hyperlink" xfId="3242" builtinId="9" hidden="1"/>
    <cellStyle name="Followed Hyperlink" xfId="3244" builtinId="9" hidden="1"/>
    <cellStyle name="Followed Hyperlink" xfId="3246" builtinId="9" hidden="1"/>
    <cellStyle name="Followed Hyperlink" xfId="3248" builtinId="9" hidden="1"/>
    <cellStyle name="Followed Hyperlink" xfId="3250" builtinId="9" hidden="1"/>
    <cellStyle name="Followed Hyperlink" xfId="3252" builtinId="9" hidden="1"/>
    <cellStyle name="Followed Hyperlink" xfId="3254" builtinId="9" hidden="1"/>
    <cellStyle name="Followed Hyperlink" xfId="3256" builtinId="9" hidden="1"/>
    <cellStyle name="Followed Hyperlink" xfId="3258" builtinId="9" hidden="1"/>
    <cellStyle name="Followed Hyperlink" xfId="3260" builtinId="9" hidden="1"/>
    <cellStyle name="Followed Hyperlink" xfId="3262" builtinId="9" hidden="1"/>
    <cellStyle name="Followed Hyperlink" xfId="3264" builtinId="9" hidden="1"/>
    <cellStyle name="Followed Hyperlink" xfId="3266" builtinId="9" hidden="1"/>
    <cellStyle name="Followed Hyperlink" xfId="3268" builtinId="9" hidden="1"/>
    <cellStyle name="Followed Hyperlink" xfId="3270" builtinId="9" hidden="1"/>
    <cellStyle name="Followed Hyperlink" xfId="3272" builtinId="9" hidden="1"/>
    <cellStyle name="Followed Hyperlink" xfId="3274" builtinId="9" hidden="1"/>
    <cellStyle name="Followed Hyperlink" xfId="3276" builtinId="9" hidden="1"/>
    <cellStyle name="Followed Hyperlink" xfId="3278" builtinId="9" hidden="1"/>
    <cellStyle name="Followed Hyperlink" xfId="3280" builtinId="9" hidden="1"/>
    <cellStyle name="Followed Hyperlink" xfId="3282" builtinId="9" hidden="1"/>
    <cellStyle name="Followed Hyperlink" xfId="3284" builtinId="9" hidden="1"/>
    <cellStyle name="Followed Hyperlink" xfId="3286" builtinId="9" hidden="1"/>
    <cellStyle name="Followed Hyperlink" xfId="3288" builtinId="9" hidden="1"/>
    <cellStyle name="Followed Hyperlink" xfId="3290" builtinId="9" hidden="1"/>
    <cellStyle name="Followed Hyperlink" xfId="3292" builtinId="9" hidden="1"/>
    <cellStyle name="Followed Hyperlink" xfId="3294" builtinId="9" hidden="1"/>
    <cellStyle name="Followed Hyperlink" xfId="3296" builtinId="9" hidden="1"/>
    <cellStyle name="Followed Hyperlink" xfId="3298" builtinId="9" hidden="1"/>
    <cellStyle name="Followed Hyperlink" xfId="3300" builtinId="9" hidden="1"/>
    <cellStyle name="Followed Hyperlink" xfId="3302" builtinId="9" hidden="1"/>
    <cellStyle name="Followed Hyperlink" xfId="3304" builtinId="9" hidden="1"/>
    <cellStyle name="Followed Hyperlink" xfId="3306" builtinId="9" hidden="1"/>
    <cellStyle name="Followed Hyperlink" xfId="3308" builtinId="9" hidden="1"/>
    <cellStyle name="Followed Hyperlink" xfId="3310" builtinId="9" hidden="1"/>
    <cellStyle name="Followed Hyperlink" xfId="3312" builtinId="9" hidden="1"/>
    <cellStyle name="Followed Hyperlink" xfId="3314" builtinId="9" hidden="1"/>
    <cellStyle name="Followed Hyperlink" xfId="3316" builtinId="9" hidden="1"/>
    <cellStyle name="Followed Hyperlink" xfId="3318" builtinId="9" hidden="1"/>
    <cellStyle name="Followed Hyperlink" xfId="3320" builtinId="9" hidden="1"/>
    <cellStyle name="Followed Hyperlink" xfId="3322" builtinId="9" hidden="1"/>
    <cellStyle name="Followed Hyperlink" xfId="3324" builtinId="9" hidden="1"/>
    <cellStyle name="Followed Hyperlink" xfId="3326" builtinId="9" hidden="1"/>
    <cellStyle name="Followed Hyperlink" xfId="3328" builtinId="9" hidden="1"/>
    <cellStyle name="Followed Hyperlink" xfId="3330" builtinId="9" hidden="1"/>
    <cellStyle name="Followed Hyperlink" xfId="3332" builtinId="9" hidden="1"/>
    <cellStyle name="Followed Hyperlink" xfId="3334" builtinId="9" hidden="1"/>
    <cellStyle name="Followed Hyperlink" xfId="3336" builtinId="9" hidden="1"/>
    <cellStyle name="Followed Hyperlink" xfId="3338" builtinId="9" hidden="1"/>
    <cellStyle name="Followed Hyperlink" xfId="3340" builtinId="9" hidden="1"/>
    <cellStyle name="Followed Hyperlink" xfId="3342" builtinId="9" hidden="1"/>
    <cellStyle name="Followed Hyperlink" xfId="3344" builtinId="9" hidden="1"/>
    <cellStyle name="Followed Hyperlink" xfId="3346" builtinId="9" hidden="1"/>
    <cellStyle name="Followed Hyperlink" xfId="3348" builtinId="9" hidden="1"/>
    <cellStyle name="Followed Hyperlink" xfId="3350" builtinId="9" hidden="1"/>
    <cellStyle name="Followed Hyperlink" xfId="3352" builtinId="9" hidden="1"/>
    <cellStyle name="Followed Hyperlink" xfId="3354" builtinId="9" hidden="1"/>
    <cellStyle name="Followed Hyperlink" xfId="3356" builtinId="9" hidden="1"/>
    <cellStyle name="Followed Hyperlink" xfId="3358" builtinId="9" hidden="1"/>
    <cellStyle name="Followed Hyperlink" xfId="3360" builtinId="9" hidden="1"/>
    <cellStyle name="Followed Hyperlink" xfId="3362" builtinId="9" hidden="1"/>
    <cellStyle name="Followed Hyperlink" xfId="3364" builtinId="9" hidden="1"/>
    <cellStyle name="Followed Hyperlink" xfId="3366" builtinId="9" hidden="1"/>
    <cellStyle name="Followed Hyperlink" xfId="3368" builtinId="9" hidden="1"/>
    <cellStyle name="Followed Hyperlink" xfId="3370" builtinId="9" hidden="1"/>
    <cellStyle name="Followed Hyperlink" xfId="3372" builtinId="9" hidden="1"/>
    <cellStyle name="Followed Hyperlink" xfId="3374" builtinId="9" hidden="1"/>
    <cellStyle name="Followed Hyperlink" xfId="3376" builtinId="9" hidden="1"/>
    <cellStyle name="Followed Hyperlink" xfId="3378" builtinId="9" hidden="1"/>
    <cellStyle name="Followed Hyperlink" xfId="3380" builtinId="9" hidden="1"/>
    <cellStyle name="Followed Hyperlink" xfId="3382" builtinId="9" hidden="1"/>
    <cellStyle name="Followed Hyperlink" xfId="3384" builtinId="9" hidden="1"/>
    <cellStyle name="Followed Hyperlink" xfId="3386" builtinId="9" hidden="1"/>
    <cellStyle name="Followed Hyperlink" xfId="3388" builtinId="9" hidden="1"/>
    <cellStyle name="Followed Hyperlink" xfId="3390" builtinId="9" hidden="1"/>
    <cellStyle name="Followed Hyperlink" xfId="3392" builtinId="9" hidden="1"/>
    <cellStyle name="Followed Hyperlink" xfId="3394" builtinId="9" hidden="1"/>
    <cellStyle name="Followed Hyperlink" xfId="3396" builtinId="9" hidden="1"/>
    <cellStyle name="Followed Hyperlink" xfId="3398" builtinId="9" hidden="1"/>
    <cellStyle name="Followed Hyperlink" xfId="3400" builtinId="9" hidden="1"/>
    <cellStyle name="Followed Hyperlink" xfId="3402" builtinId="9" hidden="1"/>
    <cellStyle name="Followed Hyperlink" xfId="3404" builtinId="9" hidden="1"/>
    <cellStyle name="Followed Hyperlink" xfId="3406" builtinId="9" hidden="1"/>
    <cellStyle name="Followed Hyperlink" xfId="3408" builtinId="9" hidden="1"/>
    <cellStyle name="Followed Hyperlink" xfId="3410" builtinId="9" hidden="1"/>
    <cellStyle name="Followed Hyperlink" xfId="3412" builtinId="9" hidden="1"/>
    <cellStyle name="Followed Hyperlink" xfId="3414" builtinId="9" hidden="1"/>
    <cellStyle name="Followed Hyperlink" xfId="3416" builtinId="9" hidden="1"/>
    <cellStyle name="Followed Hyperlink" xfId="3418" builtinId="9" hidden="1"/>
    <cellStyle name="Followed Hyperlink" xfId="3420" builtinId="9" hidden="1"/>
    <cellStyle name="Followed Hyperlink" xfId="3422" builtinId="9" hidden="1"/>
    <cellStyle name="Followed Hyperlink" xfId="3424" builtinId="9" hidden="1"/>
    <cellStyle name="Followed Hyperlink" xfId="3426" builtinId="9" hidden="1"/>
    <cellStyle name="Followed Hyperlink" xfId="3428" builtinId="9" hidden="1"/>
    <cellStyle name="Followed Hyperlink" xfId="3430" builtinId="9" hidden="1"/>
    <cellStyle name="Followed Hyperlink" xfId="3432" builtinId="9" hidden="1"/>
    <cellStyle name="Followed Hyperlink" xfId="3434" builtinId="9" hidden="1"/>
    <cellStyle name="Followed Hyperlink" xfId="3436" builtinId="9" hidden="1"/>
    <cellStyle name="Followed Hyperlink" xfId="3438" builtinId="9" hidden="1"/>
    <cellStyle name="Followed Hyperlink" xfId="3440" builtinId="9" hidden="1"/>
    <cellStyle name="Followed Hyperlink" xfId="3442" builtinId="9" hidden="1"/>
    <cellStyle name="Followed Hyperlink" xfId="3444" builtinId="9" hidden="1"/>
    <cellStyle name="Followed Hyperlink" xfId="3446" builtinId="9" hidden="1"/>
    <cellStyle name="Followed Hyperlink" xfId="3448" builtinId="9" hidden="1"/>
    <cellStyle name="Followed Hyperlink" xfId="3450" builtinId="9" hidden="1"/>
    <cellStyle name="Followed Hyperlink" xfId="3452" builtinId="9" hidden="1"/>
    <cellStyle name="Followed Hyperlink" xfId="3454" builtinId="9" hidden="1"/>
    <cellStyle name="Followed Hyperlink" xfId="3456" builtinId="9" hidden="1"/>
    <cellStyle name="Followed Hyperlink" xfId="3458" builtinId="9" hidden="1"/>
    <cellStyle name="Followed Hyperlink" xfId="3460" builtinId="9" hidden="1"/>
    <cellStyle name="Followed Hyperlink" xfId="3462" builtinId="9" hidden="1"/>
    <cellStyle name="Followed Hyperlink" xfId="3464" builtinId="9" hidden="1"/>
    <cellStyle name="Followed Hyperlink" xfId="3466" builtinId="9" hidden="1"/>
    <cellStyle name="Followed Hyperlink" xfId="3468" builtinId="9" hidden="1"/>
    <cellStyle name="Followed Hyperlink" xfId="3470" builtinId="9" hidden="1"/>
    <cellStyle name="Followed Hyperlink" xfId="3472" builtinId="9" hidden="1"/>
    <cellStyle name="Followed Hyperlink" xfId="3474" builtinId="9" hidden="1"/>
    <cellStyle name="Followed Hyperlink" xfId="3476" builtinId="9" hidden="1"/>
    <cellStyle name="Followed Hyperlink" xfId="3478" builtinId="9" hidden="1"/>
    <cellStyle name="Followed Hyperlink" xfId="3480" builtinId="9" hidden="1"/>
    <cellStyle name="Followed Hyperlink" xfId="3482" builtinId="9" hidden="1"/>
    <cellStyle name="Followed Hyperlink" xfId="3484" builtinId="9" hidden="1"/>
    <cellStyle name="Followed Hyperlink" xfId="3486" builtinId="9" hidden="1"/>
    <cellStyle name="Followed Hyperlink" xfId="3488" builtinId="9" hidden="1"/>
    <cellStyle name="Followed Hyperlink" xfId="3490" builtinId="9" hidden="1"/>
    <cellStyle name="Followed Hyperlink" xfId="3492" builtinId="9" hidden="1"/>
    <cellStyle name="Followed Hyperlink" xfId="3494" builtinId="9" hidden="1"/>
    <cellStyle name="Followed Hyperlink" xfId="3496" builtinId="9" hidden="1"/>
    <cellStyle name="Followed Hyperlink" xfId="3498" builtinId="9" hidden="1"/>
    <cellStyle name="Followed Hyperlink" xfId="3500" builtinId="9" hidden="1"/>
    <cellStyle name="Followed Hyperlink" xfId="3502" builtinId="9" hidden="1"/>
    <cellStyle name="Followed Hyperlink" xfId="3504" builtinId="9" hidden="1"/>
    <cellStyle name="Followed Hyperlink" xfId="3506" builtinId="9" hidden="1"/>
    <cellStyle name="Followed Hyperlink" xfId="3508" builtinId="9" hidden="1"/>
    <cellStyle name="Followed Hyperlink" xfId="3510" builtinId="9" hidden="1"/>
    <cellStyle name="Followed Hyperlink" xfId="3512" builtinId="9" hidden="1"/>
    <cellStyle name="Followed Hyperlink" xfId="3514" builtinId="9" hidden="1"/>
    <cellStyle name="Followed Hyperlink" xfId="3516" builtinId="9" hidden="1"/>
    <cellStyle name="Followed Hyperlink" xfId="3518" builtinId="9" hidden="1"/>
    <cellStyle name="Followed Hyperlink" xfId="3520" builtinId="9" hidden="1"/>
    <cellStyle name="Followed Hyperlink" xfId="3522" builtinId="9" hidden="1"/>
    <cellStyle name="Followed Hyperlink" xfId="3524" builtinId="9" hidden="1"/>
    <cellStyle name="Followed Hyperlink" xfId="3526" builtinId="9" hidden="1"/>
    <cellStyle name="Followed Hyperlink" xfId="3528" builtinId="9" hidden="1"/>
    <cellStyle name="Followed Hyperlink" xfId="3530" builtinId="9" hidden="1"/>
    <cellStyle name="Followed Hyperlink" xfId="3532" builtinId="9" hidden="1"/>
    <cellStyle name="Followed Hyperlink" xfId="3534" builtinId="9" hidden="1"/>
    <cellStyle name="Followed Hyperlink" xfId="3536" builtinId="9" hidden="1"/>
    <cellStyle name="Followed Hyperlink" xfId="3538" builtinId="9" hidden="1"/>
    <cellStyle name="Followed Hyperlink" xfId="3540" builtinId="9" hidden="1"/>
    <cellStyle name="Followed Hyperlink" xfId="3542" builtinId="9" hidden="1"/>
    <cellStyle name="Followed Hyperlink" xfId="3544" builtinId="9" hidden="1"/>
    <cellStyle name="Followed Hyperlink" xfId="3546" builtinId="9" hidden="1"/>
    <cellStyle name="Followed Hyperlink" xfId="3548" builtinId="9" hidden="1"/>
    <cellStyle name="Followed Hyperlink" xfId="3550" builtinId="9" hidden="1"/>
    <cellStyle name="Followed Hyperlink" xfId="3552" builtinId="9" hidden="1"/>
    <cellStyle name="Followed Hyperlink" xfId="3554" builtinId="9" hidden="1"/>
    <cellStyle name="Followed Hyperlink" xfId="3556" builtinId="9" hidden="1"/>
    <cellStyle name="Followed Hyperlink" xfId="3558" builtinId="9" hidden="1"/>
    <cellStyle name="Followed Hyperlink" xfId="3560" builtinId="9" hidden="1"/>
    <cellStyle name="Followed Hyperlink" xfId="3562" builtinId="9" hidden="1"/>
    <cellStyle name="Followed Hyperlink" xfId="3564" builtinId="9" hidden="1"/>
    <cellStyle name="Followed Hyperlink" xfId="3566" builtinId="9" hidden="1"/>
    <cellStyle name="Followed Hyperlink" xfId="3568" builtinId="9" hidden="1"/>
    <cellStyle name="Followed Hyperlink" xfId="3570" builtinId="9" hidden="1"/>
    <cellStyle name="Followed Hyperlink" xfId="3572" builtinId="9" hidden="1"/>
    <cellStyle name="Followed Hyperlink" xfId="3574" builtinId="9" hidden="1"/>
    <cellStyle name="Followed Hyperlink" xfId="3576" builtinId="9" hidden="1"/>
    <cellStyle name="Followed Hyperlink" xfId="3578" builtinId="9" hidden="1"/>
    <cellStyle name="Followed Hyperlink" xfId="3580" builtinId="9" hidden="1"/>
    <cellStyle name="Followed Hyperlink" xfId="3582" builtinId="9" hidden="1"/>
    <cellStyle name="Followed Hyperlink" xfId="3584" builtinId="9" hidden="1"/>
    <cellStyle name="Followed Hyperlink" xfId="3586" builtinId="9" hidden="1"/>
    <cellStyle name="Followed Hyperlink" xfId="3588" builtinId="9" hidden="1"/>
    <cellStyle name="Followed Hyperlink" xfId="3590" builtinId="9" hidden="1"/>
    <cellStyle name="Followed Hyperlink" xfId="3592" builtinId="9" hidden="1"/>
    <cellStyle name="Followed Hyperlink" xfId="3594" builtinId="9" hidden="1"/>
    <cellStyle name="Followed Hyperlink" xfId="3596" builtinId="9" hidden="1"/>
    <cellStyle name="Followed Hyperlink" xfId="3598" builtinId="9" hidden="1"/>
    <cellStyle name="Followed Hyperlink" xfId="3600" builtinId="9" hidden="1"/>
    <cellStyle name="Followed Hyperlink" xfId="3602" builtinId="9" hidden="1"/>
    <cellStyle name="Followed Hyperlink" xfId="3604" builtinId="9" hidden="1"/>
    <cellStyle name="Followed Hyperlink" xfId="3606" builtinId="9" hidden="1"/>
    <cellStyle name="Followed Hyperlink" xfId="3608" builtinId="9" hidden="1"/>
    <cellStyle name="Followed Hyperlink" xfId="3610" builtinId="9" hidden="1"/>
    <cellStyle name="Followed Hyperlink" xfId="3612" builtinId="9" hidden="1"/>
    <cellStyle name="Followed Hyperlink" xfId="3614" builtinId="9" hidden="1"/>
    <cellStyle name="Followed Hyperlink" xfId="3616" builtinId="9" hidden="1"/>
    <cellStyle name="Followed Hyperlink" xfId="3618" builtinId="9" hidden="1"/>
    <cellStyle name="Followed Hyperlink" xfId="3620" builtinId="9" hidden="1"/>
    <cellStyle name="Followed Hyperlink" xfId="3622" builtinId="9" hidden="1"/>
    <cellStyle name="Followed Hyperlink" xfId="3624" builtinId="9" hidden="1"/>
    <cellStyle name="Followed Hyperlink" xfId="3626" builtinId="9" hidden="1"/>
    <cellStyle name="Followed Hyperlink" xfId="3628" builtinId="9" hidden="1"/>
    <cellStyle name="Followed Hyperlink" xfId="3630" builtinId="9" hidden="1"/>
    <cellStyle name="Followed Hyperlink" xfId="3632" builtinId="9" hidden="1"/>
    <cellStyle name="Followed Hyperlink" xfId="3634" builtinId="9" hidden="1"/>
    <cellStyle name="Followed Hyperlink" xfId="3636" builtinId="9" hidden="1"/>
    <cellStyle name="Followed Hyperlink" xfId="3638" builtinId="9" hidden="1"/>
    <cellStyle name="Followed Hyperlink" xfId="3640" builtinId="9" hidden="1"/>
    <cellStyle name="Followed Hyperlink" xfId="3642" builtinId="9" hidden="1"/>
    <cellStyle name="Followed Hyperlink" xfId="3644" builtinId="9" hidden="1"/>
    <cellStyle name="Followed Hyperlink" xfId="3646" builtinId="9" hidden="1"/>
    <cellStyle name="Followed Hyperlink" xfId="3648" builtinId="9" hidden="1"/>
    <cellStyle name="Followed Hyperlink" xfId="3650" builtinId="9" hidden="1"/>
    <cellStyle name="Followed Hyperlink" xfId="3652" builtinId="9" hidden="1"/>
    <cellStyle name="Followed Hyperlink" xfId="3654" builtinId="9" hidden="1"/>
    <cellStyle name="Followed Hyperlink" xfId="3656" builtinId="9" hidden="1"/>
    <cellStyle name="Followed Hyperlink" xfId="3658" builtinId="9" hidden="1"/>
    <cellStyle name="Followed Hyperlink" xfId="3660" builtinId="9" hidden="1"/>
    <cellStyle name="Followed Hyperlink" xfId="3662" builtinId="9" hidden="1"/>
    <cellStyle name="Followed Hyperlink" xfId="3664" builtinId="9" hidden="1"/>
    <cellStyle name="Followed Hyperlink" xfId="3666" builtinId="9" hidden="1"/>
    <cellStyle name="Followed Hyperlink" xfId="3668" builtinId="9" hidden="1"/>
    <cellStyle name="Followed Hyperlink" xfId="3670" builtinId="9" hidden="1"/>
    <cellStyle name="Followed Hyperlink" xfId="3672" builtinId="9" hidden="1"/>
    <cellStyle name="Followed Hyperlink" xfId="3674" builtinId="9" hidden="1"/>
    <cellStyle name="Followed Hyperlink" xfId="3676" builtinId="9" hidden="1"/>
    <cellStyle name="Followed Hyperlink" xfId="3678" builtinId="9" hidden="1"/>
    <cellStyle name="Followed Hyperlink" xfId="3680" builtinId="9" hidden="1"/>
    <cellStyle name="Followed Hyperlink" xfId="3682" builtinId="9" hidden="1"/>
    <cellStyle name="Followed Hyperlink" xfId="3684" builtinId="9" hidden="1"/>
    <cellStyle name="Followed Hyperlink" xfId="3686" builtinId="9" hidden="1"/>
    <cellStyle name="Followed Hyperlink" xfId="3688" builtinId="9" hidden="1"/>
    <cellStyle name="Followed Hyperlink" xfId="3690" builtinId="9" hidden="1"/>
    <cellStyle name="Followed Hyperlink" xfId="3692" builtinId="9" hidden="1"/>
    <cellStyle name="Followed Hyperlink" xfId="3694" builtinId="9" hidden="1"/>
    <cellStyle name="Followed Hyperlink" xfId="3696" builtinId="9" hidden="1"/>
    <cellStyle name="Followed Hyperlink" xfId="3698" builtinId="9" hidden="1"/>
    <cellStyle name="Followed Hyperlink" xfId="3700" builtinId="9" hidden="1"/>
    <cellStyle name="Followed Hyperlink" xfId="3702" builtinId="9" hidden="1"/>
    <cellStyle name="Followed Hyperlink" xfId="3704" builtinId="9" hidden="1"/>
    <cellStyle name="Followed Hyperlink" xfId="3706" builtinId="9" hidden="1"/>
    <cellStyle name="Followed Hyperlink" xfId="3708" builtinId="9" hidden="1"/>
    <cellStyle name="Followed Hyperlink" xfId="3710" builtinId="9" hidden="1"/>
    <cellStyle name="Followed Hyperlink" xfId="3712" builtinId="9" hidden="1"/>
    <cellStyle name="Followed Hyperlink" xfId="3714" builtinId="9" hidden="1"/>
    <cellStyle name="Followed Hyperlink" xfId="3716" builtinId="9" hidden="1"/>
    <cellStyle name="Followed Hyperlink" xfId="3718" builtinId="9" hidden="1"/>
    <cellStyle name="Followed Hyperlink" xfId="3720" builtinId="9" hidden="1"/>
    <cellStyle name="Followed Hyperlink" xfId="3722" builtinId="9" hidden="1"/>
    <cellStyle name="Followed Hyperlink" xfId="3724" builtinId="9" hidden="1"/>
    <cellStyle name="Followed Hyperlink" xfId="3726" builtinId="9" hidden="1"/>
    <cellStyle name="Followed Hyperlink" xfId="3728" builtinId="9" hidden="1"/>
    <cellStyle name="Followed Hyperlink" xfId="3730" builtinId="9" hidden="1"/>
    <cellStyle name="Followed Hyperlink" xfId="3732" builtinId="9" hidden="1"/>
    <cellStyle name="Followed Hyperlink" xfId="3734" builtinId="9" hidden="1"/>
    <cellStyle name="Followed Hyperlink" xfId="3736" builtinId="9" hidden="1"/>
    <cellStyle name="Followed Hyperlink" xfId="3738" builtinId="9" hidden="1"/>
    <cellStyle name="Followed Hyperlink" xfId="3740" builtinId="9" hidden="1"/>
    <cellStyle name="Followed Hyperlink" xfId="3742" builtinId="9" hidden="1"/>
    <cellStyle name="Followed Hyperlink" xfId="3744" builtinId="9" hidden="1"/>
    <cellStyle name="Followed Hyperlink" xfId="3746" builtinId="9" hidden="1"/>
    <cellStyle name="Followed Hyperlink" xfId="3748" builtinId="9" hidden="1"/>
    <cellStyle name="Followed Hyperlink" xfId="3750" builtinId="9" hidden="1"/>
    <cellStyle name="Followed Hyperlink" xfId="3752" builtinId="9" hidden="1"/>
    <cellStyle name="Followed Hyperlink" xfId="3754" builtinId="9" hidden="1"/>
    <cellStyle name="Followed Hyperlink" xfId="3756" builtinId="9" hidden="1"/>
    <cellStyle name="Followed Hyperlink" xfId="3758" builtinId="9" hidden="1"/>
    <cellStyle name="Followed Hyperlink" xfId="3760" builtinId="9" hidden="1"/>
    <cellStyle name="Followed Hyperlink" xfId="3762" builtinId="9" hidden="1"/>
    <cellStyle name="Followed Hyperlink" xfId="3764" builtinId="9" hidden="1"/>
    <cellStyle name="Followed Hyperlink" xfId="3766" builtinId="9" hidden="1"/>
    <cellStyle name="Followed Hyperlink" xfId="3768" builtinId="9" hidden="1"/>
    <cellStyle name="Followed Hyperlink" xfId="3770" builtinId="9" hidden="1"/>
    <cellStyle name="Followed Hyperlink" xfId="3772" builtinId="9" hidden="1"/>
    <cellStyle name="Followed Hyperlink" xfId="3774" builtinId="9" hidden="1"/>
    <cellStyle name="Followed Hyperlink" xfId="3776" builtinId="9" hidden="1"/>
    <cellStyle name="Followed Hyperlink" xfId="3778" builtinId="9" hidden="1"/>
    <cellStyle name="Followed Hyperlink" xfId="3780" builtinId="9" hidden="1"/>
    <cellStyle name="Followed Hyperlink" xfId="3782" builtinId="9" hidden="1"/>
    <cellStyle name="Followed Hyperlink" xfId="3784" builtinId="9" hidden="1"/>
    <cellStyle name="Followed Hyperlink" xfId="3786" builtinId="9" hidden="1"/>
    <cellStyle name="Followed Hyperlink" xfId="3788" builtinId="9" hidden="1"/>
    <cellStyle name="Followed Hyperlink" xfId="3790" builtinId="9" hidden="1"/>
    <cellStyle name="Followed Hyperlink" xfId="3792" builtinId="9" hidden="1"/>
    <cellStyle name="Followed Hyperlink" xfId="3794" builtinId="9" hidden="1"/>
    <cellStyle name="Followed Hyperlink" xfId="3796" builtinId="9" hidden="1"/>
    <cellStyle name="Followed Hyperlink" xfId="3798" builtinId="9" hidden="1"/>
    <cellStyle name="Followed Hyperlink" xfId="3800" builtinId="9" hidden="1"/>
    <cellStyle name="Followed Hyperlink" xfId="3802" builtinId="9" hidden="1"/>
    <cellStyle name="Followed Hyperlink" xfId="3804" builtinId="9" hidden="1"/>
    <cellStyle name="Followed Hyperlink" xfId="3806" builtinId="9" hidden="1"/>
    <cellStyle name="Followed Hyperlink" xfId="3808" builtinId="9" hidden="1"/>
    <cellStyle name="Followed Hyperlink" xfId="3810" builtinId="9" hidden="1"/>
    <cellStyle name="Followed Hyperlink" xfId="3812" builtinId="9" hidden="1"/>
    <cellStyle name="Followed Hyperlink" xfId="3814" builtinId="9" hidden="1"/>
    <cellStyle name="Followed Hyperlink" xfId="3816" builtinId="9" hidden="1"/>
    <cellStyle name="Followed Hyperlink" xfId="3818" builtinId="9" hidden="1"/>
    <cellStyle name="Followed Hyperlink" xfId="3820" builtinId="9" hidden="1"/>
    <cellStyle name="Followed Hyperlink" xfId="3822" builtinId="9" hidden="1"/>
    <cellStyle name="Followed Hyperlink" xfId="3824" builtinId="9" hidden="1"/>
    <cellStyle name="Followed Hyperlink" xfId="3826" builtinId="9" hidden="1"/>
    <cellStyle name="Followed Hyperlink" xfId="3828" builtinId="9" hidden="1"/>
    <cellStyle name="Followed Hyperlink" xfId="3830" builtinId="9" hidden="1"/>
    <cellStyle name="Followed Hyperlink" xfId="3832" builtinId="9" hidden="1"/>
    <cellStyle name="Followed Hyperlink" xfId="3834" builtinId="9" hidden="1"/>
    <cellStyle name="Followed Hyperlink" xfId="3836" builtinId="9" hidden="1"/>
    <cellStyle name="Followed Hyperlink" xfId="3838" builtinId="9" hidden="1"/>
    <cellStyle name="Followed Hyperlink" xfId="3840" builtinId="9" hidden="1"/>
    <cellStyle name="Followed Hyperlink" xfId="3842" builtinId="9" hidden="1"/>
    <cellStyle name="Followed Hyperlink" xfId="3844" builtinId="9" hidden="1"/>
    <cellStyle name="Followed Hyperlink" xfId="3846" builtinId="9" hidden="1"/>
    <cellStyle name="Followed Hyperlink" xfId="3848" builtinId="9" hidden="1"/>
    <cellStyle name="Followed Hyperlink" xfId="3850" builtinId="9" hidden="1"/>
    <cellStyle name="Followed Hyperlink" xfId="3852" builtinId="9" hidden="1"/>
    <cellStyle name="Followed Hyperlink" xfId="3854" builtinId="9" hidden="1"/>
    <cellStyle name="Followed Hyperlink" xfId="3856" builtinId="9" hidden="1"/>
    <cellStyle name="Followed Hyperlink" xfId="3858" builtinId="9" hidden="1"/>
    <cellStyle name="Followed Hyperlink" xfId="3860" builtinId="9" hidden="1"/>
    <cellStyle name="Followed Hyperlink" xfId="3862" builtinId="9" hidden="1"/>
    <cellStyle name="Followed Hyperlink" xfId="3864" builtinId="9" hidden="1"/>
    <cellStyle name="Followed Hyperlink" xfId="3866" builtinId="9" hidden="1"/>
    <cellStyle name="Followed Hyperlink" xfId="3868" builtinId="9" hidden="1"/>
    <cellStyle name="Followed Hyperlink" xfId="3870" builtinId="9" hidden="1"/>
    <cellStyle name="Followed Hyperlink" xfId="3872" builtinId="9" hidden="1"/>
    <cellStyle name="Followed Hyperlink" xfId="3874" builtinId="9" hidden="1"/>
    <cellStyle name="Followed Hyperlink" xfId="3876" builtinId="9" hidden="1"/>
    <cellStyle name="Followed Hyperlink" xfId="3878" builtinId="9" hidden="1"/>
    <cellStyle name="Followed Hyperlink" xfId="3880" builtinId="9" hidden="1"/>
    <cellStyle name="Followed Hyperlink" xfId="3882" builtinId="9" hidden="1"/>
    <cellStyle name="Followed Hyperlink" xfId="3884" builtinId="9" hidden="1"/>
    <cellStyle name="Followed Hyperlink" xfId="3886" builtinId="9" hidden="1"/>
    <cellStyle name="Followed Hyperlink" xfId="3888" builtinId="9" hidden="1"/>
    <cellStyle name="Followed Hyperlink" xfId="3890" builtinId="9" hidden="1"/>
    <cellStyle name="Followed Hyperlink" xfId="3892" builtinId="9" hidden="1"/>
    <cellStyle name="Followed Hyperlink" xfId="3894" builtinId="9" hidden="1"/>
    <cellStyle name="Followed Hyperlink" xfId="3896" builtinId="9" hidden="1"/>
    <cellStyle name="Followed Hyperlink" xfId="3898" builtinId="9" hidden="1"/>
    <cellStyle name="Followed Hyperlink" xfId="3900" builtinId="9" hidden="1"/>
    <cellStyle name="Followed Hyperlink" xfId="3902" builtinId="9" hidden="1"/>
    <cellStyle name="Followed Hyperlink" xfId="3904" builtinId="9" hidden="1"/>
    <cellStyle name="Followed Hyperlink" xfId="3906" builtinId="9" hidden="1"/>
    <cellStyle name="Followed Hyperlink" xfId="3908" builtinId="9" hidden="1"/>
    <cellStyle name="Followed Hyperlink" xfId="3910" builtinId="9" hidden="1"/>
    <cellStyle name="Followed Hyperlink" xfId="3912" builtinId="9" hidden="1"/>
    <cellStyle name="Followed Hyperlink" xfId="3914" builtinId="9" hidden="1"/>
    <cellStyle name="Followed Hyperlink" xfId="3916" builtinId="9" hidden="1"/>
    <cellStyle name="Followed Hyperlink" xfId="3918" builtinId="9" hidden="1"/>
    <cellStyle name="Followed Hyperlink" xfId="3920" builtinId="9" hidden="1"/>
    <cellStyle name="Followed Hyperlink" xfId="3922" builtinId="9" hidden="1"/>
    <cellStyle name="Followed Hyperlink" xfId="3924" builtinId="9" hidden="1"/>
    <cellStyle name="Followed Hyperlink" xfId="3926" builtinId="9" hidden="1"/>
    <cellStyle name="Followed Hyperlink" xfId="3928" builtinId="9" hidden="1"/>
    <cellStyle name="Followed Hyperlink" xfId="3930" builtinId="9" hidden="1"/>
    <cellStyle name="Followed Hyperlink" xfId="3932" builtinId="9" hidden="1"/>
    <cellStyle name="Followed Hyperlink" xfId="3934" builtinId="9" hidden="1"/>
    <cellStyle name="Followed Hyperlink" xfId="3936" builtinId="9" hidden="1"/>
    <cellStyle name="Followed Hyperlink" xfId="3938" builtinId="9" hidden="1"/>
    <cellStyle name="Followed Hyperlink" xfId="3940" builtinId="9" hidden="1"/>
    <cellStyle name="Followed Hyperlink" xfId="3942" builtinId="9" hidden="1"/>
    <cellStyle name="Followed Hyperlink" xfId="3944" builtinId="9" hidden="1"/>
    <cellStyle name="Followed Hyperlink" xfId="3946" builtinId="9" hidden="1"/>
    <cellStyle name="Followed Hyperlink" xfId="3948" builtinId="9" hidden="1"/>
    <cellStyle name="Followed Hyperlink" xfId="3950" builtinId="9" hidden="1"/>
    <cellStyle name="Followed Hyperlink" xfId="3952" builtinId="9" hidden="1"/>
    <cellStyle name="Followed Hyperlink" xfId="3954" builtinId="9" hidden="1"/>
    <cellStyle name="Followed Hyperlink" xfId="3956" builtinId="9" hidden="1"/>
    <cellStyle name="Followed Hyperlink" xfId="3958" builtinId="9" hidden="1"/>
    <cellStyle name="Followed Hyperlink" xfId="3960" builtinId="9" hidden="1"/>
    <cellStyle name="Followed Hyperlink" xfId="3962" builtinId="9" hidden="1"/>
    <cellStyle name="Followed Hyperlink" xfId="3964" builtinId="9" hidden="1"/>
    <cellStyle name="Followed Hyperlink" xfId="3966" builtinId="9" hidden="1"/>
    <cellStyle name="Followed Hyperlink" xfId="3968" builtinId="9" hidden="1"/>
    <cellStyle name="Followed Hyperlink" xfId="3970" builtinId="9" hidden="1"/>
    <cellStyle name="Followed Hyperlink" xfId="3972" builtinId="9" hidden="1"/>
    <cellStyle name="Followed Hyperlink" xfId="3974" builtinId="9" hidden="1"/>
    <cellStyle name="Followed Hyperlink" xfId="3976" builtinId="9" hidden="1"/>
    <cellStyle name="Followed Hyperlink" xfId="3978" builtinId="9" hidden="1"/>
    <cellStyle name="Followed Hyperlink" xfId="3980" builtinId="9" hidden="1"/>
    <cellStyle name="Followed Hyperlink" xfId="3982" builtinId="9" hidden="1"/>
    <cellStyle name="Followed Hyperlink" xfId="3984" builtinId="9" hidden="1"/>
    <cellStyle name="Followed Hyperlink" xfId="3986" builtinId="9" hidden="1"/>
    <cellStyle name="Followed Hyperlink" xfId="3988" builtinId="9" hidden="1"/>
    <cellStyle name="Followed Hyperlink" xfId="3990" builtinId="9" hidden="1"/>
    <cellStyle name="Followed Hyperlink" xfId="3992" builtinId="9" hidden="1"/>
    <cellStyle name="Followed Hyperlink" xfId="3994" builtinId="9" hidden="1"/>
    <cellStyle name="Followed Hyperlink" xfId="3996" builtinId="9" hidden="1"/>
    <cellStyle name="Followed Hyperlink" xfId="3998" builtinId="9" hidden="1"/>
    <cellStyle name="Followed Hyperlink" xfId="4000" builtinId="9" hidden="1"/>
    <cellStyle name="Followed Hyperlink" xfId="4002" builtinId="9" hidden="1"/>
    <cellStyle name="Followed Hyperlink" xfId="4004" builtinId="9" hidden="1"/>
    <cellStyle name="Followed Hyperlink" xfId="4006" builtinId="9" hidden="1"/>
    <cellStyle name="Followed Hyperlink" xfId="4008" builtinId="9" hidden="1"/>
    <cellStyle name="Followed Hyperlink" xfId="4010" builtinId="9" hidden="1"/>
    <cellStyle name="Followed Hyperlink" xfId="4012" builtinId="9" hidden="1"/>
    <cellStyle name="Followed Hyperlink" xfId="4014" builtinId="9" hidden="1"/>
    <cellStyle name="Followed Hyperlink" xfId="4016" builtinId="9" hidden="1"/>
    <cellStyle name="Followed Hyperlink" xfId="4018" builtinId="9" hidden="1"/>
    <cellStyle name="Followed Hyperlink" xfId="4020" builtinId="9" hidden="1"/>
    <cellStyle name="Followed Hyperlink" xfId="4022" builtinId="9" hidden="1"/>
    <cellStyle name="Followed Hyperlink" xfId="4024" builtinId="9" hidden="1"/>
    <cellStyle name="Followed Hyperlink" xfId="4026" builtinId="9" hidden="1"/>
    <cellStyle name="Followed Hyperlink" xfId="4028" builtinId="9" hidden="1"/>
    <cellStyle name="Followed Hyperlink" xfId="4030" builtinId="9" hidden="1"/>
    <cellStyle name="Followed Hyperlink" xfId="4032" builtinId="9" hidden="1"/>
    <cellStyle name="Followed Hyperlink" xfId="4034" builtinId="9" hidden="1"/>
    <cellStyle name="Followed Hyperlink" xfId="4036" builtinId="9" hidden="1"/>
    <cellStyle name="Followed Hyperlink" xfId="4038" builtinId="9" hidden="1"/>
    <cellStyle name="Followed Hyperlink" xfId="4040" builtinId="9" hidden="1"/>
    <cellStyle name="Followed Hyperlink" xfId="4042" builtinId="9" hidden="1"/>
    <cellStyle name="Followed Hyperlink" xfId="4044" builtinId="9" hidden="1"/>
    <cellStyle name="Followed Hyperlink" xfId="4046" builtinId="9" hidden="1"/>
    <cellStyle name="Followed Hyperlink" xfId="4048" builtinId="9" hidden="1"/>
    <cellStyle name="Followed Hyperlink" xfId="4050" builtinId="9" hidden="1"/>
    <cellStyle name="Followed Hyperlink" xfId="4052" builtinId="9" hidden="1"/>
    <cellStyle name="Followed Hyperlink" xfId="4054" builtinId="9" hidden="1"/>
    <cellStyle name="Followed Hyperlink" xfId="4056" builtinId="9" hidden="1"/>
    <cellStyle name="Followed Hyperlink" xfId="4058" builtinId="9" hidden="1"/>
    <cellStyle name="Followed Hyperlink" xfId="4060" builtinId="9" hidden="1"/>
    <cellStyle name="Followed Hyperlink" xfId="4062" builtinId="9" hidden="1"/>
    <cellStyle name="Followed Hyperlink" xfId="4064" builtinId="9" hidden="1"/>
    <cellStyle name="Followed Hyperlink" xfId="4066" builtinId="9" hidden="1"/>
    <cellStyle name="Followed Hyperlink" xfId="4068" builtinId="9" hidden="1"/>
    <cellStyle name="Followed Hyperlink" xfId="4070" builtinId="9" hidden="1"/>
    <cellStyle name="Followed Hyperlink" xfId="4072" builtinId="9" hidden="1"/>
    <cellStyle name="Followed Hyperlink" xfId="4074" builtinId="9" hidden="1"/>
    <cellStyle name="Followed Hyperlink" xfId="4076" builtinId="9" hidden="1"/>
    <cellStyle name="Followed Hyperlink" xfId="4078" builtinId="9" hidden="1"/>
    <cellStyle name="Followed Hyperlink" xfId="4080" builtinId="9" hidden="1"/>
    <cellStyle name="Followed Hyperlink" xfId="4082" builtinId="9" hidden="1"/>
    <cellStyle name="Followed Hyperlink" xfId="4084" builtinId="9" hidden="1"/>
    <cellStyle name="Followed Hyperlink" xfId="4086" builtinId="9" hidden="1"/>
    <cellStyle name="Followed Hyperlink" xfId="4088" builtinId="9" hidden="1"/>
    <cellStyle name="Followed Hyperlink" xfId="4090" builtinId="9" hidden="1"/>
    <cellStyle name="Followed Hyperlink" xfId="4092" builtinId="9" hidden="1"/>
    <cellStyle name="Followed Hyperlink" xfId="4094" builtinId="9" hidden="1"/>
    <cellStyle name="Followed Hyperlink" xfId="4096" builtinId="9" hidden="1"/>
    <cellStyle name="Followed Hyperlink" xfId="4098" builtinId="9" hidden="1"/>
    <cellStyle name="Followed Hyperlink" xfId="4100" builtinId="9" hidden="1"/>
    <cellStyle name="Followed Hyperlink" xfId="4102" builtinId="9" hidden="1"/>
    <cellStyle name="Followed Hyperlink" xfId="4104" builtinId="9" hidden="1"/>
    <cellStyle name="Followed Hyperlink" xfId="4106" builtinId="9" hidden="1"/>
    <cellStyle name="Followed Hyperlink" xfId="4108" builtinId="9" hidden="1"/>
    <cellStyle name="Followed Hyperlink" xfId="4110" builtinId="9" hidden="1"/>
    <cellStyle name="Followed Hyperlink" xfId="4112" builtinId="9" hidden="1"/>
    <cellStyle name="Followed Hyperlink" xfId="4114" builtinId="9" hidden="1"/>
    <cellStyle name="Followed Hyperlink" xfId="4116" builtinId="9" hidden="1"/>
    <cellStyle name="Followed Hyperlink" xfId="4118" builtinId="9" hidden="1"/>
    <cellStyle name="Followed Hyperlink" xfId="4120" builtinId="9" hidden="1"/>
    <cellStyle name="Followed Hyperlink" xfId="4122" builtinId="9" hidden="1"/>
    <cellStyle name="Followed Hyperlink" xfId="4124" builtinId="9" hidden="1"/>
    <cellStyle name="Followed Hyperlink" xfId="4126" builtinId="9" hidden="1"/>
    <cellStyle name="Followed Hyperlink" xfId="4128" builtinId="9" hidden="1"/>
    <cellStyle name="Followed Hyperlink" xfId="4130" builtinId="9" hidden="1"/>
    <cellStyle name="Followed Hyperlink" xfId="4132" builtinId="9" hidden="1"/>
    <cellStyle name="Followed Hyperlink" xfId="4134" builtinId="9" hidden="1"/>
    <cellStyle name="Followed Hyperlink" xfId="4136" builtinId="9" hidden="1"/>
    <cellStyle name="Followed Hyperlink" xfId="4138" builtinId="9" hidden="1"/>
    <cellStyle name="Followed Hyperlink" xfId="4140" builtinId="9" hidden="1"/>
    <cellStyle name="Followed Hyperlink" xfId="4142" builtinId="9" hidden="1"/>
    <cellStyle name="Followed Hyperlink" xfId="4144" builtinId="9" hidden="1"/>
    <cellStyle name="Followed Hyperlink" xfId="4146" builtinId="9" hidden="1"/>
    <cellStyle name="Followed Hyperlink" xfId="4148" builtinId="9" hidden="1"/>
    <cellStyle name="Followed Hyperlink" xfId="4150" builtinId="9" hidden="1"/>
    <cellStyle name="Followed Hyperlink" xfId="4152" builtinId="9" hidden="1"/>
    <cellStyle name="Followed Hyperlink" xfId="4154" builtinId="9" hidden="1"/>
    <cellStyle name="Followed Hyperlink" xfId="4156" builtinId="9" hidden="1"/>
    <cellStyle name="Followed Hyperlink" xfId="4158" builtinId="9" hidden="1"/>
    <cellStyle name="Followed Hyperlink" xfId="4160" builtinId="9" hidden="1"/>
    <cellStyle name="Followed Hyperlink" xfId="4162" builtinId="9" hidden="1"/>
    <cellStyle name="Followed Hyperlink" xfId="4164" builtinId="9" hidden="1"/>
    <cellStyle name="Followed Hyperlink" xfId="4166" builtinId="9" hidden="1"/>
    <cellStyle name="Followed Hyperlink" xfId="4168" builtinId="9" hidden="1"/>
    <cellStyle name="Followed Hyperlink" xfId="4170" builtinId="9" hidden="1"/>
    <cellStyle name="Followed Hyperlink" xfId="4172" builtinId="9" hidden="1"/>
    <cellStyle name="Followed Hyperlink" xfId="4174" builtinId="9" hidden="1"/>
    <cellStyle name="Followed Hyperlink" xfId="4176" builtinId="9" hidden="1"/>
    <cellStyle name="Followed Hyperlink" xfId="4178" builtinId="9" hidden="1"/>
    <cellStyle name="Followed Hyperlink" xfId="4180" builtinId="9" hidden="1"/>
    <cellStyle name="Followed Hyperlink" xfId="4182" builtinId="9" hidden="1"/>
    <cellStyle name="Followed Hyperlink" xfId="4184" builtinId="9" hidden="1"/>
    <cellStyle name="Followed Hyperlink" xfId="4186" builtinId="9" hidden="1"/>
    <cellStyle name="Followed Hyperlink" xfId="4188" builtinId="9" hidden="1"/>
    <cellStyle name="Followed Hyperlink" xfId="4190" builtinId="9" hidden="1"/>
    <cellStyle name="Followed Hyperlink" xfId="4192" builtinId="9" hidden="1"/>
    <cellStyle name="Followed Hyperlink" xfId="4194" builtinId="9" hidden="1"/>
    <cellStyle name="Followed Hyperlink" xfId="4196" builtinId="9" hidden="1"/>
    <cellStyle name="Followed Hyperlink" xfId="4198" builtinId="9" hidden="1"/>
    <cellStyle name="Followed Hyperlink" xfId="4200" builtinId="9" hidden="1"/>
    <cellStyle name="Followed Hyperlink" xfId="4202" builtinId="9" hidden="1"/>
    <cellStyle name="Followed Hyperlink" xfId="4204" builtinId="9" hidden="1"/>
    <cellStyle name="Followed Hyperlink" xfId="4206" builtinId="9" hidden="1"/>
    <cellStyle name="Followed Hyperlink" xfId="4208" builtinId="9" hidden="1"/>
    <cellStyle name="Followed Hyperlink" xfId="4210" builtinId="9" hidden="1"/>
    <cellStyle name="Followed Hyperlink" xfId="4212" builtinId="9" hidden="1"/>
    <cellStyle name="Followed Hyperlink" xfId="4214" builtinId="9" hidden="1"/>
    <cellStyle name="Followed Hyperlink" xfId="4216" builtinId="9" hidden="1"/>
    <cellStyle name="Followed Hyperlink" xfId="4218" builtinId="9" hidden="1"/>
    <cellStyle name="Followed Hyperlink" xfId="4220" builtinId="9" hidden="1"/>
    <cellStyle name="Followed Hyperlink" xfId="4222" builtinId="9" hidden="1"/>
    <cellStyle name="Followed Hyperlink" xfId="4224" builtinId="9" hidden="1"/>
    <cellStyle name="Followed Hyperlink" xfId="4226" builtinId="9" hidden="1"/>
    <cellStyle name="Followed Hyperlink" xfId="4228" builtinId="9" hidden="1"/>
    <cellStyle name="Followed Hyperlink" xfId="4230" builtinId="9" hidden="1"/>
    <cellStyle name="Followed Hyperlink" xfId="4232" builtinId="9" hidden="1"/>
    <cellStyle name="Followed Hyperlink" xfId="4234" builtinId="9" hidden="1"/>
    <cellStyle name="Followed Hyperlink" xfId="4236" builtinId="9" hidden="1"/>
    <cellStyle name="Followed Hyperlink" xfId="4238" builtinId="9" hidden="1"/>
    <cellStyle name="Followed Hyperlink" xfId="4240" builtinId="9" hidden="1"/>
    <cellStyle name="Followed Hyperlink" xfId="4242" builtinId="9" hidden="1"/>
    <cellStyle name="Followed Hyperlink" xfId="4244" builtinId="9" hidden="1"/>
    <cellStyle name="Followed Hyperlink" xfId="4246" builtinId="9" hidden="1"/>
    <cellStyle name="Followed Hyperlink" xfId="4248" builtinId="9" hidden="1"/>
    <cellStyle name="Followed Hyperlink" xfId="4250" builtinId="9" hidden="1"/>
    <cellStyle name="Followed Hyperlink" xfId="4252" builtinId="9" hidden="1"/>
    <cellStyle name="Followed Hyperlink" xfId="4254" builtinId="9" hidden="1"/>
    <cellStyle name="Followed Hyperlink" xfId="4256" builtinId="9" hidden="1"/>
    <cellStyle name="Followed Hyperlink" xfId="4258" builtinId="9" hidden="1"/>
    <cellStyle name="Followed Hyperlink" xfId="4260" builtinId="9" hidden="1"/>
    <cellStyle name="Followed Hyperlink" xfId="4262" builtinId="9" hidden="1"/>
    <cellStyle name="Followed Hyperlink" xfId="4264" builtinId="9" hidden="1"/>
    <cellStyle name="Followed Hyperlink" xfId="4266" builtinId="9" hidden="1"/>
    <cellStyle name="Followed Hyperlink" xfId="4268" builtinId="9" hidden="1"/>
    <cellStyle name="Followed Hyperlink" xfId="4270" builtinId="9" hidden="1"/>
    <cellStyle name="Followed Hyperlink" xfId="4272" builtinId="9" hidden="1"/>
    <cellStyle name="Followed Hyperlink" xfId="4274" builtinId="9" hidden="1"/>
    <cellStyle name="Followed Hyperlink" xfId="4276" builtinId="9" hidden="1"/>
    <cellStyle name="Followed Hyperlink" xfId="4278" builtinId="9" hidden="1"/>
    <cellStyle name="Followed Hyperlink" xfId="4280" builtinId="9" hidden="1"/>
    <cellStyle name="Followed Hyperlink" xfId="4282" builtinId="9" hidden="1"/>
    <cellStyle name="Followed Hyperlink" xfId="4284" builtinId="9" hidden="1"/>
    <cellStyle name="Followed Hyperlink" xfId="4286" builtinId="9" hidden="1"/>
    <cellStyle name="Followed Hyperlink" xfId="4288" builtinId="9" hidden="1"/>
    <cellStyle name="Followed Hyperlink" xfId="4290" builtinId="9" hidden="1"/>
    <cellStyle name="Followed Hyperlink" xfId="4292" builtinId="9" hidden="1"/>
    <cellStyle name="Followed Hyperlink" xfId="4294" builtinId="9" hidden="1"/>
    <cellStyle name="Followed Hyperlink" xfId="4296" builtinId="9" hidden="1"/>
    <cellStyle name="Followed Hyperlink" xfId="4298" builtinId="9" hidden="1"/>
    <cellStyle name="Followed Hyperlink" xfId="4300" builtinId="9" hidden="1"/>
    <cellStyle name="Followed Hyperlink" xfId="4302" builtinId="9" hidden="1"/>
    <cellStyle name="Followed Hyperlink" xfId="4304" builtinId="9" hidden="1"/>
    <cellStyle name="Followed Hyperlink" xfId="4306" builtinId="9" hidden="1"/>
    <cellStyle name="Followed Hyperlink" xfId="4308" builtinId="9" hidden="1"/>
    <cellStyle name="Followed Hyperlink" xfId="4310" builtinId="9" hidden="1"/>
    <cellStyle name="Followed Hyperlink" xfId="4312" builtinId="9" hidden="1"/>
    <cellStyle name="Followed Hyperlink" xfId="4314" builtinId="9" hidden="1"/>
    <cellStyle name="Followed Hyperlink" xfId="4316" builtinId="9" hidden="1"/>
    <cellStyle name="Followed Hyperlink" xfId="4318" builtinId="9" hidden="1"/>
    <cellStyle name="Followed Hyperlink" xfId="4320" builtinId="9" hidden="1"/>
    <cellStyle name="Followed Hyperlink" xfId="4322" builtinId="9" hidden="1"/>
    <cellStyle name="Followed Hyperlink" xfId="4324" builtinId="9" hidden="1"/>
    <cellStyle name="Followed Hyperlink" xfId="4326" builtinId="9" hidden="1"/>
    <cellStyle name="Followed Hyperlink" xfId="4328" builtinId="9" hidden="1"/>
    <cellStyle name="Followed Hyperlink" xfId="4330" builtinId="9" hidden="1"/>
    <cellStyle name="Followed Hyperlink" xfId="4332" builtinId="9" hidden="1"/>
    <cellStyle name="Followed Hyperlink" xfId="4334" builtinId="9" hidden="1"/>
    <cellStyle name="Followed Hyperlink" xfId="4336" builtinId="9" hidden="1"/>
    <cellStyle name="Followed Hyperlink" xfId="4338" builtinId="9" hidden="1"/>
    <cellStyle name="Followed Hyperlink" xfId="4340" builtinId="9" hidden="1"/>
    <cellStyle name="Followed Hyperlink" xfId="4342" builtinId="9" hidden="1"/>
    <cellStyle name="Followed Hyperlink" xfId="4344" builtinId="9" hidden="1"/>
    <cellStyle name="Followed Hyperlink" xfId="4346" builtinId="9" hidden="1"/>
    <cellStyle name="Followed Hyperlink" xfId="4348" builtinId="9" hidden="1"/>
    <cellStyle name="Followed Hyperlink" xfId="4350" builtinId="9" hidden="1"/>
    <cellStyle name="Followed Hyperlink" xfId="4352" builtinId="9" hidden="1"/>
    <cellStyle name="Followed Hyperlink" xfId="4354" builtinId="9" hidden="1"/>
    <cellStyle name="Followed Hyperlink" xfId="4356" builtinId="9" hidden="1"/>
    <cellStyle name="Followed Hyperlink" xfId="4358" builtinId="9" hidden="1"/>
    <cellStyle name="Followed Hyperlink" xfId="4360" builtinId="9" hidden="1"/>
    <cellStyle name="Followed Hyperlink" xfId="4362" builtinId="9" hidden="1"/>
    <cellStyle name="Followed Hyperlink" xfId="4364" builtinId="9" hidden="1"/>
    <cellStyle name="Followed Hyperlink" xfId="4366" builtinId="9" hidden="1"/>
    <cellStyle name="Followed Hyperlink" xfId="4368" builtinId="9" hidden="1"/>
    <cellStyle name="Followed Hyperlink" xfId="4370" builtinId="9" hidden="1"/>
    <cellStyle name="Followed Hyperlink" xfId="4372" builtinId="9" hidden="1"/>
    <cellStyle name="Followed Hyperlink" xfId="4374" builtinId="9" hidden="1"/>
    <cellStyle name="Followed Hyperlink" xfId="4376" builtinId="9" hidden="1"/>
    <cellStyle name="Followed Hyperlink" xfId="4378" builtinId="9" hidden="1"/>
    <cellStyle name="Followed Hyperlink" xfId="4380" builtinId="9" hidden="1"/>
    <cellStyle name="Followed Hyperlink" xfId="4382" builtinId="9" hidden="1"/>
    <cellStyle name="Followed Hyperlink" xfId="4384" builtinId="9" hidden="1"/>
    <cellStyle name="Followed Hyperlink" xfId="4386" builtinId="9" hidden="1"/>
    <cellStyle name="Followed Hyperlink" xfId="4388" builtinId="9" hidden="1"/>
    <cellStyle name="Followed Hyperlink" xfId="4390" builtinId="9" hidden="1"/>
    <cellStyle name="Followed Hyperlink" xfId="4392" builtinId="9" hidden="1"/>
    <cellStyle name="Followed Hyperlink" xfId="4394" builtinId="9" hidden="1"/>
    <cellStyle name="Followed Hyperlink" xfId="4396" builtinId="9" hidden="1"/>
    <cellStyle name="Followed Hyperlink" xfId="4398" builtinId="9" hidden="1"/>
    <cellStyle name="Followed Hyperlink" xfId="4400" builtinId="9" hidden="1"/>
    <cellStyle name="Followed Hyperlink" xfId="4402" builtinId="9" hidden="1"/>
    <cellStyle name="Followed Hyperlink" xfId="4404" builtinId="9" hidden="1"/>
    <cellStyle name="Followed Hyperlink" xfId="4406" builtinId="9" hidden="1"/>
    <cellStyle name="Followed Hyperlink" xfId="4408" builtinId="9" hidden="1"/>
    <cellStyle name="Followed Hyperlink" xfId="4410" builtinId="9" hidden="1"/>
    <cellStyle name="Followed Hyperlink" xfId="4412" builtinId="9" hidden="1"/>
    <cellStyle name="Followed Hyperlink" xfId="4414" builtinId="9" hidden="1"/>
    <cellStyle name="Followed Hyperlink" xfId="4416" builtinId="9" hidden="1"/>
    <cellStyle name="Followed Hyperlink" xfId="4418" builtinId="9" hidden="1"/>
    <cellStyle name="Followed Hyperlink" xfId="4420" builtinId="9" hidden="1"/>
    <cellStyle name="Followed Hyperlink" xfId="4422" builtinId="9" hidden="1"/>
    <cellStyle name="Followed Hyperlink" xfId="4424" builtinId="9" hidden="1"/>
    <cellStyle name="Followed Hyperlink" xfId="4426" builtinId="9" hidden="1"/>
    <cellStyle name="Followed Hyperlink" xfId="4428" builtinId="9" hidden="1"/>
    <cellStyle name="Followed Hyperlink" xfId="4430" builtinId="9" hidden="1"/>
    <cellStyle name="Followed Hyperlink" xfId="4432" builtinId="9" hidden="1"/>
    <cellStyle name="Followed Hyperlink" xfId="4434" builtinId="9" hidden="1"/>
    <cellStyle name="Followed Hyperlink" xfId="4436" builtinId="9" hidden="1"/>
    <cellStyle name="Followed Hyperlink" xfId="4438" builtinId="9" hidden="1"/>
    <cellStyle name="Followed Hyperlink" xfId="4440" builtinId="9" hidden="1"/>
    <cellStyle name="Followed Hyperlink" xfId="4442" builtinId="9" hidden="1"/>
    <cellStyle name="Followed Hyperlink" xfId="4444" builtinId="9" hidden="1"/>
    <cellStyle name="Followed Hyperlink" xfId="4446" builtinId="9" hidden="1"/>
    <cellStyle name="Followed Hyperlink" xfId="4448" builtinId="9" hidden="1"/>
    <cellStyle name="Followed Hyperlink" xfId="4450" builtinId="9" hidden="1"/>
    <cellStyle name="Followed Hyperlink" xfId="4452" builtinId="9" hidden="1"/>
    <cellStyle name="Followed Hyperlink" xfId="4454" builtinId="9" hidden="1"/>
    <cellStyle name="Followed Hyperlink" xfId="4456" builtinId="9" hidden="1"/>
    <cellStyle name="Followed Hyperlink" xfId="4458" builtinId="9" hidden="1"/>
    <cellStyle name="Followed Hyperlink" xfId="4460" builtinId="9" hidden="1"/>
    <cellStyle name="Followed Hyperlink" xfId="4462" builtinId="9" hidden="1"/>
    <cellStyle name="Followed Hyperlink" xfId="4464" builtinId="9" hidden="1"/>
    <cellStyle name="Followed Hyperlink" xfId="4466" builtinId="9" hidden="1"/>
    <cellStyle name="Followed Hyperlink" xfId="4468" builtinId="9" hidden="1"/>
    <cellStyle name="Followed Hyperlink" xfId="4470" builtinId="9" hidden="1"/>
    <cellStyle name="Followed Hyperlink" xfId="4472" builtinId="9" hidden="1"/>
    <cellStyle name="Followed Hyperlink" xfId="4474" builtinId="9" hidden="1"/>
    <cellStyle name="Followed Hyperlink" xfId="4476" builtinId="9" hidden="1"/>
    <cellStyle name="Followed Hyperlink" xfId="4478" builtinId="9" hidden="1"/>
    <cellStyle name="Followed Hyperlink" xfId="4480" builtinId="9" hidden="1"/>
    <cellStyle name="Followed Hyperlink" xfId="4482" builtinId="9" hidden="1"/>
    <cellStyle name="Followed Hyperlink" xfId="4484" builtinId="9" hidden="1"/>
    <cellStyle name="Followed Hyperlink" xfId="4486" builtinId="9" hidden="1"/>
    <cellStyle name="Followed Hyperlink" xfId="4488" builtinId="9" hidden="1"/>
    <cellStyle name="Followed Hyperlink" xfId="4490" builtinId="9" hidden="1"/>
    <cellStyle name="Followed Hyperlink" xfId="4492" builtinId="9" hidden="1"/>
    <cellStyle name="Followed Hyperlink" xfId="4494" builtinId="9" hidden="1"/>
    <cellStyle name="Followed Hyperlink" xfId="4496" builtinId="9" hidden="1"/>
    <cellStyle name="Followed Hyperlink" xfId="4498" builtinId="9" hidden="1"/>
    <cellStyle name="Followed Hyperlink" xfId="4500" builtinId="9" hidden="1"/>
    <cellStyle name="Followed Hyperlink" xfId="4502" builtinId="9" hidden="1"/>
    <cellStyle name="Followed Hyperlink" xfId="4504" builtinId="9" hidden="1"/>
    <cellStyle name="Followed Hyperlink" xfId="4506" builtinId="9" hidden="1"/>
    <cellStyle name="Followed Hyperlink" xfId="4508" builtinId="9" hidden="1"/>
    <cellStyle name="Followed Hyperlink" xfId="4510" builtinId="9" hidden="1"/>
    <cellStyle name="Followed Hyperlink" xfId="4512" builtinId="9" hidden="1"/>
    <cellStyle name="Followed Hyperlink" xfId="4514" builtinId="9" hidden="1"/>
    <cellStyle name="Followed Hyperlink" xfId="4516" builtinId="9" hidden="1"/>
    <cellStyle name="Followed Hyperlink" xfId="4518" builtinId="9" hidden="1"/>
    <cellStyle name="Followed Hyperlink" xfId="4520" builtinId="9" hidden="1"/>
    <cellStyle name="Followed Hyperlink" xfId="4522" builtinId="9" hidden="1"/>
    <cellStyle name="Followed Hyperlink" xfId="4524" builtinId="9" hidden="1"/>
    <cellStyle name="Followed Hyperlink" xfId="4526" builtinId="9" hidden="1"/>
    <cellStyle name="Followed Hyperlink" xfId="4528" builtinId="9" hidden="1"/>
    <cellStyle name="Followed Hyperlink" xfId="4530" builtinId="9" hidden="1"/>
    <cellStyle name="Followed Hyperlink" xfId="4532" builtinId="9" hidden="1"/>
    <cellStyle name="Followed Hyperlink" xfId="4534" builtinId="9" hidden="1"/>
    <cellStyle name="Followed Hyperlink" xfId="4536" builtinId="9" hidden="1"/>
    <cellStyle name="Followed Hyperlink" xfId="4538" builtinId="9" hidden="1"/>
    <cellStyle name="Followed Hyperlink" xfId="4540" builtinId="9" hidden="1"/>
    <cellStyle name="Followed Hyperlink" xfId="4542" builtinId="9" hidden="1"/>
    <cellStyle name="Followed Hyperlink" xfId="4544" builtinId="9" hidden="1"/>
    <cellStyle name="Followed Hyperlink" xfId="4546" builtinId="9" hidden="1"/>
    <cellStyle name="Followed Hyperlink" xfId="4548" builtinId="9" hidden="1"/>
    <cellStyle name="Followed Hyperlink" xfId="4550" builtinId="9" hidden="1"/>
    <cellStyle name="Followed Hyperlink" xfId="4552" builtinId="9" hidden="1"/>
    <cellStyle name="Followed Hyperlink" xfId="4554" builtinId="9" hidden="1"/>
    <cellStyle name="Followed Hyperlink" xfId="4556" builtinId="9" hidden="1"/>
    <cellStyle name="Followed Hyperlink" xfId="4558" builtinId="9" hidden="1"/>
    <cellStyle name="Followed Hyperlink" xfId="4560" builtinId="9" hidden="1"/>
    <cellStyle name="Followed Hyperlink" xfId="4562" builtinId="9" hidden="1"/>
    <cellStyle name="Followed Hyperlink" xfId="4564" builtinId="9" hidden="1"/>
    <cellStyle name="Followed Hyperlink" xfId="4566" builtinId="9" hidden="1"/>
    <cellStyle name="Followed Hyperlink" xfId="4568" builtinId="9" hidden="1"/>
    <cellStyle name="Followed Hyperlink" xfId="4570" builtinId="9" hidden="1"/>
    <cellStyle name="Followed Hyperlink" xfId="4572" builtinId="9" hidden="1"/>
    <cellStyle name="Followed Hyperlink" xfId="4574" builtinId="9" hidden="1"/>
    <cellStyle name="Followed Hyperlink" xfId="4576" builtinId="9" hidden="1"/>
    <cellStyle name="Followed Hyperlink" xfId="4578" builtinId="9" hidden="1"/>
    <cellStyle name="Followed Hyperlink" xfId="4580" builtinId="9" hidden="1"/>
    <cellStyle name="Followed Hyperlink" xfId="4582" builtinId="9" hidden="1"/>
    <cellStyle name="Followed Hyperlink" xfId="4584" builtinId="9" hidden="1"/>
    <cellStyle name="Followed Hyperlink" xfId="4586" builtinId="9" hidden="1"/>
    <cellStyle name="Followed Hyperlink" xfId="4588" builtinId="9" hidden="1"/>
    <cellStyle name="Followed Hyperlink" xfId="4590" builtinId="9" hidden="1"/>
    <cellStyle name="Followed Hyperlink" xfId="4592" builtinId="9" hidden="1"/>
    <cellStyle name="Followed Hyperlink" xfId="4594" builtinId="9" hidden="1"/>
    <cellStyle name="Followed Hyperlink" xfId="4596" builtinId="9" hidden="1"/>
    <cellStyle name="Followed Hyperlink" xfId="4598" builtinId="9" hidden="1"/>
    <cellStyle name="Followed Hyperlink" xfId="4600" builtinId="9" hidden="1"/>
    <cellStyle name="Followed Hyperlink" xfId="4602" builtinId="9" hidden="1"/>
    <cellStyle name="Followed Hyperlink" xfId="4604" builtinId="9" hidden="1"/>
    <cellStyle name="Followed Hyperlink" xfId="4606" builtinId="9" hidden="1"/>
    <cellStyle name="Followed Hyperlink" xfId="4608" builtinId="9" hidden="1"/>
    <cellStyle name="Followed Hyperlink" xfId="4610" builtinId="9" hidden="1"/>
    <cellStyle name="Followed Hyperlink" xfId="4612" builtinId="9" hidden="1"/>
    <cellStyle name="Followed Hyperlink" xfId="4614" builtinId="9" hidden="1"/>
    <cellStyle name="Followed Hyperlink" xfId="4616" builtinId="9" hidden="1"/>
    <cellStyle name="Followed Hyperlink" xfId="4618" builtinId="9" hidden="1"/>
    <cellStyle name="Followed Hyperlink" xfId="4620" builtinId="9" hidden="1"/>
    <cellStyle name="Followed Hyperlink" xfId="4622" builtinId="9" hidden="1"/>
    <cellStyle name="Followed Hyperlink" xfId="4624" builtinId="9" hidden="1"/>
    <cellStyle name="Followed Hyperlink" xfId="4626" builtinId="9" hidden="1"/>
    <cellStyle name="Followed Hyperlink" xfId="4628" builtinId="9" hidden="1"/>
    <cellStyle name="Followed Hyperlink" xfId="4630" builtinId="9" hidden="1"/>
    <cellStyle name="Followed Hyperlink" xfId="4632" builtinId="9" hidden="1"/>
    <cellStyle name="Followed Hyperlink" xfId="4634" builtinId="9" hidden="1"/>
    <cellStyle name="Followed Hyperlink" xfId="4636" builtinId="9" hidden="1"/>
    <cellStyle name="Followed Hyperlink" xfId="4638" builtinId="9" hidden="1"/>
    <cellStyle name="Followed Hyperlink" xfId="4640" builtinId="9" hidden="1"/>
    <cellStyle name="Followed Hyperlink" xfId="4642" builtinId="9" hidden="1"/>
    <cellStyle name="Followed Hyperlink" xfId="4644" builtinId="9" hidden="1"/>
    <cellStyle name="Followed Hyperlink" xfId="4646" builtinId="9" hidden="1"/>
    <cellStyle name="Followed Hyperlink" xfId="4648" builtinId="9" hidden="1"/>
    <cellStyle name="Followed Hyperlink" xfId="4650" builtinId="9" hidden="1"/>
    <cellStyle name="Followed Hyperlink" xfId="4652" builtinId="9" hidden="1"/>
    <cellStyle name="Followed Hyperlink" xfId="4654" builtinId="9" hidden="1"/>
    <cellStyle name="Followed Hyperlink" xfId="4656" builtinId="9" hidden="1"/>
    <cellStyle name="Followed Hyperlink" xfId="4658" builtinId="9" hidden="1"/>
    <cellStyle name="Followed Hyperlink" xfId="4660" builtinId="9" hidden="1"/>
    <cellStyle name="Followed Hyperlink" xfId="4662" builtinId="9" hidden="1"/>
    <cellStyle name="Followed Hyperlink" xfId="4664" builtinId="9" hidden="1"/>
    <cellStyle name="Followed Hyperlink" xfId="4666" builtinId="9" hidden="1"/>
    <cellStyle name="Followed Hyperlink" xfId="4668" builtinId="9" hidden="1"/>
    <cellStyle name="Followed Hyperlink" xfId="4670" builtinId="9" hidden="1"/>
    <cellStyle name="Followed Hyperlink" xfId="4672" builtinId="9" hidden="1"/>
    <cellStyle name="Followed Hyperlink" xfId="4674" builtinId="9" hidden="1"/>
    <cellStyle name="Followed Hyperlink" xfId="4676" builtinId="9" hidden="1"/>
    <cellStyle name="Followed Hyperlink" xfId="4678" builtinId="9" hidden="1"/>
    <cellStyle name="Followed Hyperlink" xfId="4680" builtinId="9" hidden="1"/>
    <cellStyle name="Followed Hyperlink" xfId="4682" builtinId="9" hidden="1"/>
    <cellStyle name="Followed Hyperlink" xfId="4684" builtinId="9" hidden="1"/>
    <cellStyle name="Followed Hyperlink" xfId="4686" builtinId="9" hidden="1"/>
    <cellStyle name="Followed Hyperlink" xfId="4688" builtinId="9" hidden="1"/>
    <cellStyle name="Followed Hyperlink" xfId="4690" builtinId="9" hidden="1"/>
    <cellStyle name="Followed Hyperlink" xfId="4692" builtinId="9" hidden="1"/>
    <cellStyle name="Followed Hyperlink" xfId="4694" builtinId="9" hidden="1"/>
    <cellStyle name="Followed Hyperlink" xfId="4696" builtinId="9" hidden="1"/>
    <cellStyle name="Followed Hyperlink" xfId="4698" builtinId="9" hidden="1"/>
    <cellStyle name="Followed Hyperlink" xfId="4700" builtinId="9" hidden="1"/>
    <cellStyle name="Followed Hyperlink" xfId="4702" builtinId="9" hidden="1"/>
    <cellStyle name="Followed Hyperlink" xfId="4704" builtinId="9" hidden="1"/>
    <cellStyle name="Followed Hyperlink" xfId="4706" builtinId="9" hidden="1"/>
    <cellStyle name="Followed Hyperlink" xfId="4708" builtinId="9" hidden="1"/>
    <cellStyle name="Followed Hyperlink" xfId="4710" builtinId="9" hidden="1"/>
    <cellStyle name="Followed Hyperlink" xfId="4712" builtinId="9" hidden="1"/>
    <cellStyle name="Followed Hyperlink" xfId="4714" builtinId="9" hidden="1"/>
    <cellStyle name="Followed Hyperlink" xfId="4716" builtinId="9" hidden="1"/>
    <cellStyle name="Followed Hyperlink" xfId="4718" builtinId="9" hidden="1"/>
    <cellStyle name="Followed Hyperlink" xfId="4720" builtinId="9" hidden="1"/>
    <cellStyle name="Followed Hyperlink" xfId="4722" builtinId="9" hidden="1"/>
    <cellStyle name="Followed Hyperlink" xfId="4724" builtinId="9" hidden="1"/>
    <cellStyle name="Followed Hyperlink" xfId="4726" builtinId="9" hidden="1"/>
    <cellStyle name="Followed Hyperlink" xfId="4728" builtinId="9" hidden="1"/>
    <cellStyle name="Followed Hyperlink" xfId="4730" builtinId="9" hidden="1"/>
    <cellStyle name="Followed Hyperlink" xfId="4732" builtinId="9" hidden="1"/>
    <cellStyle name="Followed Hyperlink" xfId="4734" builtinId="9" hidden="1"/>
    <cellStyle name="Followed Hyperlink" xfId="4736" builtinId="9" hidden="1"/>
    <cellStyle name="Followed Hyperlink" xfId="4738" builtinId="9" hidden="1"/>
    <cellStyle name="Followed Hyperlink" xfId="4740" builtinId="9" hidden="1"/>
    <cellStyle name="Followed Hyperlink" xfId="4742" builtinId="9" hidden="1"/>
    <cellStyle name="Followed Hyperlink" xfId="4744" builtinId="9" hidden="1"/>
    <cellStyle name="Followed Hyperlink" xfId="4746" builtinId="9" hidden="1"/>
    <cellStyle name="Followed Hyperlink" xfId="4748" builtinId="9" hidden="1"/>
    <cellStyle name="Followed Hyperlink" xfId="4750" builtinId="9" hidden="1"/>
    <cellStyle name="Followed Hyperlink" xfId="4752" builtinId="9" hidden="1"/>
    <cellStyle name="Followed Hyperlink" xfId="4754" builtinId="9" hidden="1"/>
    <cellStyle name="Followed Hyperlink" xfId="4756" builtinId="9" hidden="1"/>
    <cellStyle name="Followed Hyperlink" xfId="4758" builtinId="9" hidden="1"/>
    <cellStyle name="Followed Hyperlink" xfId="4760" builtinId="9" hidden="1"/>
    <cellStyle name="Followed Hyperlink" xfId="4762" builtinId="9" hidden="1"/>
    <cellStyle name="Followed Hyperlink" xfId="4764" builtinId="9" hidden="1"/>
    <cellStyle name="Followed Hyperlink" xfId="4766" builtinId="9" hidden="1"/>
    <cellStyle name="Followed Hyperlink" xfId="4768" builtinId="9" hidden="1"/>
    <cellStyle name="Followed Hyperlink" xfId="4770" builtinId="9" hidden="1"/>
    <cellStyle name="Followed Hyperlink" xfId="4772" builtinId="9" hidden="1"/>
    <cellStyle name="Followed Hyperlink" xfId="4774" builtinId="9" hidden="1"/>
    <cellStyle name="Followed Hyperlink" xfId="4776" builtinId="9" hidden="1"/>
    <cellStyle name="Followed Hyperlink" xfId="4778" builtinId="9" hidden="1"/>
    <cellStyle name="Followed Hyperlink" xfId="4780" builtinId="9" hidden="1"/>
    <cellStyle name="Followed Hyperlink" xfId="4782" builtinId="9" hidden="1"/>
    <cellStyle name="Followed Hyperlink" xfId="4784" builtinId="9" hidden="1"/>
    <cellStyle name="Followed Hyperlink" xfId="4786" builtinId="9" hidden="1"/>
    <cellStyle name="Followed Hyperlink" xfId="4788" builtinId="9" hidden="1"/>
    <cellStyle name="Followed Hyperlink" xfId="4790" builtinId="9" hidden="1"/>
    <cellStyle name="Followed Hyperlink" xfId="4792" builtinId="9" hidden="1"/>
    <cellStyle name="Followed Hyperlink" xfId="4794" builtinId="9" hidden="1"/>
    <cellStyle name="Followed Hyperlink" xfId="4796" builtinId="9" hidden="1"/>
    <cellStyle name="Followed Hyperlink" xfId="4798" builtinId="9" hidden="1"/>
    <cellStyle name="Followed Hyperlink" xfId="4800" builtinId="9" hidden="1"/>
    <cellStyle name="Followed Hyperlink" xfId="4802" builtinId="9" hidden="1"/>
    <cellStyle name="Followed Hyperlink" xfId="4804" builtinId="9" hidden="1"/>
    <cellStyle name="Followed Hyperlink" xfId="4806" builtinId="9" hidden="1"/>
    <cellStyle name="Followed Hyperlink" xfId="4808" builtinId="9" hidden="1"/>
    <cellStyle name="Followed Hyperlink" xfId="4810" builtinId="9" hidden="1"/>
    <cellStyle name="Followed Hyperlink" xfId="4812" builtinId="9" hidden="1"/>
    <cellStyle name="Followed Hyperlink" xfId="4814" builtinId="9" hidden="1"/>
    <cellStyle name="Followed Hyperlink" xfId="4816" builtinId="9" hidden="1"/>
    <cellStyle name="Followed Hyperlink" xfId="4818" builtinId="9" hidden="1"/>
    <cellStyle name="Followed Hyperlink" xfId="4820" builtinId="9" hidden="1"/>
    <cellStyle name="Followed Hyperlink" xfId="4822" builtinId="9" hidden="1"/>
    <cellStyle name="Followed Hyperlink" xfId="4824" builtinId="9" hidden="1"/>
    <cellStyle name="Followed Hyperlink" xfId="4826" builtinId="9" hidden="1"/>
    <cellStyle name="Followed Hyperlink" xfId="4828" builtinId="9" hidden="1"/>
    <cellStyle name="Followed Hyperlink" xfId="4830" builtinId="9" hidden="1"/>
    <cellStyle name="Followed Hyperlink" xfId="4832" builtinId="9" hidden="1"/>
    <cellStyle name="Followed Hyperlink" xfId="4834" builtinId="9" hidden="1"/>
    <cellStyle name="Followed Hyperlink" xfId="4836" builtinId="9" hidden="1"/>
    <cellStyle name="Followed Hyperlink" xfId="4838" builtinId="9" hidden="1"/>
    <cellStyle name="Followed Hyperlink" xfId="4840" builtinId="9" hidden="1"/>
    <cellStyle name="Followed Hyperlink" xfId="4842" builtinId="9" hidden="1"/>
    <cellStyle name="Followed Hyperlink" xfId="4844" builtinId="9" hidden="1"/>
    <cellStyle name="Followed Hyperlink" xfId="4846" builtinId="9" hidden="1"/>
    <cellStyle name="Followed Hyperlink" xfId="4848" builtinId="9" hidden="1"/>
    <cellStyle name="Followed Hyperlink" xfId="4850" builtinId="9" hidden="1"/>
    <cellStyle name="Followed Hyperlink" xfId="4852" builtinId="9" hidden="1"/>
    <cellStyle name="Followed Hyperlink" xfId="4854" builtinId="9" hidden="1"/>
    <cellStyle name="Followed Hyperlink" xfId="4856" builtinId="9" hidden="1"/>
    <cellStyle name="Followed Hyperlink" xfId="4858" builtinId="9" hidden="1"/>
    <cellStyle name="Followed Hyperlink" xfId="4860" builtinId="9" hidden="1"/>
    <cellStyle name="Followed Hyperlink" xfId="4862" builtinId="9" hidden="1"/>
    <cellStyle name="Followed Hyperlink" xfId="4864" builtinId="9" hidden="1"/>
    <cellStyle name="Followed Hyperlink" xfId="4866" builtinId="9" hidden="1"/>
    <cellStyle name="Followed Hyperlink" xfId="4868" builtinId="9" hidden="1"/>
    <cellStyle name="Followed Hyperlink" xfId="4870" builtinId="9" hidden="1"/>
    <cellStyle name="Followed Hyperlink" xfId="4872" builtinId="9" hidden="1"/>
    <cellStyle name="Followed Hyperlink" xfId="4874" builtinId="9" hidden="1"/>
    <cellStyle name="Followed Hyperlink" xfId="4876" builtinId="9" hidden="1"/>
    <cellStyle name="Followed Hyperlink" xfId="4878" builtinId="9" hidden="1"/>
    <cellStyle name="Followed Hyperlink" xfId="4880" builtinId="9" hidden="1"/>
    <cellStyle name="Followed Hyperlink" xfId="4882" builtinId="9" hidden="1"/>
    <cellStyle name="Followed Hyperlink" xfId="4884" builtinId="9" hidden="1"/>
    <cellStyle name="Followed Hyperlink" xfId="4886" builtinId="9" hidden="1"/>
    <cellStyle name="Followed Hyperlink" xfId="4888" builtinId="9" hidden="1"/>
    <cellStyle name="Followed Hyperlink" xfId="4890" builtinId="9" hidden="1"/>
    <cellStyle name="Followed Hyperlink" xfId="4892" builtinId="9" hidden="1"/>
    <cellStyle name="Followed Hyperlink" xfId="4894" builtinId="9" hidden="1"/>
    <cellStyle name="Followed Hyperlink" xfId="4896" builtinId="9" hidden="1"/>
    <cellStyle name="Followed Hyperlink" xfId="4898" builtinId="9" hidden="1"/>
    <cellStyle name="Followed Hyperlink" xfId="4900" builtinId="9" hidden="1"/>
    <cellStyle name="Followed Hyperlink" xfId="4902" builtinId="9" hidden="1"/>
    <cellStyle name="Followed Hyperlink" xfId="4904" builtinId="9" hidden="1"/>
    <cellStyle name="Followed Hyperlink" xfId="4906" builtinId="9" hidden="1"/>
    <cellStyle name="Followed Hyperlink" xfId="4908" builtinId="9" hidden="1"/>
    <cellStyle name="Followed Hyperlink" xfId="4910" builtinId="9" hidden="1"/>
    <cellStyle name="Followed Hyperlink" xfId="4912" builtinId="9" hidden="1"/>
    <cellStyle name="Followed Hyperlink" xfId="4914" builtinId="9" hidden="1"/>
    <cellStyle name="Followed Hyperlink" xfId="4916" builtinId="9" hidden="1"/>
    <cellStyle name="Followed Hyperlink" xfId="4918" builtinId="9" hidden="1"/>
    <cellStyle name="Followed Hyperlink" xfId="4920" builtinId="9" hidden="1"/>
    <cellStyle name="Followed Hyperlink" xfId="4922" builtinId="9" hidden="1"/>
    <cellStyle name="Followed Hyperlink" xfId="4924" builtinId="9" hidden="1"/>
    <cellStyle name="Followed Hyperlink" xfId="4926" builtinId="9" hidden="1"/>
    <cellStyle name="Followed Hyperlink" xfId="4928" builtinId="9" hidden="1"/>
    <cellStyle name="Followed Hyperlink" xfId="4930" builtinId="9" hidden="1"/>
    <cellStyle name="Followed Hyperlink" xfId="4932" builtinId="9" hidden="1"/>
    <cellStyle name="Followed Hyperlink" xfId="4934" builtinId="9" hidden="1"/>
    <cellStyle name="Followed Hyperlink" xfId="4936" builtinId="9" hidden="1"/>
    <cellStyle name="Followed Hyperlink" xfId="4938" builtinId="9" hidden="1"/>
    <cellStyle name="Followed Hyperlink" xfId="4940" builtinId="9" hidden="1"/>
    <cellStyle name="Followed Hyperlink" xfId="4942" builtinId="9" hidden="1"/>
    <cellStyle name="Followed Hyperlink" xfId="4944" builtinId="9" hidden="1"/>
    <cellStyle name="Followed Hyperlink" xfId="4946" builtinId="9" hidden="1"/>
    <cellStyle name="Followed Hyperlink" xfId="4948" builtinId="9" hidden="1"/>
    <cellStyle name="Followed Hyperlink" xfId="4950" builtinId="9" hidden="1"/>
    <cellStyle name="Followed Hyperlink" xfId="4952" builtinId="9" hidden="1"/>
    <cellStyle name="Followed Hyperlink" xfId="4954" builtinId="9" hidden="1"/>
    <cellStyle name="Followed Hyperlink" xfId="4956" builtinId="9" hidden="1"/>
    <cellStyle name="Followed Hyperlink" xfId="4958" builtinId="9" hidden="1"/>
    <cellStyle name="Followed Hyperlink" xfId="4960" builtinId="9" hidden="1"/>
    <cellStyle name="Followed Hyperlink" xfId="4962" builtinId="9" hidden="1"/>
    <cellStyle name="Followed Hyperlink" xfId="4964" builtinId="9" hidden="1"/>
    <cellStyle name="Followed Hyperlink" xfId="4966" builtinId="9" hidden="1"/>
    <cellStyle name="Followed Hyperlink" xfId="4968" builtinId="9" hidden="1"/>
    <cellStyle name="Followed Hyperlink" xfId="4970" builtinId="9" hidden="1"/>
    <cellStyle name="Followed Hyperlink" xfId="4972" builtinId="9" hidden="1"/>
    <cellStyle name="Followed Hyperlink" xfId="4974" builtinId="9" hidden="1"/>
    <cellStyle name="Followed Hyperlink" xfId="4976" builtinId="9" hidden="1"/>
    <cellStyle name="Followed Hyperlink" xfId="4978" builtinId="9" hidden="1"/>
    <cellStyle name="Followed Hyperlink" xfId="4980" builtinId="9" hidden="1"/>
    <cellStyle name="Followed Hyperlink" xfId="4982" builtinId="9" hidden="1"/>
    <cellStyle name="Followed Hyperlink" xfId="4984" builtinId="9" hidden="1"/>
    <cellStyle name="Followed Hyperlink" xfId="4986" builtinId="9" hidden="1"/>
    <cellStyle name="Followed Hyperlink" xfId="4988" builtinId="9" hidden="1"/>
    <cellStyle name="Followed Hyperlink" xfId="4990" builtinId="9" hidden="1"/>
    <cellStyle name="Followed Hyperlink" xfId="4992" builtinId="9" hidden="1"/>
    <cellStyle name="Followed Hyperlink" xfId="4994" builtinId="9" hidden="1"/>
    <cellStyle name="Followed Hyperlink" xfId="4996" builtinId="9" hidden="1"/>
    <cellStyle name="Followed Hyperlink" xfId="4998" builtinId="9" hidden="1"/>
    <cellStyle name="Followed Hyperlink" xfId="5000" builtinId="9" hidden="1"/>
    <cellStyle name="Followed Hyperlink" xfId="5002" builtinId="9" hidden="1"/>
    <cellStyle name="Followed Hyperlink" xfId="5004" builtinId="9" hidden="1"/>
    <cellStyle name="Followed Hyperlink" xfId="5006" builtinId="9" hidden="1"/>
    <cellStyle name="Followed Hyperlink" xfId="5008" builtinId="9" hidden="1"/>
    <cellStyle name="Followed Hyperlink" xfId="5010" builtinId="9" hidden="1"/>
    <cellStyle name="Followed Hyperlink" xfId="5012" builtinId="9" hidden="1"/>
    <cellStyle name="Followed Hyperlink" xfId="5014" builtinId="9" hidden="1"/>
    <cellStyle name="Followed Hyperlink" xfId="5016" builtinId="9" hidden="1"/>
    <cellStyle name="Followed Hyperlink" xfId="5018" builtinId="9" hidden="1"/>
    <cellStyle name="Followed Hyperlink" xfId="5020" builtinId="9" hidden="1"/>
    <cellStyle name="Followed Hyperlink" xfId="5022" builtinId="9" hidden="1"/>
    <cellStyle name="Followed Hyperlink" xfId="5024" builtinId="9" hidden="1"/>
    <cellStyle name="Followed Hyperlink" xfId="5026" builtinId="9" hidden="1"/>
    <cellStyle name="Followed Hyperlink" xfId="5028" builtinId="9" hidden="1"/>
    <cellStyle name="Followed Hyperlink" xfId="5030" builtinId="9" hidden="1"/>
    <cellStyle name="Followed Hyperlink" xfId="5032" builtinId="9" hidden="1"/>
    <cellStyle name="Followed Hyperlink" xfId="5034" builtinId="9" hidden="1"/>
    <cellStyle name="Followed Hyperlink" xfId="5036" builtinId="9" hidden="1"/>
    <cellStyle name="Followed Hyperlink" xfId="5038" builtinId="9" hidden="1"/>
    <cellStyle name="Followed Hyperlink" xfId="5040" builtinId="9" hidden="1"/>
    <cellStyle name="Followed Hyperlink" xfId="5042" builtinId="9" hidden="1"/>
    <cellStyle name="Followed Hyperlink" xfId="5044" builtinId="9" hidden="1"/>
    <cellStyle name="Followed Hyperlink" xfId="5046" builtinId="9" hidden="1"/>
    <cellStyle name="Followed Hyperlink" xfId="5048" builtinId="9" hidden="1"/>
    <cellStyle name="Followed Hyperlink" xfId="5050" builtinId="9" hidden="1"/>
    <cellStyle name="Followed Hyperlink" xfId="5052" builtinId="9" hidden="1"/>
    <cellStyle name="Followed Hyperlink" xfId="5054" builtinId="9" hidden="1"/>
    <cellStyle name="Followed Hyperlink" xfId="5056" builtinId="9" hidden="1"/>
    <cellStyle name="Followed Hyperlink" xfId="5058" builtinId="9" hidden="1"/>
    <cellStyle name="Followed Hyperlink" xfId="5060" builtinId="9" hidden="1"/>
    <cellStyle name="Followed Hyperlink" xfId="5062" builtinId="9" hidden="1"/>
    <cellStyle name="Followed Hyperlink" xfId="5064" builtinId="9" hidden="1"/>
    <cellStyle name="Followed Hyperlink" xfId="5066" builtinId="9" hidden="1"/>
    <cellStyle name="Followed Hyperlink" xfId="5068" builtinId="9" hidden="1"/>
    <cellStyle name="Followed Hyperlink" xfId="5070" builtinId="9" hidden="1"/>
    <cellStyle name="Followed Hyperlink" xfId="5072" builtinId="9" hidden="1"/>
    <cellStyle name="Followed Hyperlink" xfId="5074" builtinId="9" hidden="1"/>
    <cellStyle name="Followed Hyperlink" xfId="5076" builtinId="9" hidden="1"/>
    <cellStyle name="Followed Hyperlink" xfId="5078" builtinId="9" hidden="1"/>
    <cellStyle name="Followed Hyperlink" xfId="5080" builtinId="9" hidden="1"/>
    <cellStyle name="Followed Hyperlink" xfId="5082" builtinId="9" hidden="1"/>
    <cellStyle name="Followed Hyperlink" xfId="5084" builtinId="9" hidden="1"/>
    <cellStyle name="Followed Hyperlink" xfId="5086" builtinId="9" hidden="1"/>
    <cellStyle name="Followed Hyperlink" xfId="5088" builtinId="9" hidden="1"/>
    <cellStyle name="Followed Hyperlink" xfId="5090" builtinId="9" hidden="1"/>
    <cellStyle name="Followed Hyperlink" xfId="5092" builtinId="9" hidden="1"/>
    <cellStyle name="Followed Hyperlink" xfId="5094" builtinId="9" hidden="1"/>
    <cellStyle name="Followed Hyperlink" xfId="5096" builtinId="9" hidden="1"/>
    <cellStyle name="Followed Hyperlink" xfId="5098" builtinId="9" hidden="1"/>
    <cellStyle name="Followed Hyperlink" xfId="5100" builtinId="9" hidden="1"/>
    <cellStyle name="Followed Hyperlink" xfId="5102" builtinId="9" hidden="1"/>
    <cellStyle name="Followed Hyperlink" xfId="5104" builtinId="9" hidden="1"/>
    <cellStyle name="Followed Hyperlink" xfId="5106" builtinId="9" hidden="1"/>
    <cellStyle name="Followed Hyperlink" xfId="5108" builtinId="9" hidden="1"/>
    <cellStyle name="Followed Hyperlink" xfId="5110" builtinId="9" hidden="1"/>
    <cellStyle name="Followed Hyperlink" xfId="5112" builtinId="9" hidden="1"/>
    <cellStyle name="Followed Hyperlink" xfId="5114" builtinId="9" hidden="1"/>
    <cellStyle name="Followed Hyperlink" xfId="5116" builtinId="9" hidden="1"/>
    <cellStyle name="Followed Hyperlink" xfId="5118" builtinId="9" hidden="1"/>
    <cellStyle name="Followed Hyperlink" xfId="5120" builtinId="9" hidden="1"/>
    <cellStyle name="Followed Hyperlink" xfId="5122" builtinId="9" hidden="1"/>
    <cellStyle name="Followed Hyperlink" xfId="5124" builtinId="9" hidden="1"/>
    <cellStyle name="Followed Hyperlink" xfId="5126" builtinId="9" hidden="1"/>
    <cellStyle name="Followed Hyperlink" xfId="5128" builtinId="9" hidden="1"/>
    <cellStyle name="Followed Hyperlink" xfId="5130" builtinId="9" hidden="1"/>
    <cellStyle name="Followed Hyperlink" xfId="5132" builtinId="9" hidden="1"/>
    <cellStyle name="Followed Hyperlink" xfId="5134" builtinId="9" hidden="1"/>
    <cellStyle name="Followed Hyperlink" xfId="5136" builtinId="9" hidden="1"/>
    <cellStyle name="Followed Hyperlink" xfId="5138" builtinId="9" hidden="1"/>
    <cellStyle name="Followed Hyperlink" xfId="5140" builtinId="9" hidden="1"/>
    <cellStyle name="Followed Hyperlink" xfId="5142" builtinId="9" hidden="1"/>
    <cellStyle name="Followed Hyperlink" xfId="5144" builtinId="9" hidden="1"/>
    <cellStyle name="Followed Hyperlink" xfId="5146" builtinId="9" hidden="1"/>
    <cellStyle name="Followed Hyperlink" xfId="5148" builtinId="9" hidden="1"/>
    <cellStyle name="Followed Hyperlink" xfId="5150" builtinId="9" hidden="1"/>
    <cellStyle name="Followed Hyperlink" xfId="5152" builtinId="9" hidden="1"/>
    <cellStyle name="Followed Hyperlink" xfId="5154" builtinId="9" hidden="1"/>
    <cellStyle name="Followed Hyperlink" xfId="5156" builtinId="9" hidden="1"/>
    <cellStyle name="Followed Hyperlink" xfId="5158" builtinId="9" hidden="1"/>
    <cellStyle name="Followed Hyperlink" xfId="5160" builtinId="9" hidden="1"/>
    <cellStyle name="Followed Hyperlink" xfId="5162" builtinId="9" hidden="1"/>
    <cellStyle name="Followed Hyperlink" xfId="5164" builtinId="9" hidden="1"/>
    <cellStyle name="Followed Hyperlink" xfId="5166" builtinId="9" hidden="1"/>
    <cellStyle name="Followed Hyperlink" xfId="5168" builtinId="9" hidden="1"/>
    <cellStyle name="Followed Hyperlink" xfId="5170" builtinId="9" hidden="1"/>
    <cellStyle name="Followed Hyperlink" xfId="5172" builtinId="9" hidden="1"/>
    <cellStyle name="Followed Hyperlink" xfId="5174" builtinId="9" hidden="1"/>
    <cellStyle name="Followed Hyperlink" xfId="5176" builtinId="9" hidden="1"/>
    <cellStyle name="Followed Hyperlink" xfId="5178" builtinId="9" hidden="1"/>
    <cellStyle name="Followed Hyperlink" xfId="5180" builtinId="9" hidden="1"/>
    <cellStyle name="Followed Hyperlink" xfId="5182" builtinId="9" hidden="1"/>
    <cellStyle name="Followed Hyperlink" xfId="5184" builtinId="9" hidden="1"/>
    <cellStyle name="Followed Hyperlink" xfId="5186" builtinId="9" hidden="1"/>
    <cellStyle name="Followed Hyperlink" xfId="5188" builtinId="9" hidden="1"/>
    <cellStyle name="Followed Hyperlink" xfId="5190" builtinId="9" hidden="1"/>
    <cellStyle name="Followed Hyperlink" xfId="5192" builtinId="9" hidden="1"/>
    <cellStyle name="Followed Hyperlink" xfId="5194" builtinId="9" hidden="1"/>
    <cellStyle name="Followed Hyperlink" xfId="5196" builtinId="9" hidden="1"/>
    <cellStyle name="Followed Hyperlink" xfId="5198" builtinId="9" hidden="1"/>
    <cellStyle name="Followed Hyperlink" xfId="5200" builtinId="9" hidden="1"/>
    <cellStyle name="Followed Hyperlink" xfId="5202" builtinId="9" hidden="1"/>
    <cellStyle name="Followed Hyperlink" xfId="5204" builtinId="9" hidden="1"/>
    <cellStyle name="Followed Hyperlink" xfId="5206" builtinId="9" hidden="1"/>
    <cellStyle name="Followed Hyperlink" xfId="5208" builtinId="9" hidden="1"/>
    <cellStyle name="Followed Hyperlink" xfId="5210" builtinId="9" hidden="1"/>
    <cellStyle name="Followed Hyperlink" xfId="5212" builtinId="9" hidden="1"/>
    <cellStyle name="Followed Hyperlink" xfId="5214" builtinId="9" hidden="1"/>
    <cellStyle name="Followed Hyperlink" xfId="5216" builtinId="9" hidden="1"/>
    <cellStyle name="Followed Hyperlink" xfId="5218" builtinId="9" hidden="1"/>
    <cellStyle name="Followed Hyperlink" xfId="5220" builtinId="9" hidden="1"/>
    <cellStyle name="Followed Hyperlink" xfId="5222" builtinId="9" hidden="1"/>
    <cellStyle name="Followed Hyperlink" xfId="5224" builtinId="9" hidden="1"/>
    <cellStyle name="Followed Hyperlink" xfId="5226" builtinId="9" hidden="1"/>
    <cellStyle name="Followed Hyperlink" xfId="5228" builtinId="9" hidden="1"/>
    <cellStyle name="Followed Hyperlink" xfId="5230" builtinId="9" hidden="1"/>
    <cellStyle name="Followed Hyperlink" xfId="5232" builtinId="9" hidden="1"/>
    <cellStyle name="Followed Hyperlink" xfId="5234" builtinId="9" hidden="1"/>
    <cellStyle name="Followed Hyperlink" xfId="5236" builtinId="9" hidden="1"/>
    <cellStyle name="Followed Hyperlink" xfId="5238" builtinId="9" hidden="1"/>
    <cellStyle name="Followed Hyperlink" xfId="5240" builtinId="9" hidden="1"/>
    <cellStyle name="Followed Hyperlink" xfId="5242" builtinId="9" hidden="1"/>
    <cellStyle name="Followed Hyperlink" xfId="5244" builtinId="9" hidden="1"/>
    <cellStyle name="Followed Hyperlink" xfId="5246" builtinId="9" hidden="1"/>
    <cellStyle name="Followed Hyperlink" xfId="5248" builtinId="9" hidden="1"/>
    <cellStyle name="Followed Hyperlink" xfId="5250" builtinId="9" hidden="1"/>
    <cellStyle name="Followed Hyperlink" xfId="5252" builtinId="9" hidden="1"/>
    <cellStyle name="Followed Hyperlink" xfId="5254" builtinId="9" hidden="1"/>
    <cellStyle name="Followed Hyperlink" xfId="5256" builtinId="9" hidden="1"/>
    <cellStyle name="Followed Hyperlink" xfId="5258" builtinId="9" hidden="1"/>
    <cellStyle name="Followed Hyperlink" xfId="5260" builtinId="9" hidden="1"/>
    <cellStyle name="Followed Hyperlink" xfId="5262" builtinId="9" hidden="1"/>
    <cellStyle name="Followed Hyperlink" xfId="5264" builtinId="9" hidden="1"/>
    <cellStyle name="Followed Hyperlink" xfId="5266" builtinId="9" hidden="1"/>
    <cellStyle name="Followed Hyperlink" xfId="5268" builtinId="9" hidden="1"/>
    <cellStyle name="Followed Hyperlink" xfId="5270" builtinId="9" hidden="1"/>
    <cellStyle name="Followed Hyperlink" xfId="5272" builtinId="9" hidden="1"/>
    <cellStyle name="Followed Hyperlink" xfId="5274" builtinId="9" hidden="1"/>
    <cellStyle name="Followed Hyperlink" xfId="5276" builtinId="9" hidden="1"/>
    <cellStyle name="Followed Hyperlink" xfId="5278" builtinId="9" hidden="1"/>
    <cellStyle name="Followed Hyperlink" xfId="5280" builtinId="9" hidden="1"/>
    <cellStyle name="Followed Hyperlink" xfId="5282" builtinId="9" hidden="1"/>
    <cellStyle name="Followed Hyperlink" xfId="5284" builtinId="9" hidden="1"/>
    <cellStyle name="Followed Hyperlink" xfId="5286" builtinId="9" hidden="1"/>
    <cellStyle name="Followed Hyperlink" xfId="5288" builtinId="9" hidden="1"/>
    <cellStyle name="Followed Hyperlink" xfId="5290" builtinId="9" hidden="1"/>
    <cellStyle name="Followed Hyperlink" xfId="5292" builtinId="9" hidden="1"/>
    <cellStyle name="Followed Hyperlink" xfId="5294" builtinId="9" hidden="1"/>
    <cellStyle name="Followed Hyperlink" xfId="5296" builtinId="9" hidden="1"/>
    <cellStyle name="Followed Hyperlink" xfId="5298" builtinId="9" hidden="1"/>
    <cellStyle name="Followed Hyperlink" xfId="5300" builtinId="9" hidden="1"/>
    <cellStyle name="Followed Hyperlink" xfId="5302" builtinId="9" hidden="1"/>
    <cellStyle name="Followed Hyperlink" xfId="5304" builtinId="9" hidden="1"/>
    <cellStyle name="Followed Hyperlink" xfId="5306" builtinId="9" hidden="1"/>
    <cellStyle name="Followed Hyperlink" xfId="5308" builtinId="9" hidden="1"/>
    <cellStyle name="Followed Hyperlink" xfId="5310" builtinId="9" hidden="1"/>
    <cellStyle name="Followed Hyperlink" xfId="5312" builtinId="9" hidden="1"/>
    <cellStyle name="Followed Hyperlink" xfId="5314" builtinId="9" hidden="1"/>
    <cellStyle name="Followed Hyperlink" xfId="5316" builtinId="9" hidden="1"/>
    <cellStyle name="Followed Hyperlink" xfId="5318" builtinId="9" hidden="1"/>
    <cellStyle name="Followed Hyperlink" xfId="5320" builtinId="9" hidden="1"/>
    <cellStyle name="Followed Hyperlink" xfId="5322" builtinId="9" hidden="1"/>
    <cellStyle name="Followed Hyperlink" xfId="5324" builtinId="9" hidden="1"/>
    <cellStyle name="Followed Hyperlink" xfId="5326" builtinId="9" hidden="1"/>
    <cellStyle name="Followed Hyperlink" xfId="5328" builtinId="9" hidden="1"/>
    <cellStyle name="Followed Hyperlink" xfId="5330" builtinId="9" hidden="1"/>
    <cellStyle name="Followed Hyperlink" xfId="5332" builtinId="9" hidden="1"/>
    <cellStyle name="Followed Hyperlink" xfId="5334" builtinId="9" hidden="1"/>
    <cellStyle name="Followed Hyperlink" xfId="5336" builtinId="9" hidden="1"/>
    <cellStyle name="Followed Hyperlink" xfId="5338" builtinId="9" hidden="1"/>
    <cellStyle name="Followed Hyperlink" xfId="5340" builtinId="9" hidden="1"/>
    <cellStyle name="Followed Hyperlink" xfId="5342" builtinId="9" hidden="1"/>
    <cellStyle name="Followed Hyperlink" xfId="5344" builtinId="9" hidden="1"/>
    <cellStyle name="Followed Hyperlink" xfId="5346" builtinId="9" hidden="1"/>
    <cellStyle name="Followed Hyperlink" xfId="5348" builtinId="9" hidden="1"/>
    <cellStyle name="Followed Hyperlink" xfId="5350" builtinId="9" hidden="1"/>
    <cellStyle name="Followed Hyperlink" xfId="5352" builtinId="9" hidden="1"/>
    <cellStyle name="Followed Hyperlink" xfId="5354" builtinId="9" hidden="1"/>
    <cellStyle name="Followed Hyperlink" xfId="5356" builtinId="9" hidden="1"/>
    <cellStyle name="Followed Hyperlink" xfId="5358" builtinId="9" hidden="1"/>
    <cellStyle name="Followed Hyperlink" xfId="5360" builtinId="9" hidden="1"/>
    <cellStyle name="Followed Hyperlink" xfId="5362" builtinId="9" hidden="1"/>
    <cellStyle name="Followed Hyperlink" xfId="5364" builtinId="9" hidden="1"/>
    <cellStyle name="Followed Hyperlink" xfId="5366" builtinId="9" hidden="1"/>
    <cellStyle name="Followed Hyperlink" xfId="5368" builtinId="9" hidden="1"/>
    <cellStyle name="Followed Hyperlink" xfId="5370" builtinId="9" hidden="1"/>
    <cellStyle name="Followed Hyperlink" xfId="5372" builtinId="9" hidden="1"/>
    <cellStyle name="Followed Hyperlink" xfId="5374" builtinId="9" hidden="1"/>
    <cellStyle name="Followed Hyperlink" xfId="5376" builtinId="9" hidden="1"/>
    <cellStyle name="Followed Hyperlink" xfId="5378" builtinId="9" hidden="1"/>
    <cellStyle name="Followed Hyperlink" xfId="5380" builtinId="9" hidden="1"/>
    <cellStyle name="Followed Hyperlink" xfId="5382" builtinId="9" hidden="1"/>
    <cellStyle name="Followed Hyperlink" xfId="5384" builtinId="9" hidden="1"/>
    <cellStyle name="Followed Hyperlink" xfId="5386" builtinId="9" hidden="1"/>
    <cellStyle name="Followed Hyperlink" xfId="5388" builtinId="9" hidden="1"/>
    <cellStyle name="Followed Hyperlink" xfId="5390" builtinId="9" hidden="1"/>
    <cellStyle name="Followed Hyperlink" xfId="5392" builtinId="9" hidden="1"/>
    <cellStyle name="Followed Hyperlink" xfId="5394" builtinId="9" hidden="1"/>
    <cellStyle name="Followed Hyperlink" xfId="5396" builtinId="9" hidden="1"/>
    <cellStyle name="Followed Hyperlink" xfId="5398" builtinId="9" hidden="1"/>
    <cellStyle name="Followed Hyperlink" xfId="5400" builtinId="9" hidden="1"/>
    <cellStyle name="Followed Hyperlink" xfId="5402" builtinId="9" hidden="1"/>
    <cellStyle name="Followed Hyperlink" xfId="5404" builtinId="9" hidden="1"/>
    <cellStyle name="Followed Hyperlink" xfId="5406" builtinId="9" hidden="1"/>
    <cellStyle name="Followed Hyperlink" xfId="5408" builtinId="9" hidden="1"/>
    <cellStyle name="Followed Hyperlink" xfId="5410" builtinId="9" hidden="1"/>
    <cellStyle name="Followed Hyperlink" xfId="5412" builtinId="9" hidden="1"/>
    <cellStyle name="Followed Hyperlink" xfId="5414" builtinId="9" hidden="1"/>
    <cellStyle name="Followed Hyperlink" xfId="5416" builtinId="9" hidden="1"/>
    <cellStyle name="Followed Hyperlink" xfId="5418" builtinId="9" hidden="1"/>
    <cellStyle name="Followed Hyperlink" xfId="5420" builtinId="9" hidden="1"/>
    <cellStyle name="Followed Hyperlink" xfId="5422" builtinId="9" hidden="1"/>
    <cellStyle name="Followed Hyperlink" xfId="5424" builtinId="9" hidden="1"/>
    <cellStyle name="Followed Hyperlink" xfId="5426" builtinId="9" hidden="1"/>
    <cellStyle name="Followed Hyperlink" xfId="5428" builtinId="9" hidden="1"/>
    <cellStyle name="Followed Hyperlink" xfId="5430" builtinId="9" hidden="1"/>
    <cellStyle name="Followed Hyperlink" xfId="5432" builtinId="9" hidden="1"/>
    <cellStyle name="Followed Hyperlink" xfId="5434" builtinId="9" hidden="1"/>
    <cellStyle name="Followed Hyperlink" xfId="5436" builtinId="9" hidden="1"/>
    <cellStyle name="Followed Hyperlink" xfId="5438" builtinId="9" hidden="1"/>
    <cellStyle name="Followed Hyperlink" xfId="5440" builtinId="9" hidden="1"/>
    <cellStyle name="Followed Hyperlink" xfId="5442" builtinId="9" hidden="1"/>
    <cellStyle name="Followed Hyperlink" xfId="5444" builtinId="9" hidden="1"/>
    <cellStyle name="Followed Hyperlink" xfId="5446" builtinId="9" hidden="1"/>
    <cellStyle name="Followed Hyperlink" xfId="5448" builtinId="9" hidden="1"/>
    <cellStyle name="Followed Hyperlink" xfId="5450" builtinId="9" hidden="1"/>
    <cellStyle name="Followed Hyperlink" xfId="5452" builtinId="9" hidden="1"/>
    <cellStyle name="Followed Hyperlink" xfId="5454" builtinId="9" hidden="1"/>
    <cellStyle name="Followed Hyperlink" xfId="5456" builtinId="9" hidden="1"/>
    <cellStyle name="Followed Hyperlink" xfId="5458" builtinId="9" hidden="1"/>
    <cellStyle name="Followed Hyperlink" xfId="5460" builtinId="9" hidden="1"/>
    <cellStyle name="Followed Hyperlink" xfId="5462" builtinId="9" hidden="1"/>
    <cellStyle name="Followed Hyperlink" xfId="5464" builtinId="9" hidden="1"/>
    <cellStyle name="Followed Hyperlink" xfId="5466" builtinId="9" hidden="1"/>
    <cellStyle name="Followed Hyperlink" xfId="5468" builtinId="9" hidden="1"/>
    <cellStyle name="Followed Hyperlink" xfId="5470" builtinId="9" hidden="1"/>
    <cellStyle name="Followed Hyperlink" xfId="5472" builtinId="9" hidden="1"/>
    <cellStyle name="Followed Hyperlink" xfId="5474" builtinId="9" hidden="1"/>
    <cellStyle name="Followed Hyperlink" xfId="5476" builtinId="9" hidden="1"/>
    <cellStyle name="Followed Hyperlink" xfId="5478" builtinId="9" hidden="1"/>
    <cellStyle name="Followed Hyperlink" xfId="5480" builtinId="9" hidden="1"/>
    <cellStyle name="Followed Hyperlink" xfId="5482" builtinId="9" hidden="1"/>
    <cellStyle name="Followed Hyperlink" xfId="5484" builtinId="9" hidden="1"/>
    <cellStyle name="Followed Hyperlink" xfId="5486" builtinId="9" hidden="1"/>
    <cellStyle name="Followed Hyperlink" xfId="5488" builtinId="9" hidden="1"/>
    <cellStyle name="Followed Hyperlink" xfId="5490" builtinId="9" hidden="1"/>
    <cellStyle name="Followed Hyperlink" xfId="5492" builtinId="9" hidden="1"/>
    <cellStyle name="Followed Hyperlink" xfId="5494" builtinId="9" hidden="1"/>
    <cellStyle name="Followed Hyperlink" xfId="5496" builtinId="9" hidden="1"/>
    <cellStyle name="Followed Hyperlink" xfId="5498" builtinId="9" hidden="1"/>
    <cellStyle name="Followed Hyperlink" xfId="5500" builtinId="9" hidden="1"/>
    <cellStyle name="Followed Hyperlink" xfId="5502" builtinId="9" hidden="1"/>
    <cellStyle name="Followed Hyperlink" xfId="5504" builtinId="9" hidden="1"/>
    <cellStyle name="Followed Hyperlink" xfId="5506" builtinId="9" hidden="1"/>
    <cellStyle name="Followed Hyperlink" xfId="5508" builtinId="9" hidden="1"/>
    <cellStyle name="Followed Hyperlink" xfId="5510" builtinId="9" hidden="1"/>
    <cellStyle name="Followed Hyperlink" xfId="5512" builtinId="9" hidden="1"/>
    <cellStyle name="Followed Hyperlink" xfId="5514" builtinId="9" hidden="1"/>
    <cellStyle name="Followed Hyperlink" xfId="5516" builtinId="9" hidden="1"/>
    <cellStyle name="Followed Hyperlink" xfId="5518" builtinId="9" hidden="1"/>
    <cellStyle name="Followed Hyperlink" xfId="5520" builtinId="9" hidden="1"/>
    <cellStyle name="Followed Hyperlink" xfId="5522" builtinId="9" hidden="1"/>
    <cellStyle name="Followed Hyperlink" xfId="5524" builtinId="9" hidden="1"/>
    <cellStyle name="Followed Hyperlink" xfId="5526" builtinId="9" hidden="1"/>
    <cellStyle name="Followed Hyperlink" xfId="5528" builtinId="9" hidden="1"/>
    <cellStyle name="Followed Hyperlink" xfId="5530" builtinId="9" hidden="1"/>
    <cellStyle name="Followed Hyperlink" xfId="5532" builtinId="9" hidden="1"/>
    <cellStyle name="Followed Hyperlink" xfId="5534" builtinId="9" hidden="1"/>
    <cellStyle name="Followed Hyperlink" xfId="5536" builtinId="9" hidden="1"/>
    <cellStyle name="Followed Hyperlink" xfId="5538" builtinId="9" hidden="1"/>
    <cellStyle name="Followed Hyperlink" xfId="5540" builtinId="9" hidden="1"/>
    <cellStyle name="Followed Hyperlink" xfId="5542" builtinId="9" hidden="1"/>
    <cellStyle name="Followed Hyperlink" xfId="5544" builtinId="9" hidden="1"/>
    <cellStyle name="Followed Hyperlink" xfId="5546" builtinId="9" hidden="1"/>
    <cellStyle name="Followed Hyperlink" xfId="5548" builtinId="9" hidden="1"/>
    <cellStyle name="Followed Hyperlink" xfId="5550" builtinId="9" hidden="1"/>
    <cellStyle name="Followed Hyperlink" xfId="5552" builtinId="9" hidden="1"/>
    <cellStyle name="Followed Hyperlink" xfId="5554" builtinId="9" hidden="1"/>
    <cellStyle name="Followed Hyperlink" xfId="5556" builtinId="9" hidden="1"/>
    <cellStyle name="Followed Hyperlink" xfId="5558" builtinId="9" hidden="1"/>
    <cellStyle name="Followed Hyperlink" xfId="5560" builtinId="9" hidden="1"/>
    <cellStyle name="Followed Hyperlink" xfId="5562" builtinId="9" hidden="1"/>
    <cellStyle name="Followed Hyperlink" xfId="5564" builtinId="9" hidden="1"/>
    <cellStyle name="Followed Hyperlink" xfId="5566" builtinId="9" hidden="1"/>
    <cellStyle name="Followed Hyperlink" xfId="5568" builtinId="9" hidden="1"/>
    <cellStyle name="Followed Hyperlink" xfId="5570" builtinId="9" hidden="1"/>
    <cellStyle name="Followed Hyperlink" xfId="5572" builtinId="9" hidden="1"/>
    <cellStyle name="Followed Hyperlink" xfId="5574" builtinId="9" hidden="1"/>
    <cellStyle name="Followed Hyperlink" xfId="5576" builtinId="9" hidden="1"/>
    <cellStyle name="Followed Hyperlink" xfId="5578" builtinId="9" hidden="1"/>
    <cellStyle name="Followed Hyperlink" xfId="5580" builtinId="9" hidden="1"/>
    <cellStyle name="Followed Hyperlink" xfId="5582" builtinId="9" hidden="1"/>
    <cellStyle name="Followed Hyperlink" xfId="5584" builtinId="9" hidden="1"/>
    <cellStyle name="Followed Hyperlink" xfId="5586" builtinId="9" hidden="1"/>
    <cellStyle name="Followed Hyperlink" xfId="5588" builtinId="9" hidden="1"/>
    <cellStyle name="Followed Hyperlink" xfId="5590" builtinId="9" hidden="1"/>
    <cellStyle name="Followed Hyperlink" xfId="5592" builtinId="9" hidden="1"/>
    <cellStyle name="Followed Hyperlink" xfId="5594" builtinId="9" hidden="1"/>
    <cellStyle name="Followed Hyperlink" xfId="5596" builtinId="9" hidden="1"/>
    <cellStyle name="Followed Hyperlink" xfId="5598" builtinId="9" hidden="1"/>
    <cellStyle name="Followed Hyperlink" xfId="5600" builtinId="9" hidden="1"/>
    <cellStyle name="Followed Hyperlink" xfId="5602" builtinId="9" hidden="1"/>
    <cellStyle name="Followed Hyperlink" xfId="5604" builtinId="9" hidden="1"/>
    <cellStyle name="Followed Hyperlink" xfId="5606" builtinId="9" hidden="1"/>
    <cellStyle name="Followed Hyperlink" xfId="5608" builtinId="9" hidden="1"/>
    <cellStyle name="Followed Hyperlink" xfId="5610" builtinId="9" hidden="1"/>
    <cellStyle name="Followed Hyperlink" xfId="5612" builtinId="9" hidden="1"/>
    <cellStyle name="Followed Hyperlink" xfId="5614" builtinId="9" hidden="1"/>
    <cellStyle name="Followed Hyperlink" xfId="5616" builtinId="9" hidden="1"/>
    <cellStyle name="Followed Hyperlink" xfId="5618" builtinId="9" hidden="1"/>
    <cellStyle name="Followed Hyperlink" xfId="5620" builtinId="9" hidden="1"/>
    <cellStyle name="Followed Hyperlink" xfId="5622" builtinId="9" hidden="1"/>
    <cellStyle name="Followed Hyperlink" xfId="5624" builtinId="9" hidden="1"/>
    <cellStyle name="Followed Hyperlink" xfId="5626" builtinId="9" hidden="1"/>
    <cellStyle name="Followed Hyperlink" xfId="5628" builtinId="9" hidden="1"/>
    <cellStyle name="Followed Hyperlink" xfId="5630" builtinId="9" hidden="1"/>
    <cellStyle name="Followed Hyperlink" xfId="5632" builtinId="9" hidden="1"/>
    <cellStyle name="Followed Hyperlink" xfId="5634" builtinId="9" hidden="1"/>
    <cellStyle name="Followed Hyperlink" xfId="5636" builtinId="9" hidden="1"/>
    <cellStyle name="Followed Hyperlink" xfId="5638" builtinId="9" hidden="1"/>
    <cellStyle name="Followed Hyperlink" xfId="5640" builtinId="9" hidden="1"/>
    <cellStyle name="Followed Hyperlink" xfId="5642" builtinId="9" hidden="1"/>
    <cellStyle name="Followed Hyperlink" xfId="5644" builtinId="9" hidden="1"/>
    <cellStyle name="Followed Hyperlink" xfId="5646" builtinId="9" hidden="1"/>
    <cellStyle name="Followed Hyperlink" xfId="5648" builtinId="9" hidden="1"/>
    <cellStyle name="Followed Hyperlink" xfId="5650" builtinId="9" hidden="1"/>
    <cellStyle name="Followed Hyperlink" xfId="5652" builtinId="9" hidden="1"/>
    <cellStyle name="Followed Hyperlink" xfId="5654" builtinId="9" hidden="1"/>
    <cellStyle name="Followed Hyperlink" xfId="5656" builtinId="9" hidden="1"/>
    <cellStyle name="Followed Hyperlink" xfId="5658" builtinId="9" hidden="1"/>
    <cellStyle name="Followed Hyperlink" xfId="5660" builtinId="9" hidden="1"/>
    <cellStyle name="Followed Hyperlink" xfId="5662" builtinId="9" hidden="1"/>
    <cellStyle name="Followed Hyperlink" xfId="5664" builtinId="9" hidden="1"/>
    <cellStyle name="Followed Hyperlink" xfId="5666" builtinId="9" hidden="1"/>
    <cellStyle name="Followed Hyperlink" xfId="5668" builtinId="9" hidden="1"/>
    <cellStyle name="Followed Hyperlink" xfId="5670" builtinId="9" hidden="1"/>
    <cellStyle name="Followed Hyperlink" xfId="5672" builtinId="9" hidden="1"/>
    <cellStyle name="Followed Hyperlink" xfId="5674" builtinId="9" hidden="1"/>
    <cellStyle name="Followed Hyperlink" xfId="5676" builtinId="9" hidden="1"/>
    <cellStyle name="Followed Hyperlink" xfId="5678" builtinId="9" hidden="1"/>
    <cellStyle name="Followed Hyperlink" xfId="5680" builtinId="9" hidden="1"/>
    <cellStyle name="Followed Hyperlink" xfId="5682" builtinId="9" hidden="1"/>
    <cellStyle name="Followed Hyperlink" xfId="5684" builtinId="9" hidden="1"/>
    <cellStyle name="Followed Hyperlink" xfId="5686" builtinId="9" hidden="1"/>
    <cellStyle name="Followed Hyperlink" xfId="5688" builtinId="9" hidden="1"/>
    <cellStyle name="Followed Hyperlink" xfId="5690" builtinId="9" hidden="1"/>
    <cellStyle name="Followed Hyperlink" xfId="5692" builtinId="9" hidden="1"/>
    <cellStyle name="Followed Hyperlink" xfId="5694" builtinId="9" hidden="1"/>
    <cellStyle name="Followed Hyperlink" xfId="5696" builtinId="9" hidden="1"/>
    <cellStyle name="Followed Hyperlink" xfId="5698" builtinId="9" hidden="1"/>
    <cellStyle name="Followed Hyperlink" xfId="5700" builtinId="9" hidden="1"/>
    <cellStyle name="Followed Hyperlink" xfId="5702" builtinId="9" hidden="1"/>
    <cellStyle name="Followed Hyperlink" xfId="5704" builtinId="9" hidden="1"/>
    <cellStyle name="Followed Hyperlink" xfId="5706" builtinId="9" hidden="1"/>
    <cellStyle name="Followed Hyperlink" xfId="5708" builtinId="9" hidden="1"/>
    <cellStyle name="Followed Hyperlink" xfId="5710" builtinId="9" hidden="1"/>
    <cellStyle name="Followed Hyperlink" xfId="5712" builtinId="9" hidden="1"/>
    <cellStyle name="Followed Hyperlink" xfId="5714" builtinId="9" hidden="1"/>
    <cellStyle name="Followed Hyperlink" xfId="5716" builtinId="9" hidden="1"/>
    <cellStyle name="Followed Hyperlink" xfId="5718" builtinId="9" hidden="1"/>
    <cellStyle name="Followed Hyperlink" xfId="5720" builtinId="9" hidden="1"/>
    <cellStyle name="Followed Hyperlink" xfId="5722" builtinId="9" hidden="1"/>
    <cellStyle name="Followed Hyperlink" xfId="5724" builtinId="9" hidden="1"/>
    <cellStyle name="Followed Hyperlink" xfId="5726" builtinId="9" hidden="1"/>
    <cellStyle name="Followed Hyperlink" xfId="5728" builtinId="9" hidden="1"/>
    <cellStyle name="Followed Hyperlink" xfId="5730" builtinId="9" hidden="1"/>
    <cellStyle name="Followed Hyperlink" xfId="5732" builtinId="9" hidden="1"/>
    <cellStyle name="Followed Hyperlink" xfId="5734" builtinId="9" hidden="1"/>
    <cellStyle name="Followed Hyperlink" xfId="5736" builtinId="9" hidden="1"/>
    <cellStyle name="Followed Hyperlink" xfId="5738" builtinId="9" hidden="1"/>
    <cellStyle name="Followed Hyperlink" xfId="5740" builtinId="9" hidden="1"/>
    <cellStyle name="Followed Hyperlink" xfId="5742" builtinId="9" hidden="1"/>
    <cellStyle name="Followed Hyperlink" xfId="5744" builtinId="9" hidden="1"/>
    <cellStyle name="Followed Hyperlink" xfId="5746" builtinId="9" hidden="1"/>
    <cellStyle name="Followed Hyperlink" xfId="5748" builtinId="9" hidden="1"/>
    <cellStyle name="Followed Hyperlink" xfId="5750" builtinId="9" hidden="1"/>
    <cellStyle name="Followed Hyperlink" xfId="5752" builtinId="9" hidden="1"/>
    <cellStyle name="Followed Hyperlink" xfId="5754" builtinId="9" hidden="1"/>
    <cellStyle name="Followed Hyperlink" xfId="5756" builtinId="9" hidden="1"/>
    <cellStyle name="Followed Hyperlink" xfId="5758" builtinId="9" hidden="1"/>
    <cellStyle name="Followed Hyperlink" xfId="5760" builtinId="9" hidden="1"/>
    <cellStyle name="Followed Hyperlink" xfId="5762" builtinId="9" hidden="1"/>
    <cellStyle name="Followed Hyperlink" xfId="5764" builtinId="9" hidden="1"/>
    <cellStyle name="Followed Hyperlink" xfId="5766" builtinId="9" hidden="1"/>
    <cellStyle name="Followed Hyperlink" xfId="5768" builtinId="9" hidden="1"/>
    <cellStyle name="Followed Hyperlink" xfId="5770" builtinId="9" hidden="1"/>
    <cellStyle name="Followed Hyperlink" xfId="5772" builtinId="9" hidden="1"/>
    <cellStyle name="Followed Hyperlink" xfId="5774" builtinId="9" hidden="1"/>
    <cellStyle name="Followed Hyperlink" xfId="5776" builtinId="9" hidden="1"/>
    <cellStyle name="Followed Hyperlink" xfId="5778" builtinId="9" hidden="1"/>
    <cellStyle name="Followed Hyperlink" xfId="5780" builtinId="9" hidden="1"/>
    <cellStyle name="Followed Hyperlink" xfId="5782" builtinId="9" hidden="1"/>
    <cellStyle name="Followed Hyperlink" xfId="5784" builtinId="9" hidden="1"/>
    <cellStyle name="Followed Hyperlink" xfId="5786" builtinId="9" hidden="1"/>
    <cellStyle name="Followed Hyperlink" xfId="5788" builtinId="9" hidden="1"/>
    <cellStyle name="Followed Hyperlink" xfId="5790" builtinId="9" hidden="1"/>
    <cellStyle name="Followed Hyperlink" xfId="5792" builtinId="9" hidden="1"/>
    <cellStyle name="Followed Hyperlink" xfId="5794" builtinId="9" hidden="1"/>
    <cellStyle name="Followed Hyperlink" xfId="5796" builtinId="9" hidden="1"/>
    <cellStyle name="Followed Hyperlink" xfId="5798" builtinId="9" hidden="1"/>
    <cellStyle name="Followed Hyperlink" xfId="5800" builtinId="9" hidden="1"/>
    <cellStyle name="Followed Hyperlink" xfId="5802" builtinId="9" hidden="1"/>
    <cellStyle name="Followed Hyperlink" xfId="5804" builtinId="9" hidden="1"/>
    <cellStyle name="Followed Hyperlink" xfId="5806" builtinId="9" hidden="1"/>
    <cellStyle name="Followed Hyperlink" xfId="5808" builtinId="9" hidden="1"/>
    <cellStyle name="Followed Hyperlink" xfId="5810" builtinId="9" hidden="1"/>
    <cellStyle name="Followed Hyperlink" xfId="5812" builtinId="9" hidden="1"/>
    <cellStyle name="Followed Hyperlink" xfId="5814" builtinId="9" hidden="1"/>
    <cellStyle name="Followed Hyperlink" xfId="5816" builtinId="9" hidden="1"/>
    <cellStyle name="Followed Hyperlink" xfId="5818" builtinId="9" hidden="1"/>
    <cellStyle name="Followed Hyperlink" xfId="5820" builtinId="9" hidden="1"/>
    <cellStyle name="Followed Hyperlink" xfId="5822" builtinId="9" hidden="1"/>
    <cellStyle name="Followed Hyperlink" xfId="5824" builtinId="9" hidden="1"/>
    <cellStyle name="Followed Hyperlink" xfId="5826" builtinId="9" hidden="1"/>
    <cellStyle name="Followed Hyperlink" xfId="5828" builtinId="9" hidden="1"/>
    <cellStyle name="Followed Hyperlink" xfId="5830" builtinId="9" hidden="1"/>
    <cellStyle name="Followed Hyperlink" xfId="5832" builtinId="9" hidden="1"/>
    <cellStyle name="Followed Hyperlink" xfId="5834" builtinId="9" hidden="1"/>
    <cellStyle name="Followed Hyperlink" xfId="5836" builtinId="9" hidden="1"/>
    <cellStyle name="Followed Hyperlink" xfId="5838" builtinId="9" hidden="1"/>
    <cellStyle name="Followed Hyperlink" xfId="5840" builtinId="9" hidden="1"/>
    <cellStyle name="Followed Hyperlink" xfId="5842" builtinId="9" hidden="1"/>
    <cellStyle name="Followed Hyperlink" xfId="5844" builtinId="9" hidden="1"/>
    <cellStyle name="Followed Hyperlink" xfId="5846" builtinId="9" hidden="1"/>
    <cellStyle name="Followed Hyperlink" xfId="5848" builtinId="9" hidden="1"/>
    <cellStyle name="Followed Hyperlink" xfId="5850" builtinId="9" hidden="1"/>
    <cellStyle name="Followed Hyperlink" xfId="5852" builtinId="9" hidden="1"/>
    <cellStyle name="Followed Hyperlink" xfId="5854" builtinId="9" hidden="1"/>
    <cellStyle name="Followed Hyperlink" xfId="5856" builtinId="9" hidden="1"/>
    <cellStyle name="Followed Hyperlink" xfId="5858" builtinId="9" hidden="1"/>
    <cellStyle name="Followed Hyperlink" xfId="5860" builtinId="9" hidden="1"/>
    <cellStyle name="Followed Hyperlink" xfId="5862" builtinId="9" hidden="1"/>
    <cellStyle name="Followed Hyperlink" xfId="5864" builtinId="9" hidden="1"/>
    <cellStyle name="Followed Hyperlink" xfId="5866" builtinId="9" hidden="1"/>
    <cellStyle name="Followed Hyperlink" xfId="5868" builtinId="9" hidden="1"/>
    <cellStyle name="Followed Hyperlink" xfId="5870" builtinId="9" hidden="1"/>
    <cellStyle name="Followed Hyperlink" xfId="5872" builtinId="9" hidden="1"/>
    <cellStyle name="Followed Hyperlink" xfId="5874" builtinId="9" hidden="1"/>
    <cellStyle name="Followed Hyperlink" xfId="5876" builtinId="9" hidden="1"/>
    <cellStyle name="Followed Hyperlink" xfId="5878" builtinId="9" hidden="1"/>
    <cellStyle name="Followed Hyperlink" xfId="5880" builtinId="9" hidden="1"/>
    <cellStyle name="Followed Hyperlink" xfId="5882" builtinId="9" hidden="1"/>
    <cellStyle name="Followed Hyperlink" xfId="5884" builtinId="9" hidden="1"/>
    <cellStyle name="Followed Hyperlink" xfId="5886" builtinId="9" hidden="1"/>
    <cellStyle name="Followed Hyperlink" xfId="5888" builtinId="9" hidden="1"/>
    <cellStyle name="Followed Hyperlink" xfId="5890" builtinId="9" hidden="1"/>
    <cellStyle name="Followed Hyperlink" xfId="5892" builtinId="9" hidden="1"/>
    <cellStyle name="Followed Hyperlink" xfId="5894" builtinId="9" hidden="1"/>
    <cellStyle name="Followed Hyperlink" xfId="5896" builtinId="9" hidden="1"/>
    <cellStyle name="Followed Hyperlink" xfId="5898" builtinId="9" hidden="1"/>
    <cellStyle name="Followed Hyperlink" xfId="5900" builtinId="9" hidden="1"/>
    <cellStyle name="Followed Hyperlink" xfId="5902" builtinId="9" hidden="1"/>
    <cellStyle name="Followed Hyperlink" xfId="5904" builtinId="9" hidden="1"/>
    <cellStyle name="Followed Hyperlink" xfId="5906" builtinId="9" hidden="1"/>
    <cellStyle name="Followed Hyperlink" xfId="5908" builtinId="9" hidden="1"/>
    <cellStyle name="Followed Hyperlink" xfId="5910" builtinId="9" hidden="1"/>
    <cellStyle name="Followed Hyperlink" xfId="5912" builtinId="9" hidden="1"/>
    <cellStyle name="Followed Hyperlink" xfId="5914" builtinId="9" hidden="1"/>
    <cellStyle name="Followed Hyperlink" xfId="5916" builtinId="9" hidden="1"/>
    <cellStyle name="Followed Hyperlink" xfId="5918" builtinId="9" hidden="1"/>
    <cellStyle name="Followed Hyperlink" xfId="5920" builtinId="9" hidden="1"/>
    <cellStyle name="Followed Hyperlink" xfId="5922" builtinId="9" hidden="1"/>
    <cellStyle name="Followed Hyperlink" xfId="5924" builtinId="9" hidden="1"/>
    <cellStyle name="Followed Hyperlink" xfId="5926" builtinId="9" hidden="1"/>
    <cellStyle name="Followed Hyperlink" xfId="5928" builtinId="9" hidden="1"/>
    <cellStyle name="Followed Hyperlink" xfId="5930" builtinId="9" hidden="1"/>
    <cellStyle name="Followed Hyperlink" xfId="5932" builtinId="9" hidden="1"/>
    <cellStyle name="Followed Hyperlink" xfId="5934" builtinId="9" hidden="1"/>
    <cellStyle name="Followed Hyperlink" xfId="5936" builtinId="9" hidden="1"/>
    <cellStyle name="Followed Hyperlink" xfId="5938" builtinId="9" hidden="1"/>
    <cellStyle name="Followed Hyperlink" xfId="5940" builtinId="9" hidden="1"/>
    <cellStyle name="Followed Hyperlink" xfId="5942" builtinId="9" hidden="1"/>
    <cellStyle name="Followed Hyperlink" xfId="5944" builtinId="9" hidden="1"/>
    <cellStyle name="Followed Hyperlink" xfId="5946" builtinId="9" hidden="1"/>
    <cellStyle name="Followed Hyperlink" xfId="5948" builtinId="9" hidden="1"/>
    <cellStyle name="Followed Hyperlink" xfId="5950" builtinId="9" hidden="1"/>
    <cellStyle name="Followed Hyperlink" xfId="5952" builtinId="9" hidden="1"/>
    <cellStyle name="Followed Hyperlink" xfId="5954" builtinId="9" hidden="1"/>
    <cellStyle name="Followed Hyperlink" xfId="5956" builtinId="9" hidden="1"/>
    <cellStyle name="Followed Hyperlink" xfId="5958" builtinId="9" hidden="1"/>
    <cellStyle name="Followed Hyperlink" xfId="5960" builtinId="9" hidden="1"/>
    <cellStyle name="Followed Hyperlink" xfId="5962" builtinId="9" hidden="1"/>
    <cellStyle name="Followed Hyperlink" xfId="5964" builtinId="9" hidden="1"/>
    <cellStyle name="Followed Hyperlink" xfId="5966" builtinId="9" hidden="1"/>
    <cellStyle name="Followed Hyperlink" xfId="5968" builtinId="9" hidden="1"/>
    <cellStyle name="Followed Hyperlink" xfId="5970" builtinId="9" hidden="1"/>
    <cellStyle name="Followed Hyperlink" xfId="5972" builtinId="9" hidden="1"/>
    <cellStyle name="Followed Hyperlink" xfId="5974" builtinId="9" hidden="1"/>
    <cellStyle name="Followed Hyperlink" xfId="5976" builtinId="9" hidden="1"/>
    <cellStyle name="Followed Hyperlink" xfId="5978" builtinId="9" hidden="1"/>
    <cellStyle name="Followed Hyperlink" xfId="5980" builtinId="9" hidden="1"/>
    <cellStyle name="Followed Hyperlink" xfId="5982" builtinId="9" hidden="1"/>
    <cellStyle name="Followed Hyperlink" xfId="5984" builtinId="9" hidden="1"/>
    <cellStyle name="Followed Hyperlink" xfId="5986" builtinId="9" hidden="1"/>
    <cellStyle name="Followed Hyperlink" xfId="5988" builtinId="9" hidden="1"/>
    <cellStyle name="Followed Hyperlink" xfId="5990" builtinId="9" hidden="1"/>
    <cellStyle name="Followed Hyperlink" xfId="5992" builtinId="9" hidden="1"/>
    <cellStyle name="Followed Hyperlink" xfId="5994" builtinId="9" hidden="1"/>
    <cellStyle name="Followed Hyperlink" xfId="5996" builtinId="9" hidden="1"/>
    <cellStyle name="Followed Hyperlink" xfId="5998" builtinId="9" hidden="1"/>
    <cellStyle name="Followed Hyperlink" xfId="6000" builtinId="9" hidden="1"/>
    <cellStyle name="Followed Hyperlink" xfId="6002" builtinId="9" hidden="1"/>
    <cellStyle name="Followed Hyperlink" xfId="6004" builtinId="9" hidden="1"/>
    <cellStyle name="Followed Hyperlink" xfId="6006" builtinId="9" hidden="1"/>
    <cellStyle name="Followed Hyperlink" xfId="6008" builtinId="9" hidden="1"/>
    <cellStyle name="Followed Hyperlink" xfId="6010" builtinId="9" hidden="1"/>
    <cellStyle name="Followed Hyperlink" xfId="6012" builtinId="9" hidden="1"/>
    <cellStyle name="Followed Hyperlink" xfId="6014" builtinId="9" hidden="1"/>
    <cellStyle name="Followed Hyperlink" xfId="6016" builtinId="9" hidden="1"/>
    <cellStyle name="Followed Hyperlink" xfId="6018" builtinId="9" hidden="1"/>
    <cellStyle name="Followed Hyperlink" xfId="6020" builtinId="9" hidden="1"/>
    <cellStyle name="Followed Hyperlink" xfId="6022" builtinId="9" hidden="1"/>
    <cellStyle name="Followed Hyperlink" xfId="6024" builtinId="9" hidden="1"/>
    <cellStyle name="Followed Hyperlink" xfId="6026" builtinId="9" hidden="1"/>
    <cellStyle name="Followed Hyperlink" xfId="6028" builtinId="9" hidden="1"/>
    <cellStyle name="Followed Hyperlink" xfId="6030" builtinId="9" hidden="1"/>
    <cellStyle name="Followed Hyperlink" xfId="6032" builtinId="9" hidden="1"/>
    <cellStyle name="Followed Hyperlink" xfId="6034" builtinId="9" hidden="1"/>
    <cellStyle name="Followed Hyperlink" xfId="6036" builtinId="9" hidden="1"/>
    <cellStyle name="Followed Hyperlink" xfId="6038" builtinId="9" hidden="1"/>
    <cellStyle name="Followed Hyperlink" xfId="6040" builtinId="9" hidden="1"/>
    <cellStyle name="Followed Hyperlink" xfId="6042" builtinId="9" hidden="1"/>
    <cellStyle name="Followed Hyperlink" xfId="6044" builtinId="9" hidden="1"/>
    <cellStyle name="Followed Hyperlink" xfId="6046" builtinId="9" hidden="1"/>
    <cellStyle name="Followed Hyperlink" xfId="6048" builtinId="9" hidden="1"/>
    <cellStyle name="Followed Hyperlink" xfId="6050" builtinId="9" hidden="1"/>
    <cellStyle name="Followed Hyperlink" xfId="6052" builtinId="9" hidden="1"/>
    <cellStyle name="Followed Hyperlink" xfId="6054" builtinId="9" hidden="1"/>
    <cellStyle name="Followed Hyperlink" xfId="6056" builtinId="9" hidden="1"/>
    <cellStyle name="Followed Hyperlink" xfId="6058" builtinId="9" hidden="1"/>
    <cellStyle name="Followed Hyperlink" xfId="6060" builtinId="9" hidden="1"/>
    <cellStyle name="Followed Hyperlink" xfId="6062" builtinId="9" hidden="1"/>
    <cellStyle name="Followed Hyperlink" xfId="6064" builtinId="9" hidden="1"/>
    <cellStyle name="Followed Hyperlink" xfId="6066" builtinId="9" hidden="1"/>
    <cellStyle name="Followed Hyperlink" xfId="6068" builtinId="9" hidden="1"/>
    <cellStyle name="Followed Hyperlink" xfId="6070" builtinId="9" hidden="1"/>
    <cellStyle name="Followed Hyperlink" xfId="6072" builtinId="9" hidden="1"/>
    <cellStyle name="Followed Hyperlink" xfId="6074" builtinId="9" hidden="1"/>
    <cellStyle name="Followed Hyperlink" xfId="6076" builtinId="9" hidden="1"/>
    <cellStyle name="Followed Hyperlink" xfId="6078" builtinId="9" hidden="1"/>
    <cellStyle name="Followed Hyperlink" xfId="6080" builtinId="9" hidden="1"/>
    <cellStyle name="Followed Hyperlink" xfId="6082" builtinId="9" hidden="1"/>
    <cellStyle name="Followed Hyperlink" xfId="6084" builtinId="9" hidden="1"/>
    <cellStyle name="Followed Hyperlink" xfId="6086" builtinId="9" hidden="1"/>
    <cellStyle name="Followed Hyperlink" xfId="6088" builtinId="9" hidden="1"/>
    <cellStyle name="Followed Hyperlink" xfId="6090" builtinId="9" hidden="1"/>
    <cellStyle name="Followed Hyperlink" xfId="6092" builtinId="9" hidden="1"/>
    <cellStyle name="Followed Hyperlink" xfId="6094" builtinId="9" hidden="1"/>
    <cellStyle name="Followed Hyperlink" xfId="6096" builtinId="9" hidden="1"/>
    <cellStyle name="Followed Hyperlink" xfId="6098" builtinId="9" hidden="1"/>
    <cellStyle name="Followed Hyperlink" xfId="6100" builtinId="9" hidden="1"/>
    <cellStyle name="Followed Hyperlink" xfId="6102" builtinId="9" hidden="1"/>
    <cellStyle name="Followed Hyperlink" xfId="6104" builtinId="9" hidden="1"/>
    <cellStyle name="Followed Hyperlink" xfId="6106" builtinId="9" hidden="1"/>
    <cellStyle name="Followed Hyperlink" xfId="6108" builtinId="9" hidden="1"/>
    <cellStyle name="Followed Hyperlink" xfId="6110" builtinId="9" hidden="1"/>
    <cellStyle name="Followed Hyperlink" xfId="6112" builtinId="9" hidden="1"/>
    <cellStyle name="Followed Hyperlink" xfId="6114" builtinId="9" hidden="1"/>
    <cellStyle name="Followed Hyperlink" xfId="6116" builtinId="9" hidden="1"/>
    <cellStyle name="Followed Hyperlink" xfId="6118" builtinId="9" hidden="1"/>
    <cellStyle name="Followed Hyperlink" xfId="6120" builtinId="9" hidden="1"/>
    <cellStyle name="Followed Hyperlink" xfId="6122" builtinId="9" hidden="1"/>
    <cellStyle name="Followed Hyperlink" xfId="6124" builtinId="9" hidden="1"/>
    <cellStyle name="Followed Hyperlink" xfId="6126" builtinId="9" hidden="1"/>
    <cellStyle name="Followed Hyperlink" xfId="6128" builtinId="9" hidden="1"/>
    <cellStyle name="Followed Hyperlink" xfId="6130" builtinId="9" hidden="1"/>
    <cellStyle name="Followed Hyperlink" xfId="6132" builtinId="9" hidden="1"/>
    <cellStyle name="Followed Hyperlink" xfId="6134" builtinId="9" hidden="1"/>
    <cellStyle name="Followed Hyperlink" xfId="6136" builtinId="9" hidden="1"/>
    <cellStyle name="Followed Hyperlink" xfId="6138" builtinId="9" hidden="1"/>
    <cellStyle name="Followed Hyperlink" xfId="6140" builtinId="9" hidden="1"/>
    <cellStyle name="Followed Hyperlink" xfId="6142" builtinId="9" hidden="1"/>
    <cellStyle name="Followed Hyperlink" xfId="6144" builtinId="9" hidden="1"/>
    <cellStyle name="Followed Hyperlink" xfId="6146" builtinId="9" hidden="1"/>
    <cellStyle name="Followed Hyperlink" xfId="6148" builtinId="9" hidden="1"/>
    <cellStyle name="Followed Hyperlink" xfId="6150" builtinId="9" hidden="1"/>
    <cellStyle name="Followed Hyperlink" xfId="6152" builtinId="9" hidden="1"/>
    <cellStyle name="Followed Hyperlink" xfId="6154" builtinId="9" hidden="1"/>
    <cellStyle name="Followed Hyperlink" xfId="6156" builtinId="9" hidden="1"/>
    <cellStyle name="Followed Hyperlink" xfId="6158" builtinId="9" hidden="1"/>
    <cellStyle name="Followed Hyperlink" xfId="6160" builtinId="9" hidden="1"/>
    <cellStyle name="Followed Hyperlink" xfId="6162" builtinId="9" hidden="1"/>
    <cellStyle name="Followed Hyperlink" xfId="6164" builtinId="9" hidden="1"/>
    <cellStyle name="Followed Hyperlink" xfId="6166" builtinId="9" hidden="1"/>
    <cellStyle name="Followed Hyperlink" xfId="6168" builtinId="9" hidden="1"/>
    <cellStyle name="Followed Hyperlink" xfId="6170" builtinId="9" hidden="1"/>
    <cellStyle name="Followed Hyperlink" xfId="6172" builtinId="9" hidden="1"/>
    <cellStyle name="Followed Hyperlink" xfId="6174" builtinId="9" hidden="1"/>
    <cellStyle name="Followed Hyperlink" xfId="6176" builtinId="9" hidden="1"/>
    <cellStyle name="Followed Hyperlink" xfId="6178" builtinId="9" hidden="1"/>
    <cellStyle name="Followed Hyperlink" xfId="6180" builtinId="9" hidden="1"/>
    <cellStyle name="Followed Hyperlink" xfId="6182" builtinId="9" hidden="1"/>
    <cellStyle name="Followed Hyperlink" xfId="6184" builtinId="9" hidden="1"/>
    <cellStyle name="Followed Hyperlink" xfId="6186" builtinId="9" hidden="1"/>
    <cellStyle name="Followed Hyperlink" xfId="6188" builtinId="9" hidden="1"/>
    <cellStyle name="Followed Hyperlink" xfId="6190" builtinId="9" hidden="1"/>
    <cellStyle name="Followed Hyperlink" xfId="6192" builtinId="9" hidden="1"/>
    <cellStyle name="Followed Hyperlink" xfId="6194" builtinId="9" hidden="1"/>
    <cellStyle name="Followed Hyperlink" xfId="6196" builtinId="9" hidden="1"/>
    <cellStyle name="Followed Hyperlink" xfId="6198" builtinId="9" hidden="1"/>
    <cellStyle name="Followed Hyperlink" xfId="6200" builtinId="9" hidden="1"/>
    <cellStyle name="Followed Hyperlink" xfId="6202" builtinId="9" hidden="1"/>
    <cellStyle name="Followed Hyperlink" xfId="6204" builtinId="9" hidden="1"/>
    <cellStyle name="Followed Hyperlink" xfId="6206" builtinId="9" hidden="1"/>
    <cellStyle name="Followed Hyperlink" xfId="6208" builtinId="9" hidden="1"/>
    <cellStyle name="Followed Hyperlink" xfId="6210" builtinId="9" hidden="1"/>
    <cellStyle name="Followed Hyperlink" xfId="6212" builtinId="9" hidden="1"/>
    <cellStyle name="Followed Hyperlink" xfId="6214" builtinId="9" hidden="1"/>
    <cellStyle name="Followed Hyperlink" xfId="6216" builtinId="9" hidden="1"/>
    <cellStyle name="Followed Hyperlink" xfId="6218" builtinId="9" hidden="1"/>
    <cellStyle name="Followed Hyperlink" xfId="6220" builtinId="9" hidden="1"/>
    <cellStyle name="Followed Hyperlink" xfId="6222" builtinId="9" hidden="1"/>
    <cellStyle name="Followed Hyperlink" xfId="6224" builtinId="9" hidden="1"/>
    <cellStyle name="Followed Hyperlink" xfId="6226" builtinId="9" hidden="1"/>
    <cellStyle name="Followed Hyperlink" xfId="6228" builtinId="9" hidden="1"/>
    <cellStyle name="Followed Hyperlink" xfId="6230" builtinId="9" hidden="1"/>
    <cellStyle name="Followed Hyperlink" xfId="6232" builtinId="9" hidden="1"/>
    <cellStyle name="Followed Hyperlink" xfId="6234" builtinId="9" hidden="1"/>
    <cellStyle name="Followed Hyperlink" xfId="6236" builtinId="9" hidden="1"/>
    <cellStyle name="Followed Hyperlink" xfId="6238" builtinId="9" hidden="1"/>
    <cellStyle name="Followed Hyperlink" xfId="6240" builtinId="9" hidden="1"/>
    <cellStyle name="Followed Hyperlink" xfId="6242" builtinId="9" hidden="1"/>
    <cellStyle name="Followed Hyperlink" xfId="6244" builtinId="9" hidden="1"/>
    <cellStyle name="Followed Hyperlink" xfId="6246" builtinId="9" hidden="1"/>
    <cellStyle name="Followed Hyperlink" xfId="6248" builtinId="9" hidden="1"/>
    <cellStyle name="Followed Hyperlink" xfId="6250" builtinId="9" hidden="1"/>
    <cellStyle name="Followed Hyperlink" xfId="6252" builtinId="9" hidden="1"/>
    <cellStyle name="Followed Hyperlink" xfId="6254" builtinId="9" hidden="1"/>
    <cellStyle name="Followed Hyperlink" xfId="6256" builtinId="9" hidden="1"/>
    <cellStyle name="Followed Hyperlink" xfId="6258" builtinId="9" hidden="1"/>
    <cellStyle name="Followed Hyperlink" xfId="6260" builtinId="9" hidden="1"/>
    <cellStyle name="Followed Hyperlink" xfId="6262" builtinId="9" hidden="1"/>
    <cellStyle name="Followed Hyperlink" xfId="6264" builtinId="9" hidden="1"/>
    <cellStyle name="Followed Hyperlink" xfId="6266" builtinId="9" hidden="1"/>
    <cellStyle name="Followed Hyperlink" xfId="6268" builtinId="9" hidden="1"/>
    <cellStyle name="Followed Hyperlink" xfId="6270" builtinId="9" hidden="1"/>
    <cellStyle name="Followed Hyperlink" xfId="6272" builtinId="9" hidden="1"/>
    <cellStyle name="Followed Hyperlink" xfId="6274" builtinId="9" hidden="1"/>
    <cellStyle name="Followed Hyperlink" xfId="6276" builtinId="9" hidden="1"/>
    <cellStyle name="Followed Hyperlink" xfId="6278" builtinId="9" hidden="1"/>
    <cellStyle name="Followed Hyperlink" xfId="6280" builtinId="9" hidden="1"/>
    <cellStyle name="Followed Hyperlink" xfId="6282" builtinId="9" hidden="1"/>
    <cellStyle name="Followed Hyperlink" xfId="6284" builtinId="9" hidden="1"/>
    <cellStyle name="Followed Hyperlink" xfId="6286" builtinId="9" hidden="1"/>
    <cellStyle name="Followed Hyperlink" xfId="6288" builtinId="9" hidden="1"/>
    <cellStyle name="Followed Hyperlink" xfId="6290" builtinId="9" hidden="1"/>
    <cellStyle name="Followed Hyperlink" xfId="6292" builtinId="9" hidden="1"/>
    <cellStyle name="Followed Hyperlink" xfId="6294" builtinId="9" hidden="1"/>
    <cellStyle name="Followed Hyperlink" xfId="6296" builtinId="9" hidden="1"/>
    <cellStyle name="Followed Hyperlink" xfId="6298" builtinId="9" hidden="1"/>
    <cellStyle name="Followed Hyperlink" xfId="6300" builtinId="9" hidden="1"/>
    <cellStyle name="Followed Hyperlink" xfId="6302" builtinId="9" hidden="1"/>
    <cellStyle name="Followed Hyperlink" xfId="6304" builtinId="9" hidden="1"/>
    <cellStyle name="Followed Hyperlink" xfId="6306" builtinId="9" hidden="1"/>
    <cellStyle name="Followed Hyperlink" xfId="6308" builtinId="9" hidden="1"/>
    <cellStyle name="Followed Hyperlink" xfId="6310" builtinId="9" hidden="1"/>
    <cellStyle name="Followed Hyperlink" xfId="6312" builtinId="9" hidden="1"/>
    <cellStyle name="Followed Hyperlink" xfId="6314" builtinId="9" hidden="1"/>
    <cellStyle name="Followed Hyperlink" xfId="6316" builtinId="9" hidden="1"/>
    <cellStyle name="Followed Hyperlink" xfId="6318" builtinId="9" hidden="1"/>
    <cellStyle name="Followed Hyperlink" xfId="6320" builtinId="9" hidden="1"/>
    <cellStyle name="Followed Hyperlink" xfId="6322" builtinId="9" hidden="1"/>
    <cellStyle name="Followed Hyperlink" xfId="6324" builtinId="9" hidden="1"/>
    <cellStyle name="Followed Hyperlink" xfId="6326" builtinId="9" hidden="1"/>
    <cellStyle name="Followed Hyperlink" xfId="6328" builtinId="9" hidden="1"/>
    <cellStyle name="Followed Hyperlink" xfId="6330" builtinId="9" hidden="1"/>
    <cellStyle name="Followed Hyperlink" xfId="6332" builtinId="9" hidden="1"/>
    <cellStyle name="Followed Hyperlink" xfId="6334" builtinId="9" hidden="1"/>
    <cellStyle name="Followed Hyperlink" xfId="6336" builtinId="9" hidden="1"/>
    <cellStyle name="Followed Hyperlink" xfId="6338" builtinId="9" hidden="1"/>
    <cellStyle name="Followed Hyperlink" xfId="6340" builtinId="9" hidden="1"/>
    <cellStyle name="Followed Hyperlink" xfId="6342" builtinId="9" hidden="1"/>
    <cellStyle name="Followed Hyperlink" xfId="6344" builtinId="9" hidden="1"/>
    <cellStyle name="Followed Hyperlink" xfId="6346" builtinId="9" hidden="1"/>
    <cellStyle name="Followed Hyperlink" xfId="6348" builtinId="9" hidden="1"/>
    <cellStyle name="Followed Hyperlink" xfId="6350" builtinId="9" hidden="1"/>
    <cellStyle name="Followed Hyperlink" xfId="6352" builtinId="9" hidden="1"/>
    <cellStyle name="Followed Hyperlink" xfId="6354" builtinId="9" hidden="1"/>
    <cellStyle name="Followed Hyperlink" xfId="6356" builtinId="9" hidden="1"/>
    <cellStyle name="Followed Hyperlink" xfId="6358" builtinId="9" hidden="1"/>
    <cellStyle name="Followed Hyperlink" xfId="6360" builtinId="9" hidden="1"/>
    <cellStyle name="Followed Hyperlink" xfId="6362" builtinId="9" hidden="1"/>
    <cellStyle name="Followed Hyperlink" xfId="6364" builtinId="9" hidden="1"/>
    <cellStyle name="Followed Hyperlink" xfId="6366" builtinId="9" hidden="1"/>
    <cellStyle name="Followed Hyperlink" xfId="6368" builtinId="9" hidden="1"/>
    <cellStyle name="Followed Hyperlink" xfId="6370" builtinId="9" hidden="1"/>
    <cellStyle name="Followed Hyperlink" xfId="6372" builtinId="9" hidden="1"/>
    <cellStyle name="Followed Hyperlink" xfId="6374" builtinId="9" hidden="1"/>
    <cellStyle name="Followed Hyperlink" xfId="6376" builtinId="9" hidden="1"/>
    <cellStyle name="Followed Hyperlink" xfId="6378" builtinId="9" hidden="1"/>
    <cellStyle name="Followed Hyperlink" xfId="6380" builtinId="9" hidden="1"/>
    <cellStyle name="Followed Hyperlink" xfId="6382" builtinId="9" hidden="1"/>
    <cellStyle name="Followed Hyperlink" xfId="6384" builtinId="9" hidden="1"/>
    <cellStyle name="Followed Hyperlink" xfId="6386" builtinId="9" hidden="1"/>
    <cellStyle name="Followed Hyperlink" xfId="6388" builtinId="9" hidden="1"/>
    <cellStyle name="Followed Hyperlink" xfId="6390" builtinId="9" hidden="1"/>
    <cellStyle name="Followed Hyperlink" xfId="6392" builtinId="9" hidden="1"/>
    <cellStyle name="Followed Hyperlink" xfId="6394" builtinId="9" hidden="1"/>
    <cellStyle name="Followed Hyperlink" xfId="6396" builtinId="9" hidden="1"/>
    <cellStyle name="Followed Hyperlink" xfId="6398" builtinId="9" hidden="1"/>
    <cellStyle name="Followed Hyperlink" xfId="6400" builtinId="9" hidden="1"/>
    <cellStyle name="Followed Hyperlink" xfId="6402" builtinId="9" hidden="1"/>
    <cellStyle name="Followed Hyperlink" xfId="6404" builtinId="9" hidden="1"/>
    <cellStyle name="Followed Hyperlink" xfId="6406" builtinId="9" hidden="1"/>
    <cellStyle name="Followed Hyperlink" xfId="6408" builtinId="9" hidden="1"/>
    <cellStyle name="Followed Hyperlink" xfId="6410" builtinId="9" hidden="1"/>
    <cellStyle name="Followed Hyperlink" xfId="6412" builtinId="9" hidden="1"/>
    <cellStyle name="Followed Hyperlink" xfId="6414" builtinId="9" hidden="1"/>
    <cellStyle name="Followed Hyperlink" xfId="6416" builtinId="9" hidden="1"/>
    <cellStyle name="Followed Hyperlink" xfId="6418" builtinId="9" hidden="1"/>
    <cellStyle name="Followed Hyperlink" xfId="6420" builtinId="9" hidden="1"/>
    <cellStyle name="Followed Hyperlink" xfId="6422" builtinId="9" hidden="1"/>
    <cellStyle name="Followed Hyperlink" xfId="6424" builtinId="9" hidden="1"/>
    <cellStyle name="Followed Hyperlink" xfId="6426" builtinId="9" hidden="1"/>
    <cellStyle name="Followed Hyperlink" xfId="6428" builtinId="9" hidden="1"/>
    <cellStyle name="Followed Hyperlink" xfId="6430" builtinId="9" hidden="1"/>
    <cellStyle name="Followed Hyperlink" xfId="6432" builtinId="9" hidden="1"/>
    <cellStyle name="Followed Hyperlink" xfId="6434" builtinId="9" hidden="1"/>
    <cellStyle name="Followed Hyperlink" xfId="6436" builtinId="9" hidden="1"/>
    <cellStyle name="Followed Hyperlink" xfId="6438" builtinId="9" hidden="1"/>
    <cellStyle name="Followed Hyperlink" xfId="6440" builtinId="9" hidden="1"/>
    <cellStyle name="Followed Hyperlink" xfId="6442" builtinId="9" hidden="1"/>
    <cellStyle name="Followed Hyperlink" xfId="6444" builtinId="9" hidden="1"/>
    <cellStyle name="Followed Hyperlink" xfId="6446" builtinId="9" hidden="1"/>
    <cellStyle name="Followed Hyperlink" xfId="6448" builtinId="9" hidden="1"/>
    <cellStyle name="Followed Hyperlink" xfId="6450" builtinId="9" hidden="1"/>
    <cellStyle name="Followed Hyperlink" xfId="6452" builtinId="9" hidden="1"/>
    <cellStyle name="Followed Hyperlink" xfId="6454" builtinId="9" hidden="1"/>
    <cellStyle name="Followed Hyperlink" xfId="6456" builtinId="9" hidden="1"/>
    <cellStyle name="Followed Hyperlink" xfId="6458" builtinId="9" hidden="1"/>
    <cellStyle name="Followed Hyperlink" xfId="6460" builtinId="9" hidden="1"/>
    <cellStyle name="Followed Hyperlink" xfId="6462" builtinId="9" hidden="1"/>
    <cellStyle name="Followed Hyperlink" xfId="6464" builtinId="9" hidden="1"/>
    <cellStyle name="Followed Hyperlink" xfId="6466" builtinId="9" hidden="1"/>
    <cellStyle name="Followed Hyperlink" xfId="6468" builtinId="9" hidden="1"/>
    <cellStyle name="Followed Hyperlink" xfId="6470" builtinId="9" hidden="1"/>
    <cellStyle name="Followed Hyperlink" xfId="6472" builtinId="9" hidden="1"/>
    <cellStyle name="Followed Hyperlink" xfId="6474" builtinId="9" hidden="1"/>
    <cellStyle name="Followed Hyperlink" xfId="6476" builtinId="9" hidden="1"/>
    <cellStyle name="Followed Hyperlink" xfId="6478" builtinId="9" hidden="1"/>
    <cellStyle name="Followed Hyperlink" xfId="6480" builtinId="9" hidden="1"/>
    <cellStyle name="Followed Hyperlink" xfId="6482" builtinId="9" hidden="1"/>
    <cellStyle name="Followed Hyperlink" xfId="6484" builtinId="9" hidden="1"/>
    <cellStyle name="Followed Hyperlink" xfId="6486" builtinId="9" hidden="1"/>
    <cellStyle name="Followed Hyperlink" xfId="6488" builtinId="9" hidden="1"/>
    <cellStyle name="Followed Hyperlink" xfId="6490" builtinId="9" hidden="1"/>
    <cellStyle name="Followed Hyperlink" xfId="6492" builtinId="9" hidden="1"/>
    <cellStyle name="Followed Hyperlink" xfId="6494" builtinId="9" hidden="1"/>
    <cellStyle name="Followed Hyperlink" xfId="6496" builtinId="9" hidden="1"/>
    <cellStyle name="Followed Hyperlink" xfId="6498" builtinId="9" hidden="1"/>
    <cellStyle name="Followed Hyperlink" xfId="6500" builtinId="9" hidden="1"/>
    <cellStyle name="Followed Hyperlink" xfId="6502" builtinId="9" hidden="1"/>
    <cellStyle name="Followed Hyperlink" xfId="6504" builtinId="9" hidden="1"/>
    <cellStyle name="Followed Hyperlink" xfId="6506" builtinId="9" hidden="1"/>
    <cellStyle name="Followed Hyperlink" xfId="6508" builtinId="9" hidden="1"/>
    <cellStyle name="Followed Hyperlink" xfId="6510" builtinId="9" hidden="1"/>
    <cellStyle name="Followed Hyperlink" xfId="6512" builtinId="9" hidden="1"/>
    <cellStyle name="Followed Hyperlink" xfId="6514" builtinId="9" hidden="1"/>
    <cellStyle name="Followed Hyperlink" xfId="6516" builtinId="9" hidden="1"/>
    <cellStyle name="Followed Hyperlink" xfId="6518" builtinId="9" hidden="1"/>
    <cellStyle name="Followed Hyperlink" xfId="6520" builtinId="9" hidden="1"/>
    <cellStyle name="Followed Hyperlink" xfId="6522" builtinId="9" hidden="1"/>
    <cellStyle name="Followed Hyperlink" xfId="6524" builtinId="9" hidden="1"/>
    <cellStyle name="Followed Hyperlink" xfId="6526" builtinId="9" hidden="1"/>
    <cellStyle name="Followed Hyperlink" xfId="6528" builtinId="9" hidden="1"/>
    <cellStyle name="Followed Hyperlink" xfId="6530" builtinId="9" hidden="1"/>
    <cellStyle name="Followed Hyperlink" xfId="6532" builtinId="9" hidden="1"/>
    <cellStyle name="Followed Hyperlink" xfId="6534" builtinId="9" hidden="1"/>
    <cellStyle name="Followed Hyperlink" xfId="6536" builtinId="9" hidden="1"/>
    <cellStyle name="Followed Hyperlink" xfId="6538" builtinId="9" hidden="1"/>
    <cellStyle name="Followed Hyperlink" xfId="6540" builtinId="9" hidden="1"/>
    <cellStyle name="Followed Hyperlink" xfId="6542" builtinId="9" hidden="1"/>
    <cellStyle name="Followed Hyperlink" xfId="6544" builtinId="9" hidden="1"/>
    <cellStyle name="Followed Hyperlink" xfId="6546" builtinId="9" hidden="1"/>
    <cellStyle name="Followed Hyperlink" xfId="6548" builtinId="9" hidden="1"/>
    <cellStyle name="Followed Hyperlink" xfId="6550" builtinId="9" hidden="1"/>
    <cellStyle name="Followed Hyperlink" xfId="6552" builtinId="9" hidden="1"/>
    <cellStyle name="Followed Hyperlink" xfId="6554" builtinId="9" hidden="1"/>
    <cellStyle name="Followed Hyperlink" xfId="6556" builtinId="9" hidden="1"/>
    <cellStyle name="Followed Hyperlink" xfId="6558" builtinId="9" hidden="1"/>
    <cellStyle name="Followed Hyperlink" xfId="6560" builtinId="9" hidden="1"/>
    <cellStyle name="Followed Hyperlink" xfId="6562" builtinId="9" hidden="1"/>
    <cellStyle name="Followed Hyperlink" xfId="6564" builtinId="9" hidden="1"/>
    <cellStyle name="Followed Hyperlink" xfId="6566" builtinId="9" hidden="1"/>
    <cellStyle name="Followed Hyperlink" xfId="6568" builtinId="9" hidden="1"/>
    <cellStyle name="Followed Hyperlink" xfId="6570" builtinId="9" hidden="1"/>
    <cellStyle name="Followed Hyperlink" xfId="6572" builtinId="9" hidden="1"/>
    <cellStyle name="Followed Hyperlink" xfId="6574" builtinId="9" hidden="1"/>
    <cellStyle name="Followed Hyperlink" xfId="6576" builtinId="9" hidden="1"/>
    <cellStyle name="Followed Hyperlink" xfId="6578" builtinId="9" hidden="1"/>
    <cellStyle name="Followed Hyperlink" xfId="6580" builtinId="9" hidden="1"/>
    <cellStyle name="Followed Hyperlink" xfId="6582" builtinId="9" hidden="1"/>
    <cellStyle name="Followed Hyperlink" xfId="6584" builtinId="9" hidden="1"/>
    <cellStyle name="Followed Hyperlink" xfId="6586" builtinId="9" hidden="1"/>
    <cellStyle name="Followed Hyperlink" xfId="6588" builtinId="9" hidden="1"/>
    <cellStyle name="Followed Hyperlink" xfId="6590" builtinId="9" hidden="1"/>
    <cellStyle name="Followed Hyperlink" xfId="6592" builtinId="9" hidden="1"/>
    <cellStyle name="Followed Hyperlink" xfId="6594" builtinId="9" hidden="1"/>
    <cellStyle name="Followed Hyperlink" xfId="6596" builtinId="9" hidden="1"/>
    <cellStyle name="Followed Hyperlink" xfId="6598" builtinId="9" hidden="1"/>
    <cellStyle name="Followed Hyperlink" xfId="6600" builtinId="9" hidden="1"/>
    <cellStyle name="Followed Hyperlink" xfId="6602" builtinId="9" hidden="1"/>
    <cellStyle name="Followed Hyperlink" xfId="6604" builtinId="9" hidden="1"/>
    <cellStyle name="Followed Hyperlink" xfId="6606" builtinId="9" hidden="1"/>
    <cellStyle name="Followed Hyperlink" xfId="6608" builtinId="9" hidden="1"/>
    <cellStyle name="Followed Hyperlink" xfId="6610" builtinId="9" hidden="1"/>
    <cellStyle name="Followed Hyperlink" xfId="6612" builtinId="9" hidden="1"/>
    <cellStyle name="Followed Hyperlink" xfId="6614" builtinId="9" hidden="1"/>
    <cellStyle name="Followed Hyperlink" xfId="6616" builtinId="9" hidden="1"/>
    <cellStyle name="Followed Hyperlink" xfId="6618" builtinId="9" hidden="1"/>
    <cellStyle name="Followed Hyperlink" xfId="6620" builtinId="9" hidden="1"/>
    <cellStyle name="Followed Hyperlink" xfId="6622" builtinId="9" hidden="1"/>
    <cellStyle name="Followed Hyperlink" xfId="6624" builtinId="9" hidden="1"/>
    <cellStyle name="Followed Hyperlink" xfId="6626" builtinId="9" hidden="1"/>
    <cellStyle name="Followed Hyperlink" xfId="6628" builtinId="9" hidden="1"/>
    <cellStyle name="Followed Hyperlink" xfId="6630" builtinId="9" hidden="1"/>
    <cellStyle name="Followed Hyperlink" xfId="6632" builtinId="9" hidden="1"/>
    <cellStyle name="Followed Hyperlink" xfId="6634" builtinId="9" hidden="1"/>
    <cellStyle name="Followed Hyperlink" xfId="6636" builtinId="9" hidden="1"/>
    <cellStyle name="Followed Hyperlink" xfId="6638" builtinId="9" hidden="1"/>
    <cellStyle name="Followed Hyperlink" xfId="6640" builtinId="9" hidden="1"/>
    <cellStyle name="Followed Hyperlink" xfId="6642" builtinId="9" hidden="1"/>
    <cellStyle name="Followed Hyperlink" xfId="6644" builtinId="9" hidden="1"/>
    <cellStyle name="Followed Hyperlink" xfId="6646" builtinId="9" hidden="1"/>
    <cellStyle name="Followed Hyperlink" xfId="6648" builtinId="9" hidden="1"/>
    <cellStyle name="Followed Hyperlink" xfId="6650" builtinId="9" hidden="1"/>
    <cellStyle name="Followed Hyperlink" xfId="6652" builtinId="9" hidden="1"/>
    <cellStyle name="Followed Hyperlink" xfId="6654" builtinId="9" hidden="1"/>
    <cellStyle name="Followed Hyperlink" xfId="6656" builtinId="9" hidden="1"/>
    <cellStyle name="Followed Hyperlink" xfId="6658" builtinId="9" hidden="1"/>
    <cellStyle name="Followed Hyperlink" xfId="6660" builtinId="9" hidden="1"/>
    <cellStyle name="Followed Hyperlink" xfId="6662" builtinId="9" hidden="1"/>
    <cellStyle name="Followed Hyperlink" xfId="6664" builtinId="9" hidden="1"/>
    <cellStyle name="Followed Hyperlink" xfId="6666" builtinId="9" hidden="1"/>
    <cellStyle name="Followed Hyperlink" xfId="6668" builtinId="9" hidden="1"/>
    <cellStyle name="Followed Hyperlink" xfId="6670" builtinId="9" hidden="1"/>
    <cellStyle name="Followed Hyperlink" xfId="6672" builtinId="9" hidden="1"/>
    <cellStyle name="Followed Hyperlink" xfId="6674" builtinId="9" hidden="1"/>
    <cellStyle name="Followed Hyperlink" xfId="6676" builtinId="9" hidden="1"/>
    <cellStyle name="Followed Hyperlink" xfId="6678" builtinId="9" hidden="1"/>
    <cellStyle name="Followed Hyperlink" xfId="6680" builtinId="9" hidden="1"/>
    <cellStyle name="Followed Hyperlink" xfId="6682" builtinId="9" hidden="1"/>
    <cellStyle name="Followed Hyperlink" xfId="6684" builtinId="9" hidden="1"/>
    <cellStyle name="Followed Hyperlink" xfId="6686" builtinId="9" hidden="1"/>
    <cellStyle name="Followed Hyperlink" xfId="6688" builtinId="9" hidden="1"/>
    <cellStyle name="Followed Hyperlink" xfId="6690" builtinId="9" hidden="1"/>
    <cellStyle name="Followed Hyperlink" xfId="6692" builtinId="9" hidden="1"/>
    <cellStyle name="Followed Hyperlink" xfId="6694" builtinId="9" hidden="1"/>
    <cellStyle name="Followed Hyperlink" xfId="6696" builtinId="9" hidden="1"/>
    <cellStyle name="Followed Hyperlink" xfId="6698" builtinId="9" hidden="1"/>
    <cellStyle name="Followed Hyperlink" xfId="6700" builtinId="9" hidden="1"/>
    <cellStyle name="Followed Hyperlink" xfId="6702" builtinId="9" hidden="1"/>
    <cellStyle name="Followed Hyperlink" xfId="6704" builtinId="9" hidden="1"/>
    <cellStyle name="Followed Hyperlink" xfId="6706" builtinId="9" hidden="1"/>
    <cellStyle name="Followed Hyperlink" xfId="6708" builtinId="9" hidden="1"/>
    <cellStyle name="Followed Hyperlink" xfId="6710" builtinId="9" hidden="1"/>
    <cellStyle name="Followed Hyperlink" xfId="6712" builtinId="9" hidden="1"/>
    <cellStyle name="Followed Hyperlink" xfId="6714" builtinId="9" hidden="1"/>
    <cellStyle name="Followed Hyperlink" xfId="6716" builtinId="9" hidden="1"/>
    <cellStyle name="Followed Hyperlink" xfId="6718" builtinId="9" hidden="1"/>
    <cellStyle name="Followed Hyperlink" xfId="6720" builtinId="9" hidden="1"/>
    <cellStyle name="Followed Hyperlink" xfId="6722" builtinId="9" hidden="1"/>
    <cellStyle name="Followed Hyperlink" xfId="6724" builtinId="9" hidden="1"/>
    <cellStyle name="Followed Hyperlink" xfId="6726" builtinId="9" hidden="1"/>
    <cellStyle name="Followed Hyperlink" xfId="6728" builtinId="9" hidden="1"/>
    <cellStyle name="Followed Hyperlink" xfId="6730" builtinId="9" hidden="1"/>
    <cellStyle name="Followed Hyperlink" xfId="6732" builtinId="9" hidden="1"/>
    <cellStyle name="Followed Hyperlink" xfId="6734" builtinId="9" hidden="1"/>
    <cellStyle name="Followed Hyperlink" xfId="6736" builtinId="9" hidden="1"/>
    <cellStyle name="Followed Hyperlink" xfId="6738" builtinId="9" hidden="1"/>
    <cellStyle name="Followed Hyperlink" xfId="6740" builtinId="9" hidden="1"/>
    <cellStyle name="Followed Hyperlink" xfId="6742" builtinId="9" hidden="1"/>
    <cellStyle name="Followed Hyperlink" xfId="6744" builtinId="9" hidden="1"/>
    <cellStyle name="Followed Hyperlink" xfId="6746" builtinId="9" hidden="1"/>
    <cellStyle name="Followed Hyperlink" xfId="6748" builtinId="9" hidden="1"/>
    <cellStyle name="Followed Hyperlink" xfId="6750" builtinId="9" hidden="1"/>
    <cellStyle name="Followed Hyperlink" xfId="6752" builtinId="9" hidden="1"/>
    <cellStyle name="Followed Hyperlink" xfId="6754" builtinId="9" hidden="1"/>
    <cellStyle name="Followed Hyperlink" xfId="6756" builtinId="9" hidden="1"/>
    <cellStyle name="Followed Hyperlink" xfId="6758" builtinId="9" hidden="1"/>
    <cellStyle name="Followed Hyperlink" xfId="6760" builtinId="9" hidden="1"/>
    <cellStyle name="Followed Hyperlink" xfId="6762" builtinId="9" hidden="1"/>
    <cellStyle name="Followed Hyperlink" xfId="6764" builtinId="9" hidden="1"/>
    <cellStyle name="Followed Hyperlink" xfId="6766" builtinId="9" hidden="1"/>
    <cellStyle name="Followed Hyperlink" xfId="6768" builtinId="9" hidden="1"/>
    <cellStyle name="Followed Hyperlink" xfId="6770" builtinId="9" hidden="1"/>
    <cellStyle name="Followed Hyperlink" xfId="6772" builtinId="9" hidden="1"/>
    <cellStyle name="Followed Hyperlink" xfId="6774" builtinId="9" hidden="1"/>
    <cellStyle name="Followed Hyperlink" xfId="6776" builtinId="9" hidden="1"/>
    <cellStyle name="Followed Hyperlink" xfId="6778" builtinId="9" hidden="1"/>
    <cellStyle name="Followed Hyperlink" xfId="6780" builtinId="9" hidden="1"/>
    <cellStyle name="Followed Hyperlink" xfId="6782" builtinId="9" hidden="1"/>
    <cellStyle name="Followed Hyperlink" xfId="6784" builtinId="9" hidden="1"/>
    <cellStyle name="Followed Hyperlink" xfId="6786" builtinId="9" hidden="1"/>
    <cellStyle name="Followed Hyperlink" xfId="6788" builtinId="9" hidden="1"/>
    <cellStyle name="Followed Hyperlink" xfId="6790" builtinId="9" hidden="1"/>
    <cellStyle name="Followed Hyperlink" xfId="6792" builtinId="9" hidden="1"/>
    <cellStyle name="Followed Hyperlink" xfId="6794" builtinId="9" hidden="1"/>
    <cellStyle name="Followed Hyperlink" xfId="6796" builtinId="9" hidden="1"/>
    <cellStyle name="Followed Hyperlink" xfId="6798" builtinId="9" hidden="1"/>
    <cellStyle name="Followed Hyperlink" xfId="6800" builtinId="9" hidden="1"/>
    <cellStyle name="Followed Hyperlink" xfId="6802" builtinId="9" hidden="1"/>
    <cellStyle name="Followed Hyperlink" xfId="6804" builtinId="9" hidden="1"/>
    <cellStyle name="Followed Hyperlink" xfId="6806" builtinId="9" hidden="1"/>
    <cellStyle name="Followed Hyperlink" xfId="6808" builtinId="9" hidden="1"/>
    <cellStyle name="Followed Hyperlink" xfId="6810" builtinId="9" hidden="1"/>
    <cellStyle name="Followed Hyperlink" xfId="6812" builtinId="9" hidden="1"/>
    <cellStyle name="Followed Hyperlink" xfId="6814" builtinId="9" hidden="1"/>
    <cellStyle name="Followed Hyperlink" xfId="6816" builtinId="9" hidden="1"/>
    <cellStyle name="Followed Hyperlink" xfId="6818" builtinId="9" hidden="1"/>
    <cellStyle name="Followed Hyperlink" xfId="6820" builtinId="9" hidden="1"/>
    <cellStyle name="Followed Hyperlink" xfId="6822" builtinId="9" hidden="1"/>
    <cellStyle name="Followed Hyperlink" xfId="6824" builtinId="9" hidden="1"/>
    <cellStyle name="Followed Hyperlink" xfId="6826" builtinId="9" hidden="1"/>
    <cellStyle name="Followed Hyperlink" xfId="6828" builtinId="9" hidden="1"/>
    <cellStyle name="Followed Hyperlink" xfId="6830" builtinId="9" hidden="1"/>
    <cellStyle name="Followed Hyperlink" xfId="6832" builtinId="9" hidden="1"/>
    <cellStyle name="Followed Hyperlink" xfId="6834" builtinId="9" hidden="1"/>
    <cellStyle name="Followed Hyperlink" xfId="6836" builtinId="9" hidden="1"/>
    <cellStyle name="Followed Hyperlink" xfId="6838" builtinId="9" hidden="1"/>
    <cellStyle name="Followed Hyperlink" xfId="6840" builtinId="9" hidden="1"/>
    <cellStyle name="Followed Hyperlink" xfId="6842" builtinId="9" hidden="1"/>
    <cellStyle name="Followed Hyperlink" xfId="6844" builtinId="9" hidden="1"/>
    <cellStyle name="Followed Hyperlink" xfId="6846" builtinId="9" hidden="1"/>
    <cellStyle name="Followed Hyperlink" xfId="6848" builtinId="9" hidden="1"/>
    <cellStyle name="Followed Hyperlink" xfId="6850" builtinId="9" hidden="1"/>
    <cellStyle name="Followed Hyperlink" xfId="6852" builtinId="9" hidden="1"/>
    <cellStyle name="Followed Hyperlink" xfId="6854" builtinId="9" hidden="1"/>
    <cellStyle name="Followed Hyperlink" xfId="6856" builtinId="9" hidden="1"/>
    <cellStyle name="Followed Hyperlink" xfId="6858" builtinId="9" hidden="1"/>
    <cellStyle name="Followed Hyperlink" xfId="6860" builtinId="9" hidden="1"/>
    <cellStyle name="Followed Hyperlink" xfId="6862" builtinId="9" hidden="1"/>
    <cellStyle name="Followed Hyperlink" xfId="6864" builtinId="9" hidden="1"/>
    <cellStyle name="Followed Hyperlink" xfId="6866" builtinId="9" hidden="1"/>
    <cellStyle name="Followed Hyperlink" xfId="6868" builtinId="9" hidden="1"/>
    <cellStyle name="Followed Hyperlink" xfId="6870" builtinId="9" hidden="1"/>
    <cellStyle name="Followed Hyperlink" xfId="6872" builtinId="9" hidden="1"/>
    <cellStyle name="Followed Hyperlink" xfId="6874" builtinId="9" hidden="1"/>
    <cellStyle name="Followed Hyperlink" xfId="6876" builtinId="9" hidden="1"/>
    <cellStyle name="Followed Hyperlink" xfId="6878" builtinId="9" hidden="1"/>
    <cellStyle name="Followed Hyperlink" xfId="6880" builtinId="9" hidden="1"/>
    <cellStyle name="Followed Hyperlink" xfId="6882" builtinId="9" hidden="1"/>
    <cellStyle name="Followed Hyperlink" xfId="6884" builtinId="9" hidden="1"/>
    <cellStyle name="Followed Hyperlink" xfId="6886" builtinId="9" hidden="1"/>
    <cellStyle name="Followed Hyperlink" xfId="6888" builtinId="9" hidden="1"/>
    <cellStyle name="Followed Hyperlink" xfId="6890" builtinId="9" hidden="1"/>
    <cellStyle name="Followed Hyperlink" xfId="6892" builtinId="9" hidden="1"/>
    <cellStyle name="Followed Hyperlink" xfId="6894" builtinId="9" hidden="1"/>
    <cellStyle name="Followed Hyperlink" xfId="6896" builtinId="9" hidden="1"/>
    <cellStyle name="Followed Hyperlink" xfId="6898" builtinId="9" hidden="1"/>
    <cellStyle name="Followed Hyperlink" xfId="6900" builtinId="9" hidden="1"/>
    <cellStyle name="Followed Hyperlink" xfId="6902" builtinId="9" hidden="1"/>
    <cellStyle name="Followed Hyperlink" xfId="6904" builtinId="9" hidden="1"/>
    <cellStyle name="Followed Hyperlink" xfId="6906" builtinId="9" hidden="1"/>
    <cellStyle name="Followed Hyperlink" xfId="6908" builtinId="9" hidden="1"/>
    <cellStyle name="Followed Hyperlink" xfId="6910" builtinId="9" hidden="1"/>
    <cellStyle name="Followed Hyperlink" xfId="6912" builtinId="9" hidden="1"/>
    <cellStyle name="Followed Hyperlink" xfId="6914" builtinId="9" hidden="1"/>
    <cellStyle name="Followed Hyperlink" xfId="6916" builtinId="9" hidden="1"/>
    <cellStyle name="Followed Hyperlink" xfId="6918" builtinId="9" hidden="1"/>
    <cellStyle name="Followed Hyperlink" xfId="6920" builtinId="9" hidden="1"/>
    <cellStyle name="Followed Hyperlink" xfId="6922" builtinId="9" hidden="1"/>
    <cellStyle name="Followed Hyperlink" xfId="6924" builtinId="9" hidden="1"/>
    <cellStyle name="Followed Hyperlink" xfId="6926" builtinId="9" hidden="1"/>
    <cellStyle name="Followed Hyperlink" xfId="6928" builtinId="9" hidden="1"/>
    <cellStyle name="Followed Hyperlink" xfId="6930" builtinId="9" hidden="1"/>
    <cellStyle name="Followed Hyperlink" xfId="6932" builtinId="9" hidden="1"/>
    <cellStyle name="Followed Hyperlink" xfId="6934" builtinId="9" hidden="1"/>
    <cellStyle name="Followed Hyperlink" xfId="6936" builtinId="9" hidden="1"/>
    <cellStyle name="Followed Hyperlink" xfId="6938" builtinId="9" hidden="1"/>
    <cellStyle name="Followed Hyperlink" xfId="6940" builtinId="9" hidden="1"/>
    <cellStyle name="Followed Hyperlink" xfId="6942" builtinId="9" hidden="1"/>
    <cellStyle name="Followed Hyperlink" xfId="6944" builtinId="9" hidden="1"/>
    <cellStyle name="Followed Hyperlink" xfId="6946" builtinId="9" hidden="1"/>
    <cellStyle name="Followed Hyperlink" xfId="6948" builtinId="9" hidden="1"/>
    <cellStyle name="Followed Hyperlink" xfId="6950" builtinId="9" hidden="1"/>
    <cellStyle name="Followed Hyperlink" xfId="6952" builtinId="9" hidden="1"/>
    <cellStyle name="Followed Hyperlink" xfId="6954" builtinId="9" hidden="1"/>
    <cellStyle name="Followed Hyperlink" xfId="6956" builtinId="9" hidden="1"/>
    <cellStyle name="Followed Hyperlink" xfId="6958" builtinId="9" hidden="1"/>
    <cellStyle name="Followed Hyperlink" xfId="6960" builtinId="9" hidden="1"/>
    <cellStyle name="Followed Hyperlink" xfId="6962" builtinId="9" hidden="1"/>
    <cellStyle name="Followed Hyperlink" xfId="6964" builtinId="9" hidden="1"/>
    <cellStyle name="Followed Hyperlink" xfId="6966" builtinId="9" hidden="1"/>
    <cellStyle name="Followed Hyperlink" xfId="6968" builtinId="9" hidden="1"/>
    <cellStyle name="Followed Hyperlink" xfId="6970" builtinId="9" hidden="1"/>
    <cellStyle name="Followed Hyperlink" xfId="6972" builtinId="9" hidden="1"/>
    <cellStyle name="Followed Hyperlink" xfId="6974" builtinId="9" hidden="1"/>
    <cellStyle name="Followed Hyperlink" xfId="6976" builtinId="9" hidden="1"/>
    <cellStyle name="Followed Hyperlink" xfId="6978" builtinId="9" hidden="1"/>
    <cellStyle name="Followed Hyperlink" xfId="6980" builtinId="9" hidden="1"/>
    <cellStyle name="Followed Hyperlink" xfId="6982" builtinId="9" hidden="1"/>
    <cellStyle name="Followed Hyperlink" xfId="6984" builtinId="9" hidden="1"/>
    <cellStyle name="Followed Hyperlink" xfId="6986" builtinId="9" hidden="1"/>
    <cellStyle name="Followed Hyperlink" xfId="6988" builtinId="9" hidden="1"/>
    <cellStyle name="Followed Hyperlink" xfId="6990" builtinId="9" hidden="1"/>
    <cellStyle name="Followed Hyperlink" xfId="6992" builtinId="9" hidden="1"/>
    <cellStyle name="Followed Hyperlink" xfId="6994" builtinId="9" hidden="1"/>
    <cellStyle name="Followed Hyperlink" xfId="6996" builtinId="9" hidden="1"/>
    <cellStyle name="Followed Hyperlink" xfId="6998" builtinId="9" hidden="1"/>
    <cellStyle name="Followed Hyperlink" xfId="7000" builtinId="9" hidden="1"/>
    <cellStyle name="Followed Hyperlink" xfId="7002" builtinId="9" hidden="1"/>
    <cellStyle name="Followed Hyperlink" xfId="7004" builtinId="9" hidden="1"/>
    <cellStyle name="Followed Hyperlink" xfId="7006" builtinId="9" hidden="1"/>
    <cellStyle name="Followed Hyperlink" xfId="7008" builtinId="9" hidden="1"/>
    <cellStyle name="Followed Hyperlink" xfId="7010" builtinId="9" hidden="1"/>
    <cellStyle name="Followed Hyperlink" xfId="7012" builtinId="9" hidden="1"/>
    <cellStyle name="Followed Hyperlink" xfId="7014" builtinId="9" hidden="1"/>
    <cellStyle name="Followed Hyperlink" xfId="7016" builtinId="9" hidden="1"/>
    <cellStyle name="Followed Hyperlink" xfId="7018" builtinId="9" hidden="1"/>
    <cellStyle name="Followed Hyperlink" xfId="7020" builtinId="9" hidden="1"/>
    <cellStyle name="Followed Hyperlink" xfId="7022" builtinId="9" hidden="1"/>
    <cellStyle name="Followed Hyperlink" xfId="7024" builtinId="9" hidden="1"/>
    <cellStyle name="Followed Hyperlink" xfId="7026" builtinId="9" hidden="1"/>
    <cellStyle name="Followed Hyperlink" xfId="7028" builtinId="9" hidden="1"/>
    <cellStyle name="Followed Hyperlink" xfId="7030" builtinId="9" hidden="1"/>
    <cellStyle name="Followed Hyperlink" xfId="7032" builtinId="9" hidden="1"/>
    <cellStyle name="Followed Hyperlink" xfId="7034" builtinId="9" hidden="1"/>
    <cellStyle name="Followed Hyperlink" xfId="7036" builtinId="9" hidden="1"/>
    <cellStyle name="Followed Hyperlink" xfId="7038" builtinId="9" hidden="1"/>
    <cellStyle name="Followed Hyperlink" xfId="7040" builtinId="9" hidden="1"/>
    <cellStyle name="Followed Hyperlink" xfId="7042" builtinId="9" hidden="1"/>
    <cellStyle name="Followed Hyperlink" xfId="7044" builtinId="9" hidden="1"/>
    <cellStyle name="Followed Hyperlink" xfId="7046" builtinId="9" hidden="1"/>
    <cellStyle name="Followed Hyperlink" xfId="7048" builtinId="9" hidden="1"/>
    <cellStyle name="Followed Hyperlink" xfId="7050" builtinId="9" hidden="1"/>
    <cellStyle name="Followed Hyperlink" xfId="7052" builtinId="9" hidden="1"/>
    <cellStyle name="Followed Hyperlink" xfId="7054" builtinId="9" hidden="1"/>
    <cellStyle name="Followed Hyperlink" xfId="7056" builtinId="9" hidden="1"/>
    <cellStyle name="Followed Hyperlink" xfId="7058" builtinId="9" hidden="1"/>
    <cellStyle name="Followed Hyperlink" xfId="7060" builtinId="9" hidden="1"/>
    <cellStyle name="Followed Hyperlink" xfId="7062" builtinId="9" hidden="1"/>
    <cellStyle name="Followed Hyperlink" xfId="7064" builtinId="9" hidden="1"/>
    <cellStyle name="Followed Hyperlink" xfId="7066" builtinId="9" hidden="1"/>
    <cellStyle name="Followed Hyperlink" xfId="7068" builtinId="9" hidden="1"/>
    <cellStyle name="Followed Hyperlink" xfId="7070" builtinId="9" hidden="1"/>
    <cellStyle name="Followed Hyperlink" xfId="7072" builtinId="9" hidden="1"/>
    <cellStyle name="Followed Hyperlink" xfId="7074" builtinId="9" hidden="1"/>
    <cellStyle name="Followed Hyperlink" xfId="7076" builtinId="9" hidden="1"/>
    <cellStyle name="Followed Hyperlink" xfId="7078" builtinId="9" hidden="1"/>
    <cellStyle name="Followed Hyperlink" xfId="7080" builtinId="9" hidden="1"/>
    <cellStyle name="Followed Hyperlink" xfId="7082" builtinId="9" hidden="1"/>
    <cellStyle name="Followed Hyperlink" xfId="7084" builtinId="9" hidden="1"/>
    <cellStyle name="Followed Hyperlink" xfId="7086" builtinId="9" hidden="1"/>
    <cellStyle name="Followed Hyperlink" xfId="7088" builtinId="9" hidden="1"/>
    <cellStyle name="Followed Hyperlink" xfId="7090" builtinId="9" hidden="1"/>
    <cellStyle name="Followed Hyperlink" xfId="7092" builtinId="9" hidden="1"/>
    <cellStyle name="Followed Hyperlink" xfId="7094" builtinId="9" hidden="1"/>
    <cellStyle name="Followed Hyperlink" xfId="7096" builtinId="9" hidden="1"/>
    <cellStyle name="Followed Hyperlink" xfId="7098" builtinId="9" hidden="1"/>
    <cellStyle name="Followed Hyperlink" xfId="7100" builtinId="9" hidden="1"/>
    <cellStyle name="Followed Hyperlink" xfId="7102" builtinId="9" hidden="1"/>
    <cellStyle name="Followed Hyperlink" xfId="7104" builtinId="9" hidden="1"/>
    <cellStyle name="Followed Hyperlink" xfId="7106" builtinId="9" hidden="1"/>
    <cellStyle name="Followed Hyperlink" xfId="7108" builtinId="9" hidden="1"/>
    <cellStyle name="Followed Hyperlink" xfId="7110" builtinId="9" hidden="1"/>
    <cellStyle name="Followed Hyperlink" xfId="7112" builtinId="9" hidden="1"/>
    <cellStyle name="Followed Hyperlink" xfId="7114" builtinId="9" hidden="1"/>
    <cellStyle name="Followed Hyperlink" xfId="7116" builtinId="9" hidden="1"/>
    <cellStyle name="Followed Hyperlink" xfId="7118" builtinId="9" hidden="1"/>
    <cellStyle name="Followed Hyperlink" xfId="7120" builtinId="9" hidden="1"/>
    <cellStyle name="Followed Hyperlink" xfId="7122" builtinId="9" hidden="1"/>
    <cellStyle name="Followed Hyperlink" xfId="7124" builtinId="9" hidden="1"/>
    <cellStyle name="Followed Hyperlink" xfId="7126" builtinId="9" hidden="1"/>
    <cellStyle name="Followed Hyperlink" xfId="7128" builtinId="9" hidden="1"/>
    <cellStyle name="Followed Hyperlink" xfId="7130" builtinId="9" hidden="1"/>
    <cellStyle name="Followed Hyperlink" xfId="7132" builtinId="9" hidden="1"/>
    <cellStyle name="Followed Hyperlink" xfId="7134" builtinId="9" hidden="1"/>
    <cellStyle name="Followed Hyperlink" xfId="7136" builtinId="9" hidden="1"/>
    <cellStyle name="Followed Hyperlink" xfId="7138" builtinId="9" hidden="1"/>
    <cellStyle name="Followed Hyperlink" xfId="7140" builtinId="9" hidden="1"/>
    <cellStyle name="Followed Hyperlink" xfId="7142" builtinId="9" hidden="1"/>
    <cellStyle name="Followed Hyperlink" xfId="7144" builtinId="9" hidden="1"/>
    <cellStyle name="Followed Hyperlink" xfId="7146" builtinId="9" hidden="1"/>
    <cellStyle name="Followed Hyperlink" xfId="7148" builtinId="9" hidden="1"/>
    <cellStyle name="Followed Hyperlink" xfId="7150" builtinId="9" hidden="1"/>
    <cellStyle name="Followed Hyperlink" xfId="7152" builtinId="9" hidden="1"/>
    <cellStyle name="Followed Hyperlink" xfId="7154" builtinId="9" hidden="1"/>
    <cellStyle name="Followed Hyperlink" xfId="7156" builtinId="9" hidden="1"/>
    <cellStyle name="Followed Hyperlink" xfId="7158" builtinId="9" hidden="1"/>
    <cellStyle name="Followed Hyperlink" xfId="7160" builtinId="9" hidden="1"/>
    <cellStyle name="Followed Hyperlink" xfId="7162" builtinId="9" hidden="1"/>
    <cellStyle name="Followed Hyperlink" xfId="7164" builtinId="9" hidden="1"/>
    <cellStyle name="Followed Hyperlink" xfId="7166" builtinId="9" hidden="1"/>
    <cellStyle name="Followed Hyperlink" xfId="7168" builtinId="9" hidden="1"/>
    <cellStyle name="Followed Hyperlink" xfId="7170" builtinId="9" hidden="1"/>
    <cellStyle name="Followed Hyperlink" xfId="7172" builtinId="9" hidden="1"/>
    <cellStyle name="Followed Hyperlink" xfId="7174" builtinId="9" hidden="1"/>
    <cellStyle name="Followed Hyperlink" xfId="7176" builtinId="9" hidden="1"/>
    <cellStyle name="Followed Hyperlink" xfId="7178" builtinId="9" hidden="1"/>
    <cellStyle name="Followed Hyperlink" xfId="7180" builtinId="9" hidden="1"/>
    <cellStyle name="Followed Hyperlink" xfId="7182" builtinId="9" hidden="1"/>
    <cellStyle name="Followed Hyperlink" xfId="7184" builtinId="9" hidden="1"/>
    <cellStyle name="Followed Hyperlink" xfId="7186" builtinId="9" hidden="1"/>
    <cellStyle name="Followed Hyperlink" xfId="7188" builtinId="9" hidden="1"/>
    <cellStyle name="Followed Hyperlink" xfId="7190" builtinId="9" hidden="1"/>
    <cellStyle name="Followed Hyperlink" xfId="7192" builtinId="9" hidden="1"/>
    <cellStyle name="Followed Hyperlink" xfId="7194" builtinId="9" hidden="1"/>
    <cellStyle name="Followed Hyperlink" xfId="7196" builtinId="9" hidden="1"/>
    <cellStyle name="Followed Hyperlink" xfId="7198" builtinId="9" hidden="1"/>
    <cellStyle name="Followed Hyperlink" xfId="7200" builtinId="9" hidden="1"/>
    <cellStyle name="Followed Hyperlink" xfId="7202" builtinId="9" hidden="1"/>
    <cellStyle name="Followed Hyperlink" xfId="7204" builtinId="9" hidden="1"/>
    <cellStyle name="Followed Hyperlink" xfId="7206" builtinId="9" hidden="1"/>
    <cellStyle name="Followed Hyperlink" xfId="7208" builtinId="9" hidden="1"/>
    <cellStyle name="Followed Hyperlink" xfId="7210" builtinId="9" hidden="1"/>
    <cellStyle name="Followed Hyperlink" xfId="7212" builtinId="9" hidden="1"/>
    <cellStyle name="Followed Hyperlink" xfId="7214" builtinId="9" hidden="1"/>
    <cellStyle name="Followed Hyperlink" xfId="7216" builtinId="9" hidden="1"/>
    <cellStyle name="Followed Hyperlink" xfId="7218" builtinId="9" hidden="1"/>
    <cellStyle name="Followed Hyperlink" xfId="7220" builtinId="9" hidden="1"/>
    <cellStyle name="Followed Hyperlink" xfId="7222" builtinId="9" hidden="1"/>
    <cellStyle name="Followed Hyperlink" xfId="7224" builtinId="9" hidden="1"/>
    <cellStyle name="Followed Hyperlink" xfId="7226" builtinId="9" hidden="1"/>
    <cellStyle name="Followed Hyperlink" xfId="7228" builtinId="9" hidden="1"/>
    <cellStyle name="Followed Hyperlink" xfId="7230" builtinId="9" hidden="1"/>
    <cellStyle name="Followed Hyperlink" xfId="7232" builtinId="9" hidden="1"/>
    <cellStyle name="Followed Hyperlink" xfId="7234" builtinId="9" hidden="1"/>
    <cellStyle name="Followed Hyperlink" xfId="7236" builtinId="9" hidden="1"/>
    <cellStyle name="Followed Hyperlink" xfId="7238" builtinId="9" hidden="1"/>
    <cellStyle name="Followed Hyperlink" xfId="7240" builtinId="9" hidden="1"/>
    <cellStyle name="Followed Hyperlink" xfId="7242" builtinId="9" hidden="1"/>
    <cellStyle name="Followed Hyperlink" xfId="7244" builtinId="9" hidden="1"/>
    <cellStyle name="Followed Hyperlink" xfId="7246" builtinId="9" hidden="1"/>
    <cellStyle name="Followed Hyperlink" xfId="7248" builtinId="9" hidden="1"/>
    <cellStyle name="Followed Hyperlink" xfId="7250" builtinId="9" hidden="1"/>
    <cellStyle name="Followed Hyperlink" xfId="7252" builtinId="9" hidden="1"/>
    <cellStyle name="Followed Hyperlink" xfId="7254" builtinId="9" hidden="1"/>
    <cellStyle name="Followed Hyperlink" xfId="7256" builtinId="9" hidden="1"/>
    <cellStyle name="Followed Hyperlink" xfId="7258" builtinId="9" hidden="1"/>
    <cellStyle name="Followed Hyperlink" xfId="7260" builtinId="9" hidden="1"/>
    <cellStyle name="Followed Hyperlink" xfId="7262" builtinId="9" hidden="1"/>
    <cellStyle name="Followed Hyperlink" xfId="7264" builtinId="9" hidden="1"/>
    <cellStyle name="Followed Hyperlink" xfId="7266" builtinId="9" hidden="1"/>
    <cellStyle name="Followed Hyperlink" xfId="7268" builtinId="9" hidden="1"/>
    <cellStyle name="Followed Hyperlink" xfId="7270" builtinId="9" hidden="1"/>
    <cellStyle name="Followed Hyperlink" xfId="7272" builtinId="9" hidden="1"/>
    <cellStyle name="Followed Hyperlink" xfId="7274" builtinId="9" hidden="1"/>
    <cellStyle name="Followed Hyperlink" xfId="7276" builtinId="9" hidden="1"/>
    <cellStyle name="Followed Hyperlink" xfId="7278" builtinId="9" hidden="1"/>
    <cellStyle name="Followed Hyperlink" xfId="7280" builtinId="9" hidden="1"/>
    <cellStyle name="Followed Hyperlink" xfId="7282" builtinId="9" hidden="1"/>
    <cellStyle name="Followed Hyperlink" xfId="7284" builtinId="9" hidden="1"/>
    <cellStyle name="Followed Hyperlink" xfId="7286" builtinId="9" hidden="1"/>
    <cellStyle name="Followed Hyperlink" xfId="7288" builtinId="9" hidden="1"/>
    <cellStyle name="Followed Hyperlink" xfId="7290" builtinId="9" hidden="1"/>
    <cellStyle name="Followed Hyperlink" xfId="7292" builtinId="9" hidden="1"/>
    <cellStyle name="Followed Hyperlink" xfId="7294" builtinId="9" hidden="1"/>
    <cellStyle name="Followed Hyperlink" xfId="7296" builtinId="9" hidden="1"/>
    <cellStyle name="Followed Hyperlink" xfId="7298" builtinId="9" hidden="1"/>
    <cellStyle name="Followed Hyperlink" xfId="7300" builtinId="9" hidden="1"/>
    <cellStyle name="Followed Hyperlink" xfId="7302" builtinId="9" hidden="1"/>
    <cellStyle name="Followed Hyperlink" xfId="7304" builtinId="9" hidden="1"/>
    <cellStyle name="Followed Hyperlink" xfId="7306" builtinId="9" hidden="1"/>
    <cellStyle name="Followed Hyperlink" xfId="7308" builtinId="9" hidden="1"/>
    <cellStyle name="Followed Hyperlink" xfId="7310" builtinId="9" hidden="1"/>
    <cellStyle name="Followed Hyperlink" xfId="7312" builtinId="9" hidden="1"/>
    <cellStyle name="Followed Hyperlink" xfId="7314" builtinId="9" hidden="1"/>
    <cellStyle name="Followed Hyperlink" xfId="7316" builtinId="9" hidden="1"/>
    <cellStyle name="Followed Hyperlink" xfId="7318" builtinId="9" hidden="1"/>
    <cellStyle name="Followed Hyperlink" xfId="7320" builtinId="9" hidden="1"/>
    <cellStyle name="Followed Hyperlink" xfId="7322" builtinId="9" hidden="1"/>
    <cellStyle name="Followed Hyperlink" xfId="7324" builtinId="9" hidden="1"/>
    <cellStyle name="Followed Hyperlink" xfId="7326" builtinId="9" hidden="1"/>
    <cellStyle name="Followed Hyperlink" xfId="7328" builtinId="9" hidden="1"/>
    <cellStyle name="Followed Hyperlink" xfId="7330" builtinId="9" hidden="1"/>
    <cellStyle name="Followed Hyperlink" xfId="7332" builtinId="9" hidden="1"/>
    <cellStyle name="Followed Hyperlink" xfId="7334" builtinId="9" hidden="1"/>
    <cellStyle name="Followed Hyperlink" xfId="7336" builtinId="9" hidden="1"/>
    <cellStyle name="Followed Hyperlink" xfId="7338" builtinId="9" hidden="1"/>
    <cellStyle name="Followed Hyperlink" xfId="7340" builtinId="9" hidden="1"/>
    <cellStyle name="Followed Hyperlink" xfId="7342" builtinId="9" hidden="1"/>
    <cellStyle name="Followed Hyperlink" xfId="7344" builtinId="9" hidden="1"/>
    <cellStyle name="Followed Hyperlink" xfId="7346" builtinId="9" hidden="1"/>
    <cellStyle name="Followed Hyperlink" xfId="7348" builtinId="9" hidden="1"/>
    <cellStyle name="Followed Hyperlink" xfId="7350" builtinId="9" hidden="1"/>
    <cellStyle name="Followed Hyperlink" xfId="7352" builtinId="9" hidden="1"/>
    <cellStyle name="Followed Hyperlink" xfId="7354" builtinId="9" hidden="1"/>
    <cellStyle name="Followed Hyperlink" xfId="7356" builtinId="9" hidden="1"/>
    <cellStyle name="Followed Hyperlink" xfId="7358" builtinId="9" hidden="1"/>
    <cellStyle name="Followed Hyperlink" xfId="7360" builtinId="9" hidden="1"/>
    <cellStyle name="Followed Hyperlink" xfId="7362" builtinId="9" hidden="1"/>
    <cellStyle name="Followed Hyperlink" xfId="7364" builtinId="9" hidden="1"/>
    <cellStyle name="Followed Hyperlink" xfId="7366" builtinId="9" hidden="1"/>
    <cellStyle name="Followed Hyperlink" xfId="7368" builtinId="9" hidden="1"/>
    <cellStyle name="Followed Hyperlink" xfId="7370" builtinId="9" hidden="1"/>
    <cellStyle name="Followed Hyperlink" xfId="7372" builtinId="9" hidden="1"/>
    <cellStyle name="Followed Hyperlink" xfId="7374" builtinId="9" hidden="1"/>
    <cellStyle name="Followed Hyperlink" xfId="7376" builtinId="9" hidden="1"/>
    <cellStyle name="Followed Hyperlink" xfId="7378" builtinId="9" hidden="1"/>
    <cellStyle name="Followed Hyperlink" xfId="7380" builtinId="9" hidden="1"/>
    <cellStyle name="Followed Hyperlink" xfId="7382" builtinId="9" hidden="1"/>
    <cellStyle name="Followed Hyperlink" xfId="7384" builtinId="9" hidden="1"/>
    <cellStyle name="Followed Hyperlink" xfId="7386" builtinId="9" hidden="1"/>
    <cellStyle name="Followed Hyperlink" xfId="7388" builtinId="9" hidden="1"/>
    <cellStyle name="Followed Hyperlink" xfId="7390" builtinId="9" hidden="1"/>
    <cellStyle name="Followed Hyperlink" xfId="7392" builtinId="9" hidden="1"/>
    <cellStyle name="Followed Hyperlink" xfId="7394" builtinId="9" hidden="1"/>
    <cellStyle name="Followed Hyperlink" xfId="7396" builtinId="9" hidden="1"/>
    <cellStyle name="Followed Hyperlink" xfId="7398" builtinId="9" hidden="1"/>
    <cellStyle name="Followed Hyperlink" xfId="7400" builtinId="9" hidden="1"/>
    <cellStyle name="Followed Hyperlink" xfId="7402" builtinId="9" hidden="1"/>
    <cellStyle name="Followed Hyperlink" xfId="7404" builtinId="9" hidden="1"/>
    <cellStyle name="Followed Hyperlink" xfId="7406" builtinId="9" hidden="1"/>
    <cellStyle name="Followed Hyperlink" xfId="7408" builtinId="9" hidden="1"/>
    <cellStyle name="Followed Hyperlink" xfId="7410" builtinId="9" hidden="1"/>
    <cellStyle name="Followed Hyperlink" xfId="7412" builtinId="9" hidden="1"/>
    <cellStyle name="Followed Hyperlink" xfId="7414" builtinId="9" hidden="1"/>
    <cellStyle name="Followed Hyperlink" xfId="7416" builtinId="9" hidden="1"/>
    <cellStyle name="Followed Hyperlink" xfId="7418" builtinId="9" hidden="1"/>
    <cellStyle name="Followed Hyperlink" xfId="7420" builtinId="9" hidden="1"/>
    <cellStyle name="Followed Hyperlink" xfId="7422" builtinId="9" hidden="1"/>
    <cellStyle name="Followed Hyperlink" xfId="7424" builtinId="9" hidden="1"/>
    <cellStyle name="Followed Hyperlink" xfId="7426" builtinId="9" hidden="1"/>
    <cellStyle name="Followed Hyperlink" xfId="7428" builtinId="9" hidden="1"/>
    <cellStyle name="Followed Hyperlink" xfId="7430" builtinId="9" hidden="1"/>
    <cellStyle name="Followed Hyperlink" xfId="7432" builtinId="9" hidden="1"/>
    <cellStyle name="Followed Hyperlink" xfId="7434" builtinId="9" hidden="1"/>
    <cellStyle name="Followed Hyperlink" xfId="7436" builtinId="9" hidden="1"/>
    <cellStyle name="Followed Hyperlink" xfId="7438" builtinId="9" hidden="1"/>
    <cellStyle name="Followed Hyperlink" xfId="7440" builtinId="9" hidden="1"/>
    <cellStyle name="Followed Hyperlink" xfId="7442" builtinId="9" hidden="1"/>
    <cellStyle name="Followed Hyperlink" xfId="7444" builtinId="9" hidden="1"/>
    <cellStyle name="Followed Hyperlink" xfId="7446" builtinId="9" hidden="1"/>
    <cellStyle name="Followed Hyperlink" xfId="7448" builtinId="9" hidden="1"/>
    <cellStyle name="Followed Hyperlink" xfId="7450" builtinId="9" hidden="1"/>
    <cellStyle name="Followed Hyperlink" xfId="7452" builtinId="9" hidden="1"/>
    <cellStyle name="Followed Hyperlink" xfId="7454" builtinId="9" hidden="1"/>
    <cellStyle name="Followed Hyperlink" xfId="7456" builtinId="9" hidden="1"/>
    <cellStyle name="Followed Hyperlink" xfId="7458" builtinId="9" hidden="1"/>
    <cellStyle name="Followed Hyperlink" xfId="7460" builtinId="9" hidden="1"/>
    <cellStyle name="Followed Hyperlink" xfId="7462" builtinId="9" hidden="1"/>
    <cellStyle name="Followed Hyperlink" xfId="7464" builtinId="9" hidden="1"/>
    <cellStyle name="Followed Hyperlink" xfId="7466" builtinId="9" hidden="1"/>
    <cellStyle name="Followed Hyperlink" xfId="7468" builtinId="9" hidden="1"/>
    <cellStyle name="Followed Hyperlink" xfId="7470" builtinId="9" hidden="1"/>
    <cellStyle name="Followed Hyperlink" xfId="7472" builtinId="9" hidden="1"/>
    <cellStyle name="Followed Hyperlink" xfId="7474" builtinId="9" hidden="1"/>
    <cellStyle name="Followed Hyperlink" xfId="7476" builtinId="9" hidden="1"/>
    <cellStyle name="Followed Hyperlink" xfId="7478" builtinId="9" hidden="1"/>
    <cellStyle name="Followed Hyperlink" xfId="7480" builtinId="9" hidden="1"/>
    <cellStyle name="Followed Hyperlink" xfId="7482" builtinId="9" hidden="1"/>
    <cellStyle name="Followed Hyperlink" xfId="7484" builtinId="9" hidden="1"/>
    <cellStyle name="Followed Hyperlink" xfId="7486" builtinId="9" hidden="1"/>
    <cellStyle name="Followed Hyperlink" xfId="7488" builtinId="9" hidden="1"/>
    <cellStyle name="Followed Hyperlink" xfId="7490" builtinId="9" hidden="1"/>
    <cellStyle name="Followed Hyperlink" xfId="7492" builtinId="9" hidden="1"/>
    <cellStyle name="Followed Hyperlink" xfId="7494" builtinId="9" hidden="1"/>
    <cellStyle name="Followed Hyperlink" xfId="7496" builtinId="9" hidden="1"/>
    <cellStyle name="Followed Hyperlink" xfId="7498" builtinId="9" hidden="1"/>
    <cellStyle name="Followed Hyperlink" xfId="7500" builtinId="9" hidden="1"/>
    <cellStyle name="Followed Hyperlink" xfId="7502" builtinId="9" hidden="1"/>
    <cellStyle name="Followed Hyperlink" xfId="7504" builtinId="9" hidden="1"/>
    <cellStyle name="Followed Hyperlink" xfId="7506" builtinId="9" hidden="1"/>
    <cellStyle name="Followed Hyperlink" xfId="7508" builtinId="9" hidden="1"/>
    <cellStyle name="Followed Hyperlink" xfId="7510" builtinId="9" hidden="1"/>
    <cellStyle name="Followed Hyperlink" xfId="7512" builtinId="9" hidden="1"/>
    <cellStyle name="Followed Hyperlink" xfId="7514" builtinId="9" hidden="1"/>
    <cellStyle name="Followed Hyperlink" xfId="7516" builtinId="9" hidden="1"/>
    <cellStyle name="Followed Hyperlink" xfId="7518" builtinId="9" hidden="1"/>
    <cellStyle name="Followed Hyperlink" xfId="7520" builtinId="9" hidden="1"/>
    <cellStyle name="Followed Hyperlink" xfId="7522" builtinId="9" hidden="1"/>
    <cellStyle name="Followed Hyperlink" xfId="7524" builtinId="9" hidden="1"/>
    <cellStyle name="Followed Hyperlink" xfId="7526" builtinId="9" hidden="1"/>
    <cellStyle name="Followed Hyperlink" xfId="7528" builtinId="9" hidden="1"/>
    <cellStyle name="Followed Hyperlink" xfId="7530" builtinId="9" hidden="1"/>
    <cellStyle name="Followed Hyperlink" xfId="7532" builtinId="9" hidden="1"/>
    <cellStyle name="Followed Hyperlink" xfId="7534" builtinId="9" hidden="1"/>
    <cellStyle name="Followed Hyperlink" xfId="7536" builtinId="9" hidden="1"/>
    <cellStyle name="Followed Hyperlink" xfId="7538" builtinId="9" hidden="1"/>
    <cellStyle name="Followed Hyperlink" xfId="7540" builtinId="9" hidden="1"/>
    <cellStyle name="Followed Hyperlink" xfId="7542" builtinId="9" hidden="1"/>
    <cellStyle name="Followed Hyperlink" xfId="7544" builtinId="9" hidden="1"/>
    <cellStyle name="Followed Hyperlink" xfId="7546" builtinId="9" hidden="1"/>
    <cellStyle name="Followed Hyperlink" xfId="7548" builtinId="9" hidden="1"/>
    <cellStyle name="Followed Hyperlink" xfId="7550" builtinId="9" hidden="1"/>
    <cellStyle name="Followed Hyperlink" xfId="7552" builtinId="9" hidden="1"/>
    <cellStyle name="Followed Hyperlink" xfId="7554" builtinId="9" hidden="1"/>
    <cellStyle name="Followed Hyperlink" xfId="7556" builtinId="9" hidden="1"/>
    <cellStyle name="Followed Hyperlink" xfId="7558" builtinId="9" hidden="1"/>
    <cellStyle name="Followed Hyperlink" xfId="7560" builtinId="9" hidden="1"/>
    <cellStyle name="Followed Hyperlink" xfId="7562" builtinId="9" hidden="1"/>
    <cellStyle name="Followed Hyperlink" xfId="7564" builtinId="9" hidden="1"/>
    <cellStyle name="Followed Hyperlink" xfId="7566" builtinId="9" hidden="1"/>
    <cellStyle name="Followed Hyperlink" xfId="7568" builtinId="9" hidden="1"/>
    <cellStyle name="Followed Hyperlink" xfId="7570" builtinId="9" hidden="1"/>
    <cellStyle name="Followed Hyperlink" xfId="7572" builtinId="9" hidden="1"/>
    <cellStyle name="Followed Hyperlink" xfId="7574" builtinId="9" hidden="1"/>
    <cellStyle name="Followed Hyperlink" xfId="7576" builtinId="9" hidden="1"/>
    <cellStyle name="Followed Hyperlink" xfId="7578" builtinId="9" hidden="1"/>
    <cellStyle name="Followed Hyperlink" xfId="7580" builtinId="9" hidden="1"/>
    <cellStyle name="Followed Hyperlink" xfId="7582" builtinId="9" hidden="1"/>
    <cellStyle name="Followed Hyperlink" xfId="7584" builtinId="9" hidden="1"/>
    <cellStyle name="Followed Hyperlink" xfId="7586" builtinId="9" hidden="1"/>
    <cellStyle name="Followed Hyperlink" xfId="7588" builtinId="9" hidden="1"/>
    <cellStyle name="Followed Hyperlink" xfId="7590" builtinId="9" hidden="1"/>
    <cellStyle name="Followed Hyperlink" xfId="7592" builtinId="9" hidden="1"/>
    <cellStyle name="Followed Hyperlink" xfId="7594" builtinId="9" hidden="1"/>
    <cellStyle name="Followed Hyperlink" xfId="7596" builtinId="9" hidden="1"/>
    <cellStyle name="Followed Hyperlink" xfId="7598" builtinId="9" hidden="1"/>
    <cellStyle name="Followed Hyperlink" xfId="7600" builtinId="9" hidden="1"/>
    <cellStyle name="Followed Hyperlink" xfId="7602" builtinId="9" hidden="1"/>
    <cellStyle name="Followed Hyperlink" xfId="7604" builtinId="9" hidden="1"/>
    <cellStyle name="Followed Hyperlink" xfId="7606" builtinId="9" hidden="1"/>
    <cellStyle name="Followed Hyperlink" xfId="7608" builtinId="9" hidden="1"/>
    <cellStyle name="Followed Hyperlink" xfId="7610" builtinId="9" hidden="1"/>
    <cellStyle name="Followed Hyperlink" xfId="7612" builtinId="9" hidden="1"/>
    <cellStyle name="Followed Hyperlink" xfId="7614" builtinId="9" hidden="1"/>
    <cellStyle name="Followed Hyperlink" xfId="7616" builtinId="9" hidden="1"/>
    <cellStyle name="Followed Hyperlink" xfId="7618" builtinId="9" hidden="1"/>
    <cellStyle name="Followed Hyperlink" xfId="7620" builtinId="9" hidden="1"/>
    <cellStyle name="Followed Hyperlink" xfId="7622" builtinId="9" hidden="1"/>
    <cellStyle name="Followed Hyperlink" xfId="7624" builtinId="9" hidden="1"/>
    <cellStyle name="Followed Hyperlink" xfId="7626" builtinId="9" hidden="1"/>
    <cellStyle name="Followed Hyperlink" xfId="7628" builtinId="9" hidden="1"/>
    <cellStyle name="Followed Hyperlink" xfId="7630" builtinId="9" hidden="1"/>
    <cellStyle name="Followed Hyperlink" xfId="7632" builtinId="9" hidden="1"/>
    <cellStyle name="Followed Hyperlink" xfId="7634" builtinId="9" hidden="1"/>
    <cellStyle name="Followed Hyperlink" xfId="7636" builtinId="9" hidden="1"/>
    <cellStyle name="Followed Hyperlink" xfId="7638" builtinId="9" hidden="1"/>
    <cellStyle name="Followed Hyperlink" xfId="7640" builtinId="9" hidden="1"/>
    <cellStyle name="Followed Hyperlink" xfId="7642" builtinId="9" hidden="1"/>
    <cellStyle name="Followed Hyperlink" xfId="7644" builtinId="9" hidden="1"/>
    <cellStyle name="Followed Hyperlink" xfId="7646" builtinId="9" hidden="1"/>
    <cellStyle name="Followed Hyperlink" xfId="7648" builtinId="9" hidden="1"/>
    <cellStyle name="Followed Hyperlink" xfId="7650" builtinId="9" hidden="1"/>
    <cellStyle name="Followed Hyperlink" xfId="7652" builtinId="9" hidden="1"/>
    <cellStyle name="Followed Hyperlink" xfId="7654" builtinId="9" hidden="1"/>
    <cellStyle name="Followed Hyperlink" xfId="7656" builtinId="9" hidden="1"/>
    <cellStyle name="Followed Hyperlink" xfId="7658" builtinId="9" hidden="1"/>
    <cellStyle name="Followed Hyperlink" xfId="7660" builtinId="9" hidden="1"/>
    <cellStyle name="Followed Hyperlink" xfId="7662" builtinId="9" hidden="1"/>
    <cellStyle name="Followed Hyperlink" xfId="7664" builtinId="9" hidden="1"/>
    <cellStyle name="Followed Hyperlink" xfId="7666" builtinId="9" hidden="1"/>
    <cellStyle name="Followed Hyperlink" xfId="7668" builtinId="9" hidden="1"/>
    <cellStyle name="Followed Hyperlink" xfId="7670" builtinId="9" hidden="1"/>
    <cellStyle name="Followed Hyperlink" xfId="7672" builtinId="9" hidden="1"/>
    <cellStyle name="Followed Hyperlink" xfId="7674" builtinId="9" hidden="1"/>
    <cellStyle name="Followed Hyperlink" xfId="7676" builtinId="9" hidden="1"/>
    <cellStyle name="Followed Hyperlink" xfId="7678" builtinId="9" hidden="1"/>
    <cellStyle name="Followed Hyperlink" xfId="7680" builtinId="9" hidden="1"/>
    <cellStyle name="Followed Hyperlink" xfId="7682" builtinId="9" hidden="1"/>
    <cellStyle name="Followed Hyperlink" xfId="7684" builtinId="9" hidden="1"/>
    <cellStyle name="Followed Hyperlink" xfId="7686" builtinId="9" hidden="1"/>
    <cellStyle name="Followed Hyperlink" xfId="7688" builtinId="9" hidden="1"/>
    <cellStyle name="Followed Hyperlink" xfId="7690" builtinId="9" hidden="1"/>
    <cellStyle name="Followed Hyperlink" xfId="7692" builtinId="9" hidden="1"/>
    <cellStyle name="Followed Hyperlink" xfId="7694" builtinId="9" hidden="1"/>
    <cellStyle name="Followed Hyperlink" xfId="7696" builtinId="9" hidden="1"/>
    <cellStyle name="Followed Hyperlink" xfId="7698" builtinId="9" hidden="1"/>
    <cellStyle name="Followed Hyperlink" xfId="7700" builtinId="9" hidden="1"/>
    <cellStyle name="Followed Hyperlink" xfId="7702" builtinId="9" hidden="1"/>
    <cellStyle name="Followed Hyperlink" xfId="7704" builtinId="9" hidden="1"/>
    <cellStyle name="Followed Hyperlink" xfId="7706" builtinId="9" hidden="1"/>
    <cellStyle name="Followed Hyperlink" xfId="7708" builtinId="9" hidden="1"/>
    <cellStyle name="Followed Hyperlink" xfId="7710" builtinId="9" hidden="1"/>
    <cellStyle name="Followed Hyperlink" xfId="7712" builtinId="9" hidden="1"/>
    <cellStyle name="Followed Hyperlink" xfId="7714" builtinId="9" hidden="1"/>
    <cellStyle name="Followed Hyperlink" xfId="7716" builtinId="9" hidden="1"/>
    <cellStyle name="Followed Hyperlink" xfId="7718" builtinId="9" hidden="1"/>
    <cellStyle name="Followed Hyperlink" xfId="7720" builtinId="9" hidden="1"/>
    <cellStyle name="Followed Hyperlink" xfId="7722" builtinId="9" hidden="1"/>
    <cellStyle name="Followed Hyperlink" xfId="7724" builtinId="9" hidden="1"/>
    <cellStyle name="Followed Hyperlink" xfId="7726" builtinId="9" hidden="1"/>
    <cellStyle name="Followed Hyperlink" xfId="7728" builtinId="9" hidden="1"/>
    <cellStyle name="Followed Hyperlink" xfId="7730" builtinId="9" hidden="1"/>
    <cellStyle name="Followed Hyperlink" xfId="7732" builtinId="9" hidden="1"/>
    <cellStyle name="Followed Hyperlink" xfId="7734" builtinId="9" hidden="1"/>
    <cellStyle name="Followed Hyperlink" xfId="7736" builtinId="9" hidden="1"/>
    <cellStyle name="Followed Hyperlink" xfId="7738" builtinId="9" hidden="1"/>
    <cellStyle name="Followed Hyperlink" xfId="7740" builtinId="9" hidden="1"/>
    <cellStyle name="Followed Hyperlink" xfId="7742" builtinId="9" hidden="1"/>
    <cellStyle name="Followed Hyperlink" xfId="7744" builtinId="9" hidden="1"/>
    <cellStyle name="Followed Hyperlink" xfId="7746" builtinId="9" hidden="1"/>
    <cellStyle name="Followed Hyperlink" xfId="7748" builtinId="9" hidden="1"/>
    <cellStyle name="Followed Hyperlink" xfId="7750" builtinId="9" hidden="1"/>
    <cellStyle name="Followed Hyperlink" xfId="7752" builtinId="9" hidden="1"/>
    <cellStyle name="Followed Hyperlink" xfId="7754" builtinId="9" hidden="1"/>
    <cellStyle name="Followed Hyperlink" xfId="7756" builtinId="9" hidden="1"/>
    <cellStyle name="Followed Hyperlink" xfId="7758" builtinId="9" hidden="1"/>
    <cellStyle name="Followed Hyperlink" xfId="7760" builtinId="9" hidden="1"/>
    <cellStyle name="Followed Hyperlink" xfId="7762" builtinId="9" hidden="1"/>
    <cellStyle name="Followed Hyperlink" xfId="7764" builtinId="9" hidden="1"/>
    <cellStyle name="Followed Hyperlink" xfId="7766" builtinId="9" hidden="1"/>
    <cellStyle name="Followed Hyperlink" xfId="7768" builtinId="9" hidden="1"/>
    <cellStyle name="Followed Hyperlink" xfId="7770" builtinId="9" hidden="1"/>
    <cellStyle name="Followed Hyperlink" xfId="7772" builtinId="9" hidden="1"/>
    <cellStyle name="Followed Hyperlink" xfId="7774" builtinId="9" hidden="1"/>
    <cellStyle name="Followed Hyperlink" xfId="7776" builtinId="9" hidden="1"/>
    <cellStyle name="Followed Hyperlink" xfId="7778" builtinId="9" hidden="1"/>
    <cellStyle name="Followed Hyperlink" xfId="7780" builtinId="9" hidden="1"/>
    <cellStyle name="Followed Hyperlink" xfId="7782" builtinId="9" hidden="1"/>
    <cellStyle name="Followed Hyperlink" xfId="7784" builtinId="9" hidden="1"/>
    <cellStyle name="Followed Hyperlink" xfId="7786" builtinId="9" hidden="1"/>
    <cellStyle name="Followed Hyperlink" xfId="7788" builtinId="9" hidden="1"/>
    <cellStyle name="Followed Hyperlink" xfId="7790" builtinId="9" hidden="1"/>
    <cellStyle name="Followed Hyperlink" xfId="7792" builtinId="9" hidden="1"/>
    <cellStyle name="Followed Hyperlink" xfId="7794" builtinId="9" hidden="1"/>
    <cellStyle name="Followed Hyperlink" xfId="7796" builtinId="9" hidden="1"/>
    <cellStyle name="Followed Hyperlink" xfId="7798" builtinId="9" hidden="1"/>
    <cellStyle name="Followed Hyperlink" xfId="7800" builtinId="9" hidden="1"/>
    <cellStyle name="Followed Hyperlink" xfId="7802" builtinId="9" hidden="1"/>
    <cellStyle name="Followed Hyperlink" xfId="7804" builtinId="9" hidden="1"/>
    <cellStyle name="Followed Hyperlink" xfId="7806" builtinId="9" hidden="1"/>
    <cellStyle name="Followed Hyperlink" xfId="7808" builtinId="9" hidden="1"/>
    <cellStyle name="Followed Hyperlink" xfId="7810" builtinId="9" hidden="1"/>
    <cellStyle name="Followed Hyperlink" xfId="7812" builtinId="9" hidden="1"/>
    <cellStyle name="Followed Hyperlink" xfId="7814" builtinId="9" hidden="1"/>
    <cellStyle name="Followed Hyperlink" xfId="7816" builtinId="9" hidden="1"/>
    <cellStyle name="Followed Hyperlink" xfId="7818" builtinId="9" hidden="1"/>
    <cellStyle name="Followed Hyperlink" xfId="7820" builtinId="9" hidden="1"/>
    <cellStyle name="Followed Hyperlink" xfId="7822" builtinId="9" hidden="1"/>
    <cellStyle name="Followed Hyperlink" xfId="7824" builtinId="9" hidden="1"/>
    <cellStyle name="Followed Hyperlink" xfId="7826" builtinId="9" hidden="1"/>
    <cellStyle name="Followed Hyperlink" xfId="7828" builtinId="9" hidden="1"/>
    <cellStyle name="Followed Hyperlink" xfId="7830" builtinId="9" hidden="1"/>
    <cellStyle name="Followed Hyperlink" xfId="7832" builtinId="9" hidden="1"/>
    <cellStyle name="Followed Hyperlink" xfId="7834" builtinId="9" hidden="1"/>
    <cellStyle name="Followed Hyperlink" xfId="7836" builtinId="9" hidden="1"/>
    <cellStyle name="Followed Hyperlink" xfId="7838" builtinId="9" hidden="1"/>
    <cellStyle name="Followed Hyperlink" xfId="7840" builtinId="9" hidden="1"/>
    <cellStyle name="Followed Hyperlink" xfId="7842" builtinId="9" hidden="1"/>
    <cellStyle name="Followed Hyperlink" xfId="7844" builtinId="9" hidden="1"/>
    <cellStyle name="Followed Hyperlink" xfId="7846" builtinId="9" hidden="1"/>
    <cellStyle name="Followed Hyperlink" xfId="7848" builtinId="9" hidden="1"/>
    <cellStyle name="Followed Hyperlink" xfId="7850" builtinId="9" hidden="1"/>
    <cellStyle name="Followed Hyperlink" xfId="7852" builtinId="9" hidden="1"/>
    <cellStyle name="Followed Hyperlink" xfId="7854" builtinId="9" hidden="1"/>
    <cellStyle name="Followed Hyperlink" xfId="7856" builtinId="9" hidden="1"/>
    <cellStyle name="Followed Hyperlink" xfId="7858" builtinId="9" hidden="1"/>
    <cellStyle name="Followed Hyperlink" xfId="7860" builtinId="9" hidden="1"/>
    <cellStyle name="Followed Hyperlink" xfId="7862" builtinId="9" hidden="1"/>
    <cellStyle name="Followed Hyperlink" xfId="7864" builtinId="9" hidden="1"/>
    <cellStyle name="Followed Hyperlink" xfId="7866" builtinId="9" hidden="1"/>
    <cellStyle name="Followed Hyperlink" xfId="7868" builtinId="9" hidden="1"/>
    <cellStyle name="Followed Hyperlink" xfId="7870" builtinId="9" hidden="1"/>
    <cellStyle name="Followed Hyperlink" xfId="7872" builtinId="9" hidden="1"/>
    <cellStyle name="Followed Hyperlink" xfId="7874" builtinId="9" hidden="1"/>
    <cellStyle name="Followed Hyperlink" xfId="7876" builtinId="9" hidden="1"/>
    <cellStyle name="Followed Hyperlink" xfId="7878" builtinId="9" hidden="1"/>
    <cellStyle name="Followed Hyperlink" xfId="7880" builtinId="9" hidden="1"/>
    <cellStyle name="Followed Hyperlink" xfId="7882" builtinId="9" hidden="1"/>
    <cellStyle name="Followed Hyperlink" xfId="7884" builtinId="9" hidden="1"/>
    <cellStyle name="Followed Hyperlink" xfId="7886" builtinId="9" hidden="1"/>
    <cellStyle name="Followed Hyperlink" xfId="7888" builtinId="9" hidden="1"/>
    <cellStyle name="Followed Hyperlink" xfId="7890" builtinId="9" hidden="1"/>
    <cellStyle name="Followed Hyperlink" xfId="7892" builtinId="9" hidden="1"/>
    <cellStyle name="Followed Hyperlink" xfId="7894" builtinId="9" hidden="1"/>
    <cellStyle name="Followed Hyperlink" xfId="7896" builtinId="9" hidden="1"/>
    <cellStyle name="Followed Hyperlink" xfId="7898" builtinId="9" hidden="1"/>
    <cellStyle name="Followed Hyperlink" xfId="7900" builtinId="9" hidden="1"/>
    <cellStyle name="Followed Hyperlink" xfId="7902" builtinId="9" hidden="1"/>
    <cellStyle name="Followed Hyperlink" xfId="7904" builtinId="9" hidden="1"/>
    <cellStyle name="Followed Hyperlink" xfId="7906" builtinId="9" hidden="1"/>
    <cellStyle name="Followed Hyperlink" xfId="7908" builtinId="9" hidden="1"/>
    <cellStyle name="Followed Hyperlink" xfId="7910" builtinId="9" hidden="1"/>
    <cellStyle name="Followed Hyperlink" xfId="7912" builtinId="9" hidden="1"/>
    <cellStyle name="Followed Hyperlink" xfId="7914" builtinId="9" hidden="1"/>
    <cellStyle name="Followed Hyperlink" xfId="7916" builtinId="9" hidden="1"/>
    <cellStyle name="Followed Hyperlink" xfId="7918" builtinId="9" hidden="1"/>
    <cellStyle name="Followed Hyperlink" xfId="7920" builtinId="9" hidden="1"/>
    <cellStyle name="Followed Hyperlink" xfId="7922" builtinId="9" hidden="1"/>
    <cellStyle name="Followed Hyperlink" xfId="7924" builtinId="9" hidden="1"/>
    <cellStyle name="Followed Hyperlink" xfId="7926" builtinId="9" hidden="1"/>
    <cellStyle name="Followed Hyperlink" xfId="7928" builtinId="9" hidden="1"/>
    <cellStyle name="Followed Hyperlink" xfId="7930" builtinId="9" hidden="1"/>
    <cellStyle name="Followed Hyperlink" xfId="7932" builtinId="9" hidden="1"/>
    <cellStyle name="Followed Hyperlink" xfId="7934" builtinId="9" hidden="1"/>
    <cellStyle name="Followed Hyperlink" xfId="7936" builtinId="9" hidden="1"/>
    <cellStyle name="Followed Hyperlink" xfId="7938" builtinId="9" hidden="1"/>
    <cellStyle name="Followed Hyperlink" xfId="7940" builtinId="9" hidden="1"/>
    <cellStyle name="Followed Hyperlink" xfId="7942" builtinId="9" hidden="1"/>
    <cellStyle name="Followed Hyperlink" xfId="7944" builtinId="9" hidden="1"/>
    <cellStyle name="Followed Hyperlink" xfId="7946" builtinId="9" hidden="1"/>
    <cellStyle name="Followed Hyperlink" xfId="7948" builtinId="9" hidden="1"/>
    <cellStyle name="Followed Hyperlink" xfId="7950" builtinId="9" hidden="1"/>
    <cellStyle name="Followed Hyperlink" xfId="7952" builtinId="9" hidden="1"/>
    <cellStyle name="Followed Hyperlink" xfId="7954" builtinId="9" hidden="1"/>
    <cellStyle name="Followed Hyperlink" xfId="7956" builtinId="9" hidden="1"/>
    <cellStyle name="Followed Hyperlink" xfId="7958" builtinId="9" hidden="1"/>
    <cellStyle name="Followed Hyperlink" xfId="7960" builtinId="9" hidden="1"/>
    <cellStyle name="Followed Hyperlink" xfId="7962" builtinId="9" hidden="1"/>
    <cellStyle name="Followed Hyperlink" xfId="7964" builtinId="9" hidden="1"/>
    <cellStyle name="Followed Hyperlink" xfId="7966" builtinId="9" hidden="1"/>
    <cellStyle name="Followed Hyperlink" xfId="7968" builtinId="9" hidden="1"/>
    <cellStyle name="Followed Hyperlink" xfId="7970" builtinId="9" hidden="1"/>
    <cellStyle name="Followed Hyperlink" xfId="7972" builtinId="9" hidden="1"/>
    <cellStyle name="Followed Hyperlink" xfId="7974" builtinId="9" hidden="1"/>
    <cellStyle name="Followed Hyperlink" xfId="7976" builtinId="9" hidden="1"/>
    <cellStyle name="Followed Hyperlink" xfId="7978" builtinId="9" hidden="1"/>
    <cellStyle name="Followed Hyperlink" xfId="7980" builtinId="9" hidden="1"/>
    <cellStyle name="Followed Hyperlink" xfId="7982" builtinId="9" hidden="1"/>
    <cellStyle name="Followed Hyperlink" xfId="7984" builtinId="9" hidden="1"/>
    <cellStyle name="Followed Hyperlink" xfId="7986" builtinId="9" hidden="1"/>
    <cellStyle name="Followed Hyperlink" xfId="7988" builtinId="9" hidden="1"/>
    <cellStyle name="Followed Hyperlink" xfId="7990" builtinId="9" hidden="1"/>
    <cellStyle name="Followed Hyperlink" xfId="7992" builtinId="9" hidden="1"/>
    <cellStyle name="Followed Hyperlink" xfId="7994" builtinId="9" hidden="1"/>
    <cellStyle name="Followed Hyperlink" xfId="7996" builtinId="9" hidden="1"/>
    <cellStyle name="Followed Hyperlink" xfId="7998" builtinId="9" hidden="1"/>
    <cellStyle name="Followed Hyperlink" xfId="8000" builtinId="9" hidden="1"/>
    <cellStyle name="Followed Hyperlink" xfId="8002" builtinId="9" hidden="1"/>
    <cellStyle name="Followed Hyperlink" xfId="8004" builtinId="9" hidden="1"/>
    <cellStyle name="Followed Hyperlink" xfId="8006" builtinId="9" hidden="1"/>
    <cellStyle name="Followed Hyperlink" xfId="8008" builtinId="9" hidden="1"/>
    <cellStyle name="Followed Hyperlink" xfId="8010" builtinId="9" hidden="1"/>
    <cellStyle name="Followed Hyperlink" xfId="8012" builtinId="9" hidden="1"/>
    <cellStyle name="Followed Hyperlink" xfId="8014" builtinId="9" hidden="1"/>
    <cellStyle name="Followed Hyperlink" xfId="8016" builtinId="9" hidden="1"/>
    <cellStyle name="Followed Hyperlink" xfId="8018" builtinId="9" hidden="1"/>
    <cellStyle name="Followed Hyperlink" xfId="8020" builtinId="9" hidden="1"/>
    <cellStyle name="Followed Hyperlink" xfId="8022" builtinId="9" hidden="1"/>
    <cellStyle name="Followed Hyperlink" xfId="8024" builtinId="9" hidden="1"/>
    <cellStyle name="Followed Hyperlink" xfId="8026" builtinId="9" hidden="1"/>
    <cellStyle name="Followed Hyperlink" xfId="8028" builtinId="9" hidden="1"/>
    <cellStyle name="Followed Hyperlink" xfId="8030" builtinId="9" hidden="1"/>
    <cellStyle name="Followed Hyperlink" xfId="8032" builtinId="9" hidden="1"/>
    <cellStyle name="Followed Hyperlink" xfId="8034" builtinId="9" hidden="1"/>
    <cellStyle name="Followed Hyperlink" xfId="8036" builtinId="9" hidden="1"/>
    <cellStyle name="Followed Hyperlink" xfId="8038" builtinId="9" hidden="1"/>
    <cellStyle name="Followed Hyperlink" xfId="8040" builtinId="9" hidden="1"/>
    <cellStyle name="Followed Hyperlink" xfId="8042" builtinId="9" hidden="1"/>
    <cellStyle name="Followed Hyperlink" xfId="8044" builtinId="9" hidden="1"/>
    <cellStyle name="Followed Hyperlink" xfId="8046" builtinId="9" hidden="1"/>
    <cellStyle name="Followed Hyperlink" xfId="8048" builtinId="9" hidden="1"/>
    <cellStyle name="Followed Hyperlink" xfId="8050" builtinId="9" hidden="1"/>
    <cellStyle name="Followed Hyperlink" xfId="8052" builtinId="9" hidden="1"/>
    <cellStyle name="Followed Hyperlink" xfId="8054" builtinId="9" hidden="1"/>
    <cellStyle name="Followed Hyperlink" xfId="8056" builtinId="9" hidden="1"/>
    <cellStyle name="Followed Hyperlink" xfId="8058" builtinId="9" hidden="1"/>
    <cellStyle name="Followed Hyperlink" xfId="8060" builtinId="9" hidden="1"/>
    <cellStyle name="Followed Hyperlink" xfId="8062" builtinId="9" hidden="1"/>
    <cellStyle name="Followed Hyperlink" xfId="8064" builtinId="9" hidden="1"/>
    <cellStyle name="Followed Hyperlink" xfId="8066" builtinId="9" hidden="1"/>
    <cellStyle name="Followed Hyperlink" xfId="8068" builtinId="9" hidden="1"/>
    <cellStyle name="Followed Hyperlink" xfId="8070" builtinId="9" hidden="1"/>
    <cellStyle name="Followed Hyperlink" xfId="8072" builtinId="9" hidden="1"/>
    <cellStyle name="Followed Hyperlink" xfId="8074" builtinId="9" hidden="1"/>
    <cellStyle name="Followed Hyperlink" xfId="8076" builtinId="9" hidden="1"/>
    <cellStyle name="Followed Hyperlink" xfId="8078" builtinId="9" hidden="1"/>
    <cellStyle name="Followed Hyperlink" xfId="8080" builtinId="9" hidden="1"/>
    <cellStyle name="Followed Hyperlink" xfId="8082" builtinId="9" hidden="1"/>
    <cellStyle name="Followed Hyperlink" xfId="8084" builtinId="9" hidden="1"/>
    <cellStyle name="Followed Hyperlink" xfId="8086" builtinId="9" hidden="1"/>
    <cellStyle name="Followed Hyperlink" xfId="8088" builtinId="9" hidden="1"/>
    <cellStyle name="Followed Hyperlink" xfId="8090" builtinId="9" hidden="1"/>
    <cellStyle name="Followed Hyperlink" xfId="8092" builtinId="9" hidden="1"/>
    <cellStyle name="Followed Hyperlink" xfId="8094" builtinId="9" hidden="1"/>
    <cellStyle name="Followed Hyperlink" xfId="8096" builtinId="9" hidden="1"/>
    <cellStyle name="Followed Hyperlink" xfId="8098" builtinId="9" hidden="1"/>
    <cellStyle name="Followed Hyperlink" xfId="8100" builtinId="9" hidden="1"/>
    <cellStyle name="Followed Hyperlink" xfId="8102" builtinId="9" hidden="1"/>
    <cellStyle name="Followed Hyperlink" xfId="8104" builtinId="9" hidden="1"/>
    <cellStyle name="Followed Hyperlink" xfId="8106" builtinId="9" hidden="1"/>
    <cellStyle name="Followed Hyperlink" xfId="8108" builtinId="9" hidden="1"/>
    <cellStyle name="Followed Hyperlink" xfId="8110" builtinId="9" hidden="1"/>
    <cellStyle name="Followed Hyperlink" xfId="8112" builtinId="9" hidden="1"/>
    <cellStyle name="Followed Hyperlink" xfId="8114" builtinId="9" hidden="1"/>
    <cellStyle name="Followed Hyperlink" xfId="8116" builtinId="9" hidden="1"/>
    <cellStyle name="Followed Hyperlink" xfId="8118" builtinId="9" hidden="1"/>
    <cellStyle name="Followed Hyperlink" xfId="8120" builtinId="9" hidden="1"/>
    <cellStyle name="Followed Hyperlink" xfId="8122" builtinId="9" hidden="1"/>
    <cellStyle name="Followed Hyperlink" xfId="8124" builtinId="9" hidden="1"/>
    <cellStyle name="Followed Hyperlink" xfId="8126" builtinId="9" hidden="1"/>
    <cellStyle name="Followed Hyperlink" xfId="8128" builtinId="9" hidden="1"/>
    <cellStyle name="Followed Hyperlink" xfId="8130" builtinId="9" hidden="1"/>
    <cellStyle name="Followed Hyperlink" xfId="8132" builtinId="9" hidden="1"/>
    <cellStyle name="Followed Hyperlink" xfId="8134" builtinId="9" hidden="1"/>
    <cellStyle name="Followed Hyperlink" xfId="8136" builtinId="9" hidden="1"/>
    <cellStyle name="Followed Hyperlink" xfId="8138" builtinId="9" hidden="1"/>
    <cellStyle name="Followed Hyperlink" xfId="8140" builtinId="9" hidden="1"/>
    <cellStyle name="Followed Hyperlink" xfId="8142" builtinId="9" hidden="1"/>
    <cellStyle name="Followed Hyperlink" xfId="8144" builtinId="9" hidden="1"/>
    <cellStyle name="Followed Hyperlink" xfId="8146" builtinId="9" hidden="1"/>
    <cellStyle name="Followed Hyperlink" xfId="8148" builtinId="9" hidden="1"/>
    <cellStyle name="Followed Hyperlink" xfId="8150" builtinId="9" hidden="1"/>
    <cellStyle name="Followed Hyperlink" xfId="8152" builtinId="9" hidden="1"/>
    <cellStyle name="Followed Hyperlink" xfId="8154" builtinId="9" hidden="1"/>
    <cellStyle name="Followed Hyperlink" xfId="8156" builtinId="9" hidden="1"/>
    <cellStyle name="Followed Hyperlink" xfId="8158" builtinId="9" hidden="1"/>
    <cellStyle name="Followed Hyperlink" xfId="8160" builtinId="9" hidden="1"/>
    <cellStyle name="Followed Hyperlink" xfId="8162" builtinId="9" hidden="1"/>
    <cellStyle name="Followed Hyperlink" xfId="8164" builtinId="9" hidden="1"/>
    <cellStyle name="Followed Hyperlink" xfId="8166" builtinId="9" hidden="1"/>
    <cellStyle name="Followed Hyperlink" xfId="8168" builtinId="9" hidden="1"/>
    <cellStyle name="Followed Hyperlink" xfId="8170" builtinId="9" hidden="1"/>
    <cellStyle name="Followed Hyperlink" xfId="8172" builtinId="9" hidden="1"/>
    <cellStyle name="Followed Hyperlink" xfId="8174" builtinId="9" hidden="1"/>
    <cellStyle name="Followed Hyperlink" xfId="8176" builtinId="9" hidden="1"/>
    <cellStyle name="Followed Hyperlink" xfId="8178" builtinId="9" hidden="1"/>
    <cellStyle name="Followed Hyperlink" xfId="8180" builtinId="9" hidden="1"/>
    <cellStyle name="Followed Hyperlink" xfId="8182" builtinId="9" hidden="1"/>
    <cellStyle name="Followed Hyperlink" xfId="8184" builtinId="9" hidden="1"/>
    <cellStyle name="Followed Hyperlink" xfId="8186" builtinId="9" hidden="1"/>
    <cellStyle name="Followed Hyperlink" xfId="8188" builtinId="9" hidden="1"/>
    <cellStyle name="Followed Hyperlink" xfId="8190" builtinId="9" hidden="1"/>
    <cellStyle name="Followed Hyperlink" xfId="8192" builtinId="9" hidden="1"/>
    <cellStyle name="Followed Hyperlink" xfId="8194" builtinId="9" hidden="1"/>
    <cellStyle name="Followed Hyperlink" xfId="8196" builtinId="9" hidden="1"/>
    <cellStyle name="Followed Hyperlink" xfId="8198" builtinId="9" hidden="1"/>
    <cellStyle name="Followed Hyperlink" xfId="8200" builtinId="9" hidden="1"/>
    <cellStyle name="Followed Hyperlink" xfId="8202" builtinId="9" hidden="1"/>
    <cellStyle name="Followed Hyperlink" xfId="8204" builtinId="9" hidden="1"/>
    <cellStyle name="Followed Hyperlink" xfId="8206" builtinId="9" hidden="1"/>
    <cellStyle name="Followed Hyperlink" xfId="8208" builtinId="9" hidden="1"/>
    <cellStyle name="Followed Hyperlink" xfId="8210" builtinId="9" hidden="1"/>
    <cellStyle name="Followed Hyperlink" xfId="8212" builtinId="9" hidden="1"/>
    <cellStyle name="Followed Hyperlink" xfId="8214" builtinId="9" hidden="1"/>
    <cellStyle name="Followed Hyperlink" xfId="8216" builtinId="9" hidden="1"/>
    <cellStyle name="Followed Hyperlink" xfId="8218" builtinId="9" hidden="1"/>
    <cellStyle name="Followed Hyperlink" xfId="8220" builtinId="9" hidden="1"/>
    <cellStyle name="Followed Hyperlink" xfId="8222" builtinId="9" hidden="1"/>
    <cellStyle name="Followed Hyperlink" xfId="8224" builtinId="9" hidden="1"/>
    <cellStyle name="Followed Hyperlink" xfId="8226" builtinId="9" hidden="1"/>
    <cellStyle name="Followed Hyperlink" xfId="8228" builtinId="9" hidden="1"/>
    <cellStyle name="Followed Hyperlink" xfId="8230" builtinId="9" hidden="1"/>
    <cellStyle name="Followed Hyperlink" xfId="8232" builtinId="9" hidden="1"/>
    <cellStyle name="Followed Hyperlink" xfId="8234" builtinId="9" hidden="1"/>
    <cellStyle name="Followed Hyperlink" xfId="8236" builtinId="9" hidden="1"/>
    <cellStyle name="Followed Hyperlink" xfId="8238" builtinId="9" hidden="1"/>
    <cellStyle name="Followed Hyperlink" xfId="8240" builtinId="9" hidden="1"/>
    <cellStyle name="Followed Hyperlink" xfId="8242" builtinId="9" hidden="1"/>
    <cellStyle name="Followed Hyperlink" xfId="8244" builtinId="9" hidden="1"/>
    <cellStyle name="Followed Hyperlink" xfId="8246" builtinId="9" hidden="1"/>
    <cellStyle name="Followed Hyperlink" xfId="8248" builtinId="9" hidden="1"/>
    <cellStyle name="Followed Hyperlink" xfId="8250" builtinId="9" hidden="1"/>
    <cellStyle name="Followed Hyperlink" xfId="8252" builtinId="9" hidden="1"/>
    <cellStyle name="Followed Hyperlink" xfId="8254" builtinId="9" hidden="1"/>
    <cellStyle name="Followed Hyperlink" xfId="8256" builtinId="9" hidden="1"/>
    <cellStyle name="Followed Hyperlink" xfId="8258" builtinId="9" hidden="1"/>
    <cellStyle name="Followed Hyperlink" xfId="8260" builtinId="9" hidden="1"/>
    <cellStyle name="Followed Hyperlink" xfId="8262" builtinId="9" hidden="1"/>
    <cellStyle name="Followed Hyperlink" xfId="8264" builtinId="9" hidden="1"/>
    <cellStyle name="Followed Hyperlink" xfId="8266" builtinId="9" hidden="1"/>
    <cellStyle name="Followed Hyperlink" xfId="8268" builtinId="9" hidden="1"/>
    <cellStyle name="Followed Hyperlink" xfId="8270" builtinId="9" hidden="1"/>
    <cellStyle name="Followed Hyperlink" xfId="8272" builtinId="9" hidden="1"/>
    <cellStyle name="Followed Hyperlink" xfId="8274" builtinId="9" hidden="1"/>
    <cellStyle name="Followed Hyperlink" xfId="8276" builtinId="9" hidden="1"/>
    <cellStyle name="Followed Hyperlink" xfId="8278" builtinId="9" hidden="1"/>
    <cellStyle name="Followed Hyperlink" xfId="8280" builtinId="9" hidden="1"/>
    <cellStyle name="Followed Hyperlink" xfId="8282" builtinId="9" hidden="1"/>
    <cellStyle name="Followed Hyperlink" xfId="8284" builtinId="9" hidden="1"/>
    <cellStyle name="Followed Hyperlink" xfId="8286" builtinId="9" hidden="1"/>
    <cellStyle name="Followed Hyperlink" xfId="8288" builtinId="9" hidden="1"/>
    <cellStyle name="Followed Hyperlink" xfId="8290" builtinId="9" hidden="1"/>
    <cellStyle name="Followed Hyperlink" xfId="8292" builtinId="9" hidden="1"/>
    <cellStyle name="Followed Hyperlink" xfId="8294" builtinId="9" hidden="1"/>
    <cellStyle name="Followed Hyperlink" xfId="8296" builtinId="9" hidden="1"/>
    <cellStyle name="Followed Hyperlink" xfId="8298" builtinId="9" hidden="1"/>
    <cellStyle name="Followed Hyperlink" xfId="8300" builtinId="9" hidden="1"/>
    <cellStyle name="Followed Hyperlink" xfId="8302" builtinId="9" hidden="1"/>
    <cellStyle name="Followed Hyperlink" xfId="8304" builtinId="9" hidden="1"/>
    <cellStyle name="Followed Hyperlink" xfId="8306" builtinId="9" hidden="1"/>
    <cellStyle name="Followed Hyperlink" xfId="8308" builtinId="9" hidden="1"/>
    <cellStyle name="Followed Hyperlink" xfId="8310" builtinId="9" hidden="1"/>
    <cellStyle name="Followed Hyperlink" xfId="8312" builtinId="9" hidden="1"/>
    <cellStyle name="Followed Hyperlink" xfId="8314" builtinId="9" hidden="1"/>
    <cellStyle name="Followed Hyperlink" xfId="8316" builtinId="9" hidden="1"/>
    <cellStyle name="Followed Hyperlink" xfId="8318" builtinId="9" hidden="1"/>
    <cellStyle name="Followed Hyperlink" xfId="8320" builtinId="9" hidden="1"/>
    <cellStyle name="Followed Hyperlink" xfId="8322" builtinId="9" hidden="1"/>
    <cellStyle name="Followed Hyperlink" xfId="8324" builtinId="9" hidden="1"/>
    <cellStyle name="Followed Hyperlink" xfId="8326" builtinId="9" hidden="1"/>
    <cellStyle name="Followed Hyperlink" xfId="8328" builtinId="9" hidden="1"/>
    <cellStyle name="Followed Hyperlink" xfId="8330" builtinId="9" hidden="1"/>
    <cellStyle name="Followed Hyperlink" xfId="8332" builtinId="9" hidden="1"/>
    <cellStyle name="Followed Hyperlink" xfId="8334" builtinId="9" hidden="1"/>
    <cellStyle name="Followed Hyperlink" xfId="8336" builtinId="9" hidden="1"/>
    <cellStyle name="Followed Hyperlink" xfId="8338" builtinId="9" hidden="1"/>
    <cellStyle name="Followed Hyperlink" xfId="8340" builtinId="9" hidden="1"/>
    <cellStyle name="Followed Hyperlink" xfId="8342" builtinId="9" hidden="1"/>
    <cellStyle name="Followed Hyperlink" xfId="8344" builtinId="9" hidden="1"/>
    <cellStyle name="Followed Hyperlink" xfId="8346" builtinId="9" hidden="1"/>
    <cellStyle name="Followed Hyperlink" xfId="8348" builtinId="9" hidden="1"/>
    <cellStyle name="Followed Hyperlink" xfId="8350" builtinId="9" hidden="1"/>
    <cellStyle name="Followed Hyperlink" xfId="8352" builtinId="9" hidden="1"/>
    <cellStyle name="Followed Hyperlink" xfId="8354" builtinId="9" hidden="1"/>
    <cellStyle name="Followed Hyperlink" xfId="8356" builtinId="9" hidden="1"/>
    <cellStyle name="Followed Hyperlink" xfId="8358" builtinId="9" hidden="1"/>
    <cellStyle name="Followed Hyperlink" xfId="8360" builtinId="9" hidden="1"/>
    <cellStyle name="Followed Hyperlink" xfId="8362" builtinId="9" hidden="1"/>
    <cellStyle name="Followed Hyperlink" xfId="8364" builtinId="9" hidden="1"/>
    <cellStyle name="Followed Hyperlink" xfId="8366" builtinId="9" hidden="1"/>
    <cellStyle name="Followed Hyperlink" xfId="8368" builtinId="9" hidden="1"/>
    <cellStyle name="Followed Hyperlink" xfId="8370" builtinId="9" hidden="1"/>
    <cellStyle name="Followed Hyperlink" xfId="8372" builtinId="9" hidden="1"/>
    <cellStyle name="Followed Hyperlink" xfId="8374" builtinId="9" hidden="1"/>
    <cellStyle name="Followed Hyperlink" xfId="8376" builtinId="9" hidden="1"/>
    <cellStyle name="Followed Hyperlink" xfId="8378" builtinId="9" hidden="1"/>
    <cellStyle name="Followed Hyperlink" xfId="8380" builtinId="9" hidden="1"/>
    <cellStyle name="Followed Hyperlink" xfId="8382" builtinId="9" hidden="1"/>
    <cellStyle name="Followed Hyperlink" xfId="8384" builtinId="9" hidden="1"/>
    <cellStyle name="Followed Hyperlink" xfId="8386" builtinId="9" hidden="1"/>
    <cellStyle name="Followed Hyperlink" xfId="8388" builtinId="9" hidden="1"/>
    <cellStyle name="Followed Hyperlink" xfId="8390" builtinId="9" hidden="1"/>
    <cellStyle name="Followed Hyperlink" xfId="8392" builtinId="9" hidden="1"/>
    <cellStyle name="Followed Hyperlink" xfId="8394" builtinId="9" hidden="1"/>
    <cellStyle name="Followed Hyperlink" xfId="8396" builtinId="9" hidden="1"/>
    <cellStyle name="Followed Hyperlink" xfId="8398" builtinId="9" hidden="1"/>
    <cellStyle name="Followed Hyperlink" xfId="8400" builtinId="9" hidden="1"/>
    <cellStyle name="Followed Hyperlink" xfId="8402" builtinId="9" hidden="1"/>
    <cellStyle name="Followed Hyperlink" xfId="8404" builtinId="9" hidden="1"/>
    <cellStyle name="Followed Hyperlink" xfId="8406" builtinId="9" hidden="1"/>
    <cellStyle name="Followed Hyperlink" xfId="8408" builtinId="9" hidden="1"/>
    <cellStyle name="Followed Hyperlink" xfId="8410" builtinId="9" hidden="1"/>
    <cellStyle name="Followed Hyperlink" xfId="8412" builtinId="9" hidden="1"/>
    <cellStyle name="Followed Hyperlink" xfId="8414" builtinId="9" hidden="1"/>
    <cellStyle name="Followed Hyperlink" xfId="8416" builtinId="9" hidden="1"/>
    <cellStyle name="Followed Hyperlink" xfId="8418" builtinId="9" hidden="1"/>
    <cellStyle name="Followed Hyperlink" xfId="8420" builtinId="9" hidden="1"/>
    <cellStyle name="Followed Hyperlink" xfId="8422" builtinId="9" hidden="1"/>
    <cellStyle name="Followed Hyperlink" xfId="8424" builtinId="9" hidden="1"/>
    <cellStyle name="Followed Hyperlink" xfId="8426" builtinId="9" hidden="1"/>
    <cellStyle name="Followed Hyperlink" xfId="8428" builtinId="9" hidden="1"/>
    <cellStyle name="Followed Hyperlink" xfId="8430" builtinId="9" hidden="1"/>
    <cellStyle name="Followed Hyperlink" xfId="8432" builtinId="9" hidden="1"/>
    <cellStyle name="Followed Hyperlink" xfId="8434" builtinId="9" hidden="1"/>
    <cellStyle name="Followed Hyperlink" xfId="8436" builtinId="9" hidden="1"/>
    <cellStyle name="Followed Hyperlink" xfId="8438" builtinId="9" hidden="1"/>
    <cellStyle name="Followed Hyperlink" xfId="8440" builtinId="9" hidden="1"/>
    <cellStyle name="Followed Hyperlink" xfId="8442" builtinId="9" hidden="1"/>
    <cellStyle name="Followed Hyperlink" xfId="8444" builtinId="9" hidden="1"/>
    <cellStyle name="Followed Hyperlink" xfId="8446" builtinId="9" hidden="1"/>
    <cellStyle name="Followed Hyperlink" xfId="8448" builtinId="9" hidden="1"/>
    <cellStyle name="Followed Hyperlink" xfId="8450" builtinId="9" hidden="1"/>
    <cellStyle name="Followed Hyperlink" xfId="8452" builtinId="9" hidden="1"/>
    <cellStyle name="Followed Hyperlink" xfId="8454" builtinId="9" hidden="1"/>
    <cellStyle name="Followed Hyperlink" xfId="8456" builtinId="9" hidden="1"/>
    <cellStyle name="Followed Hyperlink" xfId="8458" builtinId="9" hidden="1"/>
    <cellStyle name="Followed Hyperlink" xfId="8460" builtinId="9" hidden="1"/>
    <cellStyle name="Followed Hyperlink" xfId="8462" builtinId="9" hidden="1"/>
    <cellStyle name="Followed Hyperlink" xfId="8464" builtinId="9" hidden="1"/>
    <cellStyle name="Followed Hyperlink" xfId="8466" builtinId="9" hidden="1"/>
    <cellStyle name="Followed Hyperlink" xfId="8468" builtinId="9" hidden="1"/>
    <cellStyle name="Followed Hyperlink" xfId="8470" builtinId="9" hidden="1"/>
    <cellStyle name="Followed Hyperlink" xfId="8472" builtinId="9" hidden="1"/>
    <cellStyle name="Followed Hyperlink" xfId="8474" builtinId="9" hidden="1"/>
    <cellStyle name="Followed Hyperlink" xfId="8476" builtinId="9" hidden="1"/>
    <cellStyle name="Followed Hyperlink" xfId="8478" builtinId="9" hidden="1"/>
    <cellStyle name="Followed Hyperlink" xfId="8480" builtinId="9" hidden="1"/>
    <cellStyle name="Followed Hyperlink" xfId="8482" builtinId="9" hidden="1"/>
    <cellStyle name="Followed Hyperlink" xfId="8484" builtinId="9" hidden="1"/>
    <cellStyle name="Followed Hyperlink" xfId="8486" builtinId="9" hidden="1"/>
    <cellStyle name="Followed Hyperlink" xfId="8488" builtinId="9" hidden="1"/>
    <cellStyle name="Followed Hyperlink" xfId="8490" builtinId="9" hidden="1"/>
    <cellStyle name="Followed Hyperlink" xfId="8492" builtinId="9" hidden="1"/>
    <cellStyle name="Followed Hyperlink" xfId="8494" builtinId="9" hidden="1"/>
    <cellStyle name="Followed Hyperlink" xfId="8496" builtinId="9" hidden="1"/>
    <cellStyle name="Followed Hyperlink" xfId="8498" builtinId="9" hidden="1"/>
    <cellStyle name="Followed Hyperlink" xfId="8500" builtinId="9" hidden="1"/>
    <cellStyle name="Followed Hyperlink" xfId="8502" builtinId="9" hidden="1"/>
    <cellStyle name="Followed Hyperlink" xfId="8504" builtinId="9" hidden="1"/>
    <cellStyle name="Followed Hyperlink" xfId="8506" builtinId="9" hidden="1"/>
    <cellStyle name="Followed Hyperlink" xfId="8508" builtinId="9" hidden="1"/>
    <cellStyle name="Followed Hyperlink" xfId="8510" builtinId="9" hidden="1"/>
    <cellStyle name="Followed Hyperlink" xfId="8512" builtinId="9" hidden="1"/>
    <cellStyle name="Followed Hyperlink" xfId="8514" builtinId="9" hidden="1"/>
    <cellStyle name="Followed Hyperlink" xfId="8516" builtinId="9" hidden="1"/>
    <cellStyle name="Followed Hyperlink" xfId="8518" builtinId="9" hidden="1"/>
    <cellStyle name="Followed Hyperlink" xfId="8520" builtinId="9" hidden="1"/>
    <cellStyle name="Followed Hyperlink" xfId="8522" builtinId="9" hidden="1"/>
    <cellStyle name="Followed Hyperlink" xfId="8524" builtinId="9" hidden="1"/>
    <cellStyle name="Followed Hyperlink" xfId="8526" builtinId="9" hidden="1"/>
    <cellStyle name="Followed Hyperlink" xfId="8528" builtinId="9" hidden="1"/>
    <cellStyle name="Followed Hyperlink" xfId="8530" builtinId="9" hidden="1"/>
    <cellStyle name="Followed Hyperlink" xfId="8532" builtinId="9" hidden="1"/>
    <cellStyle name="Followed Hyperlink" xfId="8534" builtinId="9" hidden="1"/>
    <cellStyle name="Followed Hyperlink" xfId="8536" builtinId="9" hidden="1"/>
    <cellStyle name="Followed Hyperlink" xfId="8538" builtinId="9" hidden="1"/>
    <cellStyle name="Followed Hyperlink" xfId="8540" builtinId="9" hidden="1"/>
    <cellStyle name="Followed Hyperlink" xfId="8542" builtinId="9" hidden="1"/>
    <cellStyle name="Followed Hyperlink" xfId="8544" builtinId="9" hidden="1"/>
    <cellStyle name="Followed Hyperlink" xfId="8546" builtinId="9" hidden="1"/>
    <cellStyle name="Followed Hyperlink" xfId="8548" builtinId="9" hidden="1"/>
    <cellStyle name="Followed Hyperlink" xfId="8550" builtinId="9" hidden="1"/>
    <cellStyle name="Followed Hyperlink" xfId="8552" builtinId="9" hidden="1"/>
    <cellStyle name="Followed Hyperlink" xfId="8554" builtinId="9" hidden="1"/>
    <cellStyle name="Followed Hyperlink" xfId="8556" builtinId="9" hidden="1"/>
    <cellStyle name="Followed Hyperlink" xfId="8558" builtinId="9" hidden="1"/>
    <cellStyle name="Followed Hyperlink" xfId="8560" builtinId="9" hidden="1"/>
    <cellStyle name="Followed Hyperlink" xfId="8562" builtinId="9" hidden="1"/>
    <cellStyle name="Followed Hyperlink" xfId="8564" builtinId="9" hidden="1"/>
    <cellStyle name="Followed Hyperlink" xfId="8566" builtinId="9" hidden="1"/>
    <cellStyle name="Followed Hyperlink" xfId="8568" builtinId="9" hidden="1"/>
    <cellStyle name="Followed Hyperlink" xfId="8570" builtinId="9" hidden="1"/>
    <cellStyle name="Followed Hyperlink" xfId="8572" builtinId="9" hidden="1"/>
    <cellStyle name="Followed Hyperlink" xfId="8574" builtinId="9" hidden="1"/>
    <cellStyle name="Followed Hyperlink" xfId="8576" builtinId="9" hidden="1"/>
    <cellStyle name="Followed Hyperlink" xfId="8578" builtinId="9" hidden="1"/>
    <cellStyle name="Followed Hyperlink" xfId="8580" builtinId="9" hidden="1"/>
    <cellStyle name="Followed Hyperlink" xfId="8582" builtinId="9" hidden="1"/>
    <cellStyle name="Followed Hyperlink" xfId="8584" builtinId="9" hidden="1"/>
    <cellStyle name="Followed Hyperlink" xfId="8586" builtinId="9" hidden="1"/>
    <cellStyle name="Followed Hyperlink" xfId="8588" builtinId="9" hidden="1"/>
    <cellStyle name="Followed Hyperlink" xfId="8590" builtinId="9" hidden="1"/>
    <cellStyle name="Followed Hyperlink" xfId="8592" builtinId="9" hidden="1"/>
    <cellStyle name="Followed Hyperlink" xfId="8594" builtinId="9" hidden="1"/>
    <cellStyle name="Followed Hyperlink" xfId="8596" builtinId="9" hidden="1"/>
    <cellStyle name="Followed Hyperlink" xfId="8598" builtinId="9" hidden="1"/>
    <cellStyle name="Followed Hyperlink" xfId="8600" builtinId="9" hidden="1"/>
    <cellStyle name="Followed Hyperlink" xfId="8602" builtinId="9" hidden="1"/>
    <cellStyle name="Followed Hyperlink" xfId="8604" builtinId="9" hidden="1"/>
    <cellStyle name="Followed Hyperlink" xfId="8606" builtinId="9" hidden="1"/>
    <cellStyle name="Followed Hyperlink" xfId="8608" builtinId="9" hidden="1"/>
    <cellStyle name="Followed Hyperlink" xfId="8610" builtinId="9" hidden="1"/>
    <cellStyle name="Followed Hyperlink" xfId="8612" builtinId="9" hidden="1"/>
    <cellStyle name="Followed Hyperlink" xfId="8614" builtinId="9" hidden="1"/>
    <cellStyle name="Followed Hyperlink" xfId="8616" builtinId="9" hidden="1"/>
    <cellStyle name="Followed Hyperlink" xfId="8618" builtinId="9" hidden="1"/>
    <cellStyle name="Followed Hyperlink" xfId="8620" builtinId="9" hidden="1"/>
    <cellStyle name="Followed Hyperlink" xfId="8622" builtinId="9" hidden="1"/>
    <cellStyle name="Followed Hyperlink" xfId="8624" builtinId="9" hidden="1"/>
    <cellStyle name="Followed Hyperlink" xfId="8626" builtinId="9" hidden="1"/>
    <cellStyle name="Followed Hyperlink" xfId="8628" builtinId="9" hidden="1"/>
    <cellStyle name="Followed Hyperlink" xfId="8630" builtinId="9" hidden="1"/>
    <cellStyle name="Followed Hyperlink" xfId="8632" builtinId="9" hidden="1"/>
    <cellStyle name="Followed Hyperlink" xfId="8634" builtinId="9" hidden="1"/>
    <cellStyle name="Followed Hyperlink" xfId="8636" builtinId="9" hidden="1"/>
    <cellStyle name="Followed Hyperlink" xfId="8638" builtinId="9" hidden="1"/>
    <cellStyle name="Followed Hyperlink" xfId="8640" builtinId="9" hidden="1"/>
    <cellStyle name="Followed Hyperlink" xfId="8642" builtinId="9" hidden="1"/>
    <cellStyle name="Followed Hyperlink" xfId="8644" builtinId="9" hidden="1"/>
    <cellStyle name="Followed Hyperlink" xfId="8646" builtinId="9" hidden="1"/>
    <cellStyle name="Followed Hyperlink" xfId="8648" builtinId="9" hidden="1"/>
    <cellStyle name="Followed Hyperlink" xfId="8650" builtinId="9" hidden="1"/>
    <cellStyle name="Followed Hyperlink" xfId="8652" builtinId="9" hidden="1"/>
    <cellStyle name="Followed Hyperlink" xfId="8654" builtinId="9" hidden="1"/>
    <cellStyle name="Followed Hyperlink" xfId="8656" builtinId="9" hidden="1"/>
    <cellStyle name="Followed Hyperlink" xfId="8658" builtinId="9" hidden="1"/>
    <cellStyle name="Followed Hyperlink" xfId="8660" builtinId="9" hidden="1"/>
    <cellStyle name="Followed Hyperlink" xfId="8662" builtinId="9" hidden="1"/>
    <cellStyle name="Followed Hyperlink" xfId="8664" builtinId="9" hidden="1"/>
    <cellStyle name="Followed Hyperlink" xfId="8666" builtinId="9" hidden="1"/>
    <cellStyle name="Followed Hyperlink" xfId="8668" builtinId="9" hidden="1"/>
    <cellStyle name="Followed Hyperlink" xfId="8670" builtinId="9" hidden="1"/>
    <cellStyle name="Followed Hyperlink" xfId="8672" builtinId="9" hidden="1"/>
    <cellStyle name="Followed Hyperlink" xfId="8674" builtinId="9" hidden="1"/>
    <cellStyle name="Followed Hyperlink" xfId="8676" builtinId="9" hidden="1"/>
    <cellStyle name="Followed Hyperlink" xfId="8678" builtinId="9" hidden="1"/>
    <cellStyle name="Followed Hyperlink" xfId="8680" builtinId="9" hidden="1"/>
    <cellStyle name="Followed Hyperlink" xfId="8682" builtinId="9" hidden="1"/>
    <cellStyle name="Followed Hyperlink" xfId="8684" builtinId="9" hidden="1"/>
    <cellStyle name="Followed Hyperlink" xfId="8686" builtinId="9" hidden="1"/>
    <cellStyle name="Followed Hyperlink" xfId="8688" builtinId="9" hidden="1"/>
    <cellStyle name="Followed Hyperlink" xfId="8690" builtinId="9" hidden="1"/>
    <cellStyle name="Followed Hyperlink" xfId="8692" builtinId="9" hidden="1"/>
    <cellStyle name="Followed Hyperlink" xfId="8694" builtinId="9" hidden="1"/>
    <cellStyle name="Followed Hyperlink" xfId="8696" builtinId="9" hidden="1"/>
    <cellStyle name="Followed Hyperlink" xfId="8698" builtinId="9" hidden="1"/>
    <cellStyle name="Followed Hyperlink" xfId="8700" builtinId="9" hidden="1"/>
    <cellStyle name="Followed Hyperlink" xfId="8702" builtinId="9" hidden="1"/>
    <cellStyle name="Followed Hyperlink" xfId="8704" builtinId="9" hidden="1"/>
    <cellStyle name="Followed Hyperlink" xfId="8706" builtinId="9" hidden="1"/>
    <cellStyle name="Followed Hyperlink" xfId="8708" builtinId="9" hidden="1"/>
    <cellStyle name="Followed Hyperlink" xfId="8710" builtinId="9" hidden="1"/>
    <cellStyle name="Followed Hyperlink" xfId="8712" builtinId="9" hidden="1"/>
    <cellStyle name="Followed Hyperlink" xfId="8714" builtinId="9" hidden="1"/>
    <cellStyle name="Followed Hyperlink" xfId="8716" builtinId="9" hidden="1"/>
    <cellStyle name="Followed Hyperlink" xfId="8718" builtinId="9" hidden="1"/>
    <cellStyle name="Followed Hyperlink" xfId="8720" builtinId="9" hidden="1"/>
    <cellStyle name="Followed Hyperlink" xfId="8722" builtinId="9" hidden="1"/>
    <cellStyle name="Followed Hyperlink" xfId="8724" builtinId="9" hidden="1"/>
    <cellStyle name="Followed Hyperlink" xfId="8726" builtinId="9" hidden="1"/>
    <cellStyle name="Followed Hyperlink" xfId="8728" builtinId="9" hidden="1"/>
    <cellStyle name="Followed Hyperlink" xfId="8730" builtinId="9" hidden="1"/>
    <cellStyle name="Followed Hyperlink" xfId="8732" builtinId="9" hidden="1"/>
    <cellStyle name="Followed Hyperlink" xfId="8734" builtinId="9" hidden="1"/>
    <cellStyle name="Followed Hyperlink" xfId="8736" builtinId="9" hidden="1"/>
    <cellStyle name="Followed Hyperlink" xfId="8738" builtinId="9" hidden="1"/>
    <cellStyle name="Followed Hyperlink" xfId="8740" builtinId="9" hidden="1"/>
    <cellStyle name="Followed Hyperlink" xfId="8742" builtinId="9" hidden="1"/>
    <cellStyle name="Followed Hyperlink" xfId="8744" builtinId="9" hidden="1"/>
    <cellStyle name="Followed Hyperlink" xfId="8746" builtinId="9" hidden="1"/>
    <cellStyle name="Followed Hyperlink" xfId="8748" builtinId="9" hidden="1"/>
    <cellStyle name="Followed Hyperlink" xfId="8750" builtinId="9" hidden="1"/>
    <cellStyle name="Followed Hyperlink" xfId="8752" builtinId="9" hidden="1"/>
    <cellStyle name="Followed Hyperlink" xfId="8754" builtinId="9" hidden="1"/>
    <cellStyle name="Followed Hyperlink" xfId="8756" builtinId="9" hidden="1"/>
    <cellStyle name="Followed Hyperlink" xfId="8758" builtinId="9" hidden="1"/>
    <cellStyle name="Followed Hyperlink" xfId="8760" builtinId="9" hidden="1"/>
    <cellStyle name="Followed Hyperlink" xfId="8762" builtinId="9" hidden="1"/>
    <cellStyle name="Followed Hyperlink" xfId="8764" builtinId="9" hidden="1"/>
    <cellStyle name="Followed Hyperlink" xfId="8766" builtinId="9" hidden="1"/>
    <cellStyle name="Followed Hyperlink" xfId="8768" builtinId="9" hidden="1"/>
    <cellStyle name="Followed Hyperlink" xfId="8770" builtinId="9" hidden="1"/>
    <cellStyle name="Followed Hyperlink" xfId="8772" builtinId="9" hidden="1"/>
    <cellStyle name="Followed Hyperlink" xfId="8774" builtinId="9" hidden="1"/>
    <cellStyle name="Followed Hyperlink" xfId="8776" builtinId="9" hidden="1"/>
    <cellStyle name="Followed Hyperlink" xfId="8778" builtinId="9" hidden="1"/>
    <cellStyle name="Followed Hyperlink" xfId="8780" builtinId="9" hidden="1"/>
    <cellStyle name="Followed Hyperlink" xfId="8782" builtinId="9" hidden="1"/>
    <cellStyle name="Followed Hyperlink" xfId="8784" builtinId="9" hidden="1"/>
    <cellStyle name="Followed Hyperlink" xfId="8786" builtinId="9" hidden="1"/>
    <cellStyle name="Followed Hyperlink" xfId="8788" builtinId="9" hidden="1"/>
    <cellStyle name="Followed Hyperlink" xfId="8790" builtinId="9" hidden="1"/>
    <cellStyle name="Followed Hyperlink" xfId="8792" builtinId="9" hidden="1"/>
    <cellStyle name="Followed Hyperlink" xfId="8794" builtinId="9" hidden="1"/>
    <cellStyle name="Followed Hyperlink" xfId="8796" builtinId="9" hidden="1"/>
    <cellStyle name="Followed Hyperlink" xfId="8798" builtinId="9" hidden="1"/>
    <cellStyle name="Followed Hyperlink" xfId="8800" builtinId="9" hidden="1"/>
    <cellStyle name="Followed Hyperlink" xfId="8802" builtinId="9" hidden="1"/>
    <cellStyle name="Followed Hyperlink" xfId="8804" builtinId="9" hidden="1"/>
    <cellStyle name="Followed Hyperlink" xfId="8806" builtinId="9" hidden="1"/>
    <cellStyle name="Followed Hyperlink" xfId="8808" builtinId="9" hidden="1"/>
    <cellStyle name="Followed Hyperlink" xfId="8810" builtinId="9" hidden="1"/>
    <cellStyle name="Followed Hyperlink" xfId="8812" builtinId="9" hidden="1"/>
    <cellStyle name="Followed Hyperlink" xfId="8814" builtinId="9" hidden="1"/>
    <cellStyle name="Followed Hyperlink" xfId="8816" builtinId="9" hidden="1"/>
    <cellStyle name="Followed Hyperlink" xfId="8818" builtinId="9" hidden="1"/>
    <cellStyle name="Followed Hyperlink" xfId="8820" builtinId="9" hidden="1"/>
    <cellStyle name="Followed Hyperlink" xfId="8822" builtinId="9" hidden="1"/>
    <cellStyle name="Followed Hyperlink" xfId="8824" builtinId="9" hidden="1"/>
    <cellStyle name="Followed Hyperlink" xfId="8826" builtinId="9" hidden="1"/>
    <cellStyle name="Followed Hyperlink" xfId="8828" builtinId="9" hidden="1"/>
    <cellStyle name="Followed Hyperlink" xfId="8830" builtinId="9" hidden="1"/>
    <cellStyle name="Followed Hyperlink" xfId="8832" builtinId="9" hidden="1"/>
    <cellStyle name="Followed Hyperlink" xfId="8834" builtinId="9" hidden="1"/>
    <cellStyle name="Followed Hyperlink" xfId="8836" builtinId="9" hidden="1"/>
    <cellStyle name="Followed Hyperlink" xfId="8838" builtinId="9" hidden="1"/>
    <cellStyle name="Followed Hyperlink" xfId="8840" builtinId="9" hidden="1"/>
    <cellStyle name="Followed Hyperlink" xfId="8842" builtinId="9" hidden="1"/>
    <cellStyle name="Followed Hyperlink" xfId="8844" builtinId="9" hidden="1"/>
    <cellStyle name="Followed Hyperlink" xfId="8846" builtinId="9" hidden="1"/>
    <cellStyle name="Followed Hyperlink" xfId="8848" builtinId="9" hidden="1"/>
    <cellStyle name="Followed Hyperlink" xfId="8850" builtinId="9" hidden="1"/>
    <cellStyle name="Followed Hyperlink" xfId="8852" builtinId="9" hidden="1"/>
    <cellStyle name="Followed Hyperlink" xfId="8854" builtinId="9" hidden="1"/>
    <cellStyle name="Followed Hyperlink" xfId="8856" builtinId="9" hidden="1"/>
    <cellStyle name="Followed Hyperlink" xfId="8858" builtinId="9" hidden="1"/>
    <cellStyle name="Followed Hyperlink" xfId="8860" builtinId="9" hidden="1"/>
    <cellStyle name="Followed Hyperlink" xfId="8862" builtinId="9" hidden="1"/>
    <cellStyle name="Followed Hyperlink" xfId="8864" builtinId="9" hidden="1"/>
    <cellStyle name="Followed Hyperlink" xfId="8866" builtinId="9" hidden="1"/>
    <cellStyle name="Followed Hyperlink" xfId="8868" builtinId="9" hidden="1"/>
    <cellStyle name="Followed Hyperlink" xfId="8870" builtinId="9" hidden="1"/>
    <cellStyle name="Followed Hyperlink" xfId="8872" builtinId="9" hidden="1"/>
    <cellStyle name="Followed Hyperlink" xfId="8874" builtinId="9" hidden="1"/>
    <cellStyle name="Followed Hyperlink" xfId="8876" builtinId="9" hidden="1"/>
    <cellStyle name="Followed Hyperlink" xfId="8878" builtinId="9" hidden="1"/>
    <cellStyle name="Followed Hyperlink" xfId="8880" builtinId="9" hidden="1"/>
    <cellStyle name="Followed Hyperlink" xfId="8882" builtinId="9" hidden="1"/>
    <cellStyle name="Followed Hyperlink" xfId="8884" builtinId="9" hidden="1"/>
    <cellStyle name="Followed Hyperlink" xfId="8886" builtinId="9" hidden="1"/>
    <cellStyle name="Followed Hyperlink" xfId="8888" builtinId="9" hidden="1"/>
    <cellStyle name="Followed Hyperlink" xfId="8890" builtinId="9" hidden="1"/>
    <cellStyle name="Followed Hyperlink" xfId="8892" builtinId="9" hidden="1"/>
    <cellStyle name="Followed Hyperlink" xfId="8894" builtinId="9" hidden="1"/>
    <cellStyle name="Followed Hyperlink" xfId="8896" builtinId="9" hidden="1"/>
    <cellStyle name="Followed Hyperlink" xfId="8898" builtinId="9" hidden="1"/>
    <cellStyle name="Followed Hyperlink" xfId="8900" builtinId="9" hidden="1"/>
    <cellStyle name="Followed Hyperlink" xfId="8902" builtinId="9" hidden="1"/>
    <cellStyle name="Followed Hyperlink" xfId="8904" builtinId="9" hidden="1"/>
    <cellStyle name="Followed Hyperlink" xfId="8906" builtinId="9" hidden="1"/>
    <cellStyle name="Followed Hyperlink" xfId="8908" builtinId="9" hidden="1"/>
    <cellStyle name="Followed Hyperlink" xfId="8910" builtinId="9" hidden="1"/>
    <cellStyle name="Followed Hyperlink" xfId="8912" builtinId="9" hidden="1"/>
    <cellStyle name="Followed Hyperlink" xfId="8914" builtinId="9" hidden="1"/>
    <cellStyle name="Followed Hyperlink" xfId="8916" builtinId="9" hidden="1"/>
    <cellStyle name="Followed Hyperlink" xfId="8918" builtinId="9" hidden="1"/>
    <cellStyle name="Followed Hyperlink" xfId="8920" builtinId="9" hidden="1"/>
    <cellStyle name="Followed Hyperlink" xfId="8922" builtinId="9" hidden="1"/>
    <cellStyle name="Followed Hyperlink" xfId="8924" builtinId="9" hidden="1"/>
    <cellStyle name="Followed Hyperlink" xfId="8926" builtinId="9" hidden="1"/>
    <cellStyle name="Followed Hyperlink" xfId="8928" builtinId="9" hidden="1"/>
    <cellStyle name="Followed Hyperlink" xfId="8930" builtinId="9" hidden="1"/>
    <cellStyle name="Followed Hyperlink" xfId="8932" builtinId="9" hidden="1"/>
    <cellStyle name="Followed Hyperlink" xfId="8934" builtinId="9" hidden="1"/>
    <cellStyle name="Followed Hyperlink" xfId="8936" builtinId="9" hidden="1"/>
    <cellStyle name="Followed Hyperlink" xfId="8938" builtinId="9" hidden="1"/>
    <cellStyle name="Followed Hyperlink" xfId="8940" builtinId="9" hidden="1"/>
    <cellStyle name="Followed Hyperlink" xfId="8942" builtinId="9" hidden="1"/>
    <cellStyle name="Followed Hyperlink" xfId="8944" builtinId="9" hidden="1"/>
    <cellStyle name="Followed Hyperlink" xfId="8946" builtinId="9" hidden="1"/>
    <cellStyle name="Followed Hyperlink" xfId="8948" builtinId="9" hidden="1"/>
    <cellStyle name="Followed Hyperlink" xfId="8950" builtinId="9" hidden="1"/>
    <cellStyle name="Followed Hyperlink" xfId="8952" builtinId="9" hidden="1"/>
    <cellStyle name="Followed Hyperlink" xfId="8954" builtinId="9" hidden="1"/>
    <cellStyle name="Followed Hyperlink" xfId="8956" builtinId="9" hidden="1"/>
    <cellStyle name="Followed Hyperlink" xfId="8958" builtinId="9" hidden="1"/>
    <cellStyle name="Followed Hyperlink" xfId="8960" builtinId="9" hidden="1"/>
    <cellStyle name="Followed Hyperlink" xfId="8962" builtinId="9" hidden="1"/>
    <cellStyle name="Followed Hyperlink" xfId="8964" builtinId="9" hidden="1"/>
    <cellStyle name="Followed Hyperlink" xfId="8966" builtinId="9" hidden="1"/>
    <cellStyle name="Followed Hyperlink" xfId="8968" builtinId="9" hidden="1"/>
    <cellStyle name="Followed Hyperlink" xfId="8970" builtinId="9" hidden="1"/>
    <cellStyle name="Followed Hyperlink" xfId="8972" builtinId="9" hidden="1"/>
    <cellStyle name="Followed Hyperlink" xfId="8974" builtinId="9" hidden="1"/>
    <cellStyle name="Followed Hyperlink" xfId="8976" builtinId="9" hidden="1"/>
    <cellStyle name="Followed Hyperlink" xfId="8978" builtinId="9" hidden="1"/>
    <cellStyle name="Followed Hyperlink" xfId="8980" builtinId="9" hidden="1"/>
    <cellStyle name="Followed Hyperlink" xfId="8982" builtinId="9" hidden="1"/>
    <cellStyle name="Followed Hyperlink" xfId="8984" builtinId="9" hidden="1"/>
    <cellStyle name="Followed Hyperlink" xfId="8986" builtinId="9" hidden="1"/>
    <cellStyle name="Followed Hyperlink" xfId="8988" builtinId="9" hidden="1"/>
    <cellStyle name="Followed Hyperlink" xfId="8990" builtinId="9" hidden="1"/>
    <cellStyle name="Followed Hyperlink" xfId="8992" builtinId="9" hidden="1"/>
    <cellStyle name="Followed Hyperlink" xfId="8994" builtinId="9" hidden="1"/>
    <cellStyle name="Followed Hyperlink" xfId="8996" builtinId="9" hidden="1"/>
    <cellStyle name="Followed Hyperlink" xfId="8998" builtinId="9" hidden="1"/>
    <cellStyle name="Followed Hyperlink" xfId="9000" builtinId="9" hidden="1"/>
    <cellStyle name="Followed Hyperlink" xfId="9002" builtinId="9" hidden="1"/>
    <cellStyle name="Followed Hyperlink" xfId="9004" builtinId="9" hidden="1"/>
    <cellStyle name="Followed Hyperlink" xfId="9006" builtinId="9" hidden="1"/>
    <cellStyle name="Followed Hyperlink" xfId="9008" builtinId="9" hidden="1"/>
    <cellStyle name="Followed Hyperlink" xfId="9010" builtinId="9" hidden="1"/>
    <cellStyle name="Followed Hyperlink" xfId="9012" builtinId="9" hidden="1"/>
    <cellStyle name="Followed Hyperlink" xfId="9014" builtinId="9" hidden="1"/>
    <cellStyle name="Followed Hyperlink" xfId="9016" builtinId="9" hidden="1"/>
    <cellStyle name="Followed Hyperlink" xfId="9018" builtinId="9" hidden="1"/>
    <cellStyle name="Followed Hyperlink" xfId="9020" builtinId="9" hidden="1"/>
    <cellStyle name="Followed Hyperlink" xfId="9022" builtinId="9" hidden="1"/>
    <cellStyle name="Followed Hyperlink" xfId="9024" builtinId="9" hidden="1"/>
    <cellStyle name="Followed Hyperlink" xfId="9026" builtinId="9" hidden="1"/>
    <cellStyle name="Followed Hyperlink" xfId="9028" builtinId="9" hidden="1"/>
    <cellStyle name="Followed Hyperlink" xfId="9030" builtinId="9" hidden="1"/>
    <cellStyle name="Followed Hyperlink" xfId="9032" builtinId="9" hidden="1"/>
    <cellStyle name="Followed Hyperlink" xfId="9034" builtinId="9" hidden="1"/>
    <cellStyle name="Followed Hyperlink" xfId="9036" builtinId="9" hidden="1"/>
    <cellStyle name="Followed Hyperlink" xfId="9038" builtinId="9" hidden="1"/>
    <cellStyle name="Followed Hyperlink" xfId="9040" builtinId="9" hidden="1"/>
    <cellStyle name="Followed Hyperlink" xfId="9042" builtinId="9" hidden="1"/>
    <cellStyle name="Followed Hyperlink" xfId="9044" builtinId="9" hidden="1"/>
    <cellStyle name="Followed Hyperlink" xfId="9046" builtinId="9" hidden="1"/>
    <cellStyle name="Followed Hyperlink" xfId="9048" builtinId="9" hidden="1"/>
    <cellStyle name="Followed Hyperlink" xfId="9050" builtinId="9" hidden="1"/>
    <cellStyle name="Followed Hyperlink" xfId="9052" builtinId="9" hidden="1"/>
    <cellStyle name="Followed Hyperlink" xfId="9054" builtinId="9" hidden="1"/>
    <cellStyle name="Followed Hyperlink" xfId="9056" builtinId="9" hidden="1"/>
    <cellStyle name="Followed Hyperlink" xfId="9058" builtinId="9" hidden="1"/>
    <cellStyle name="Followed Hyperlink" xfId="9060" builtinId="9" hidden="1"/>
    <cellStyle name="Followed Hyperlink" xfId="9062" builtinId="9" hidden="1"/>
    <cellStyle name="Followed Hyperlink" xfId="9064" builtinId="9" hidden="1"/>
    <cellStyle name="Followed Hyperlink" xfId="9066" builtinId="9" hidden="1"/>
    <cellStyle name="Followed Hyperlink" xfId="9068" builtinId="9" hidden="1"/>
    <cellStyle name="Followed Hyperlink" xfId="9070" builtinId="9" hidden="1"/>
    <cellStyle name="Followed Hyperlink" xfId="9072" builtinId="9" hidden="1"/>
    <cellStyle name="Followed Hyperlink" xfId="9074" builtinId="9" hidden="1"/>
    <cellStyle name="Followed Hyperlink" xfId="9076" builtinId="9" hidden="1"/>
    <cellStyle name="Followed Hyperlink" xfId="9078" builtinId="9" hidden="1"/>
    <cellStyle name="Followed Hyperlink" xfId="9080" builtinId="9" hidden="1"/>
    <cellStyle name="Followed Hyperlink" xfId="9082" builtinId="9" hidden="1"/>
    <cellStyle name="Followed Hyperlink" xfId="9084" builtinId="9" hidden="1"/>
    <cellStyle name="Followed Hyperlink" xfId="9086" builtinId="9" hidden="1"/>
    <cellStyle name="Followed Hyperlink" xfId="9088" builtinId="9" hidden="1"/>
    <cellStyle name="Followed Hyperlink" xfId="9090" builtinId="9" hidden="1"/>
    <cellStyle name="Followed Hyperlink" xfId="9092" builtinId="9" hidden="1"/>
    <cellStyle name="Followed Hyperlink" xfId="9094" builtinId="9" hidden="1"/>
    <cellStyle name="Followed Hyperlink" xfId="9096" builtinId="9" hidden="1"/>
    <cellStyle name="Followed Hyperlink" xfId="9098" builtinId="9" hidden="1"/>
    <cellStyle name="Followed Hyperlink" xfId="9100" builtinId="9" hidden="1"/>
    <cellStyle name="Followed Hyperlink" xfId="9102" builtinId="9" hidden="1"/>
    <cellStyle name="Followed Hyperlink" xfId="9104" builtinId="9" hidden="1"/>
    <cellStyle name="Followed Hyperlink" xfId="9106" builtinId="9" hidden="1"/>
    <cellStyle name="Followed Hyperlink" xfId="9108" builtinId="9" hidden="1"/>
    <cellStyle name="Followed Hyperlink" xfId="9110" builtinId="9" hidden="1"/>
    <cellStyle name="Followed Hyperlink" xfId="9112" builtinId="9" hidden="1"/>
    <cellStyle name="Followed Hyperlink" xfId="9114" builtinId="9" hidden="1"/>
    <cellStyle name="Followed Hyperlink" xfId="9116" builtinId="9" hidden="1"/>
    <cellStyle name="Followed Hyperlink" xfId="9118" builtinId="9" hidden="1"/>
    <cellStyle name="Followed Hyperlink" xfId="9120" builtinId="9" hidden="1"/>
    <cellStyle name="Followed Hyperlink" xfId="9122" builtinId="9" hidden="1"/>
    <cellStyle name="Followed Hyperlink" xfId="9124" builtinId="9" hidden="1"/>
    <cellStyle name="Followed Hyperlink" xfId="9126" builtinId="9" hidden="1"/>
    <cellStyle name="Followed Hyperlink" xfId="9128" builtinId="9" hidden="1"/>
    <cellStyle name="Followed Hyperlink" xfId="9130" builtinId="9" hidden="1"/>
    <cellStyle name="Followed Hyperlink" xfId="9132" builtinId="9" hidden="1"/>
    <cellStyle name="Followed Hyperlink" xfId="9134" builtinId="9" hidden="1"/>
    <cellStyle name="Followed Hyperlink" xfId="9136" builtinId="9" hidden="1"/>
    <cellStyle name="Followed Hyperlink" xfId="9138" builtinId="9" hidden="1"/>
    <cellStyle name="Followed Hyperlink" xfId="9140" builtinId="9" hidden="1"/>
    <cellStyle name="Followed Hyperlink" xfId="9142" builtinId="9" hidden="1"/>
    <cellStyle name="Followed Hyperlink" xfId="9144" builtinId="9" hidden="1"/>
    <cellStyle name="Followed Hyperlink" xfId="9146" builtinId="9" hidden="1"/>
    <cellStyle name="Followed Hyperlink" xfId="9148" builtinId="9" hidden="1"/>
    <cellStyle name="Followed Hyperlink" xfId="9150" builtinId="9" hidden="1"/>
    <cellStyle name="Followed Hyperlink" xfId="9152" builtinId="9" hidden="1"/>
    <cellStyle name="Followed Hyperlink" xfId="9154" builtinId="9" hidden="1"/>
    <cellStyle name="Followed Hyperlink" xfId="9156" builtinId="9" hidden="1"/>
    <cellStyle name="Followed Hyperlink" xfId="9158" builtinId="9" hidden="1"/>
    <cellStyle name="Followed Hyperlink" xfId="9160" builtinId="9" hidden="1"/>
    <cellStyle name="Followed Hyperlink" xfId="9162" builtinId="9" hidden="1"/>
    <cellStyle name="Followed Hyperlink" xfId="9164" builtinId="9" hidden="1"/>
    <cellStyle name="Followed Hyperlink" xfId="9166" builtinId="9" hidden="1"/>
    <cellStyle name="Followed Hyperlink" xfId="9168" builtinId="9" hidden="1"/>
    <cellStyle name="Followed Hyperlink" xfId="9170" builtinId="9" hidden="1"/>
    <cellStyle name="Followed Hyperlink" xfId="9172" builtinId="9" hidden="1"/>
    <cellStyle name="Followed Hyperlink" xfId="9174" builtinId="9" hidden="1"/>
    <cellStyle name="Followed Hyperlink" xfId="9176" builtinId="9" hidden="1"/>
    <cellStyle name="Followed Hyperlink" xfId="9178" builtinId="9" hidden="1"/>
    <cellStyle name="Followed Hyperlink" xfId="9180" builtinId="9" hidden="1"/>
    <cellStyle name="Followed Hyperlink" xfId="9182" builtinId="9" hidden="1"/>
    <cellStyle name="Followed Hyperlink" xfId="9184" builtinId="9" hidden="1"/>
    <cellStyle name="Followed Hyperlink" xfId="9186" builtinId="9" hidden="1"/>
    <cellStyle name="Followed Hyperlink" xfId="9188" builtinId="9" hidden="1"/>
    <cellStyle name="Followed Hyperlink" xfId="9190" builtinId="9" hidden="1"/>
    <cellStyle name="Followed Hyperlink" xfId="9192" builtinId="9" hidden="1"/>
    <cellStyle name="Followed Hyperlink" xfId="9194" builtinId="9" hidden="1"/>
    <cellStyle name="Followed Hyperlink" xfId="9196" builtinId="9" hidden="1"/>
    <cellStyle name="Followed Hyperlink" xfId="9198" builtinId="9" hidden="1"/>
    <cellStyle name="Followed Hyperlink" xfId="9200" builtinId="9" hidden="1"/>
    <cellStyle name="Followed Hyperlink" xfId="9202" builtinId="9" hidden="1"/>
    <cellStyle name="Followed Hyperlink" xfId="9204" builtinId="9" hidden="1"/>
    <cellStyle name="Followed Hyperlink" xfId="9206" builtinId="9" hidden="1"/>
    <cellStyle name="Followed Hyperlink" xfId="9208" builtinId="9" hidden="1"/>
    <cellStyle name="Followed Hyperlink" xfId="9210" builtinId="9" hidden="1"/>
    <cellStyle name="Followed Hyperlink" xfId="9212" builtinId="9" hidden="1"/>
    <cellStyle name="Followed Hyperlink" xfId="9214" builtinId="9" hidden="1"/>
    <cellStyle name="Followed Hyperlink" xfId="9216" builtinId="9" hidden="1"/>
    <cellStyle name="Followed Hyperlink" xfId="9218" builtinId="9" hidden="1"/>
    <cellStyle name="Followed Hyperlink" xfId="9220" builtinId="9" hidden="1"/>
    <cellStyle name="Followed Hyperlink" xfId="9222" builtinId="9" hidden="1"/>
    <cellStyle name="Followed Hyperlink" xfId="9224" builtinId="9" hidden="1"/>
    <cellStyle name="Followed Hyperlink" xfId="9226" builtinId="9" hidden="1"/>
    <cellStyle name="Followed Hyperlink" xfId="9228" builtinId="9" hidden="1"/>
    <cellStyle name="Followed Hyperlink" xfId="9230" builtinId="9" hidden="1"/>
    <cellStyle name="Followed Hyperlink" xfId="9232" builtinId="9" hidden="1"/>
    <cellStyle name="Followed Hyperlink" xfId="9234" builtinId="9" hidden="1"/>
    <cellStyle name="Followed Hyperlink" xfId="9236" builtinId="9" hidden="1"/>
    <cellStyle name="Followed Hyperlink" xfId="9238" builtinId="9" hidden="1"/>
    <cellStyle name="Followed Hyperlink" xfId="9240" builtinId="9" hidden="1"/>
    <cellStyle name="Followed Hyperlink" xfId="9242" builtinId="9" hidden="1"/>
    <cellStyle name="Followed Hyperlink" xfId="9244" builtinId="9" hidden="1"/>
    <cellStyle name="Followed Hyperlink" xfId="9246" builtinId="9" hidden="1"/>
    <cellStyle name="Followed Hyperlink" xfId="9248" builtinId="9" hidden="1"/>
    <cellStyle name="Followed Hyperlink" xfId="9250" builtinId="9" hidden="1"/>
    <cellStyle name="Followed Hyperlink" xfId="9252" builtinId="9" hidden="1"/>
    <cellStyle name="Followed Hyperlink" xfId="9254" builtinId="9" hidden="1"/>
    <cellStyle name="Followed Hyperlink" xfId="9256" builtinId="9" hidden="1"/>
    <cellStyle name="Followed Hyperlink" xfId="9258" builtinId="9" hidden="1"/>
    <cellStyle name="Followed Hyperlink" xfId="9260" builtinId="9" hidden="1"/>
    <cellStyle name="Followed Hyperlink" xfId="9262" builtinId="9" hidden="1"/>
    <cellStyle name="Followed Hyperlink" xfId="9264" builtinId="9" hidden="1"/>
    <cellStyle name="Followed Hyperlink" xfId="9266" builtinId="9" hidden="1"/>
    <cellStyle name="Followed Hyperlink" xfId="9268" builtinId="9" hidden="1"/>
    <cellStyle name="Followed Hyperlink" xfId="9270" builtinId="9" hidden="1"/>
    <cellStyle name="Followed Hyperlink" xfId="9272" builtinId="9" hidden="1"/>
    <cellStyle name="Followed Hyperlink" xfId="9274" builtinId="9" hidden="1"/>
    <cellStyle name="Followed Hyperlink" xfId="9276" builtinId="9" hidden="1"/>
    <cellStyle name="Followed Hyperlink" xfId="9278" builtinId="9" hidden="1"/>
    <cellStyle name="Followed Hyperlink" xfId="9280" builtinId="9" hidden="1"/>
    <cellStyle name="Followed Hyperlink" xfId="9282" builtinId="9" hidden="1"/>
    <cellStyle name="Followed Hyperlink" xfId="9284" builtinId="9" hidden="1"/>
    <cellStyle name="Followed Hyperlink" xfId="9286" builtinId="9" hidden="1"/>
    <cellStyle name="Followed Hyperlink" xfId="9288" builtinId="9" hidden="1"/>
    <cellStyle name="Followed Hyperlink" xfId="9290" builtinId="9" hidden="1"/>
    <cellStyle name="Followed Hyperlink" xfId="9292" builtinId="9" hidden="1"/>
    <cellStyle name="Followed Hyperlink" xfId="9294" builtinId="9" hidden="1"/>
    <cellStyle name="Followed Hyperlink" xfId="9296" builtinId="9" hidden="1"/>
    <cellStyle name="Followed Hyperlink" xfId="9298" builtinId="9" hidden="1"/>
    <cellStyle name="Followed Hyperlink" xfId="9300" builtinId="9" hidden="1"/>
    <cellStyle name="Followed Hyperlink" xfId="9302" builtinId="9" hidden="1"/>
    <cellStyle name="Followed Hyperlink" xfId="9304" builtinId="9" hidden="1"/>
    <cellStyle name="Followed Hyperlink" xfId="9306" builtinId="9" hidden="1"/>
    <cellStyle name="Followed Hyperlink" xfId="9308" builtinId="9" hidden="1"/>
    <cellStyle name="Followed Hyperlink" xfId="9310" builtinId="9" hidden="1"/>
    <cellStyle name="Followed Hyperlink" xfId="9312" builtinId="9" hidden="1"/>
    <cellStyle name="Followed Hyperlink" xfId="9314" builtinId="9" hidden="1"/>
    <cellStyle name="Followed Hyperlink" xfId="9316" builtinId="9" hidden="1"/>
    <cellStyle name="Followed Hyperlink" xfId="9318" builtinId="9" hidden="1"/>
    <cellStyle name="Followed Hyperlink" xfId="9320" builtinId="9" hidden="1"/>
    <cellStyle name="Followed Hyperlink" xfId="9322" builtinId="9" hidden="1"/>
    <cellStyle name="Followed Hyperlink" xfId="9324" builtinId="9" hidden="1"/>
    <cellStyle name="Followed Hyperlink" xfId="9326" builtinId="9" hidden="1"/>
    <cellStyle name="Followed Hyperlink" xfId="9328" builtinId="9" hidden="1"/>
    <cellStyle name="Followed Hyperlink" xfId="9330" builtinId="9" hidden="1"/>
    <cellStyle name="Followed Hyperlink" xfId="9332" builtinId="9" hidden="1"/>
    <cellStyle name="Followed Hyperlink" xfId="9334" builtinId="9" hidden="1"/>
    <cellStyle name="Followed Hyperlink" xfId="9336" builtinId="9" hidden="1"/>
    <cellStyle name="Followed Hyperlink" xfId="9338" builtinId="9" hidden="1"/>
    <cellStyle name="Followed Hyperlink" xfId="9340" builtinId="9" hidden="1"/>
    <cellStyle name="Followed Hyperlink" xfId="9342" builtinId="9" hidden="1"/>
    <cellStyle name="Followed Hyperlink" xfId="9344" builtinId="9" hidden="1"/>
    <cellStyle name="Followed Hyperlink" xfId="9346" builtinId="9" hidden="1"/>
    <cellStyle name="Followed Hyperlink" xfId="9348" builtinId="9" hidden="1"/>
    <cellStyle name="Followed Hyperlink" xfId="9350" builtinId="9" hidden="1"/>
    <cellStyle name="Followed Hyperlink" xfId="9352" builtinId="9" hidden="1"/>
    <cellStyle name="Followed Hyperlink" xfId="9354" builtinId="9" hidden="1"/>
    <cellStyle name="Followed Hyperlink" xfId="9356" builtinId="9" hidden="1"/>
    <cellStyle name="Followed Hyperlink" xfId="9358" builtinId="9" hidden="1"/>
    <cellStyle name="Followed Hyperlink" xfId="9360" builtinId="9" hidden="1"/>
    <cellStyle name="Followed Hyperlink" xfId="9362" builtinId="9" hidden="1"/>
    <cellStyle name="Followed Hyperlink" xfId="9364" builtinId="9" hidden="1"/>
    <cellStyle name="Followed Hyperlink" xfId="9366" builtinId="9" hidden="1"/>
    <cellStyle name="Followed Hyperlink" xfId="9368" builtinId="9" hidden="1"/>
    <cellStyle name="Followed Hyperlink" xfId="9370" builtinId="9" hidden="1"/>
    <cellStyle name="Followed Hyperlink" xfId="9372" builtinId="9" hidden="1"/>
    <cellStyle name="Followed Hyperlink" xfId="9374" builtinId="9" hidden="1"/>
    <cellStyle name="Followed Hyperlink" xfId="9376" builtinId="9" hidden="1"/>
    <cellStyle name="Followed Hyperlink" xfId="9378" builtinId="9" hidden="1"/>
    <cellStyle name="Followed Hyperlink" xfId="9380" builtinId="9" hidden="1"/>
    <cellStyle name="Followed Hyperlink" xfId="9382" builtinId="9" hidden="1"/>
    <cellStyle name="Followed Hyperlink" xfId="9384" builtinId="9" hidden="1"/>
    <cellStyle name="Followed Hyperlink" xfId="9386" builtinId="9" hidden="1"/>
    <cellStyle name="Followed Hyperlink" xfId="9388" builtinId="9" hidden="1"/>
    <cellStyle name="Followed Hyperlink" xfId="9390" builtinId="9" hidden="1"/>
    <cellStyle name="Followed Hyperlink" xfId="9392" builtinId="9" hidden="1"/>
    <cellStyle name="Followed Hyperlink" xfId="9394" builtinId="9" hidden="1"/>
    <cellStyle name="Followed Hyperlink" xfId="9396" builtinId="9" hidden="1"/>
    <cellStyle name="Followed Hyperlink" xfId="9398" builtinId="9" hidden="1"/>
    <cellStyle name="Followed Hyperlink" xfId="9400" builtinId="9" hidden="1"/>
    <cellStyle name="Followed Hyperlink" xfId="9402" builtinId="9" hidden="1"/>
    <cellStyle name="Followed Hyperlink" xfId="9404" builtinId="9" hidden="1"/>
    <cellStyle name="Followed Hyperlink" xfId="9406" builtinId="9" hidden="1"/>
    <cellStyle name="Followed Hyperlink" xfId="9408" builtinId="9" hidden="1"/>
    <cellStyle name="Followed Hyperlink" xfId="9410" builtinId="9" hidden="1"/>
    <cellStyle name="Followed Hyperlink" xfId="9412" builtinId="9" hidden="1"/>
    <cellStyle name="Followed Hyperlink" xfId="9414" builtinId="9" hidden="1"/>
    <cellStyle name="Followed Hyperlink" xfId="9416" builtinId="9" hidden="1"/>
    <cellStyle name="Followed Hyperlink" xfId="9418" builtinId="9" hidden="1"/>
    <cellStyle name="Followed Hyperlink" xfId="9420" builtinId="9" hidden="1"/>
    <cellStyle name="Followed Hyperlink" xfId="9422" builtinId="9" hidden="1"/>
    <cellStyle name="Followed Hyperlink" xfId="9424" builtinId="9" hidden="1"/>
    <cellStyle name="Followed Hyperlink" xfId="9426" builtinId="9" hidden="1"/>
    <cellStyle name="Followed Hyperlink" xfId="9428" builtinId="9" hidden="1"/>
    <cellStyle name="Followed Hyperlink" xfId="9430" builtinId="9" hidden="1"/>
    <cellStyle name="Followed Hyperlink" xfId="9432" builtinId="9" hidden="1"/>
    <cellStyle name="Followed Hyperlink" xfId="9434" builtinId="9" hidden="1"/>
    <cellStyle name="Followed Hyperlink" xfId="9436" builtinId="9" hidden="1"/>
    <cellStyle name="Followed Hyperlink" xfId="9438" builtinId="9" hidden="1"/>
    <cellStyle name="Followed Hyperlink" xfId="9440" builtinId="9" hidden="1"/>
    <cellStyle name="Followed Hyperlink" xfId="9442" builtinId="9" hidden="1"/>
    <cellStyle name="Followed Hyperlink" xfId="9444" builtinId="9" hidden="1"/>
    <cellStyle name="Followed Hyperlink" xfId="9446" builtinId="9" hidden="1"/>
    <cellStyle name="Followed Hyperlink" xfId="9448" builtinId="9" hidden="1"/>
    <cellStyle name="Followed Hyperlink" xfId="9450" builtinId="9" hidden="1"/>
    <cellStyle name="Followed Hyperlink" xfId="9452" builtinId="9" hidden="1"/>
    <cellStyle name="Followed Hyperlink" xfId="9454" builtinId="9" hidden="1"/>
    <cellStyle name="Followed Hyperlink" xfId="9456" builtinId="9" hidden="1"/>
    <cellStyle name="Followed Hyperlink" xfId="9458" builtinId="9" hidden="1"/>
    <cellStyle name="Followed Hyperlink" xfId="9460" builtinId="9" hidden="1"/>
    <cellStyle name="Followed Hyperlink" xfId="9462" builtinId="9" hidden="1"/>
    <cellStyle name="Followed Hyperlink" xfId="9464" builtinId="9" hidden="1"/>
    <cellStyle name="Followed Hyperlink" xfId="9466" builtinId="9" hidden="1"/>
    <cellStyle name="Followed Hyperlink" xfId="9468" builtinId="9" hidden="1"/>
    <cellStyle name="Followed Hyperlink" xfId="9470" builtinId="9" hidden="1"/>
    <cellStyle name="Followed Hyperlink" xfId="9472" builtinId="9" hidden="1"/>
    <cellStyle name="Followed Hyperlink" xfId="9474" builtinId="9" hidden="1"/>
    <cellStyle name="Followed Hyperlink" xfId="9476" builtinId="9" hidden="1"/>
    <cellStyle name="Followed Hyperlink" xfId="9478" builtinId="9" hidden="1"/>
    <cellStyle name="Followed Hyperlink" xfId="9480" builtinId="9" hidden="1"/>
    <cellStyle name="Followed Hyperlink" xfId="9482" builtinId="9" hidden="1"/>
    <cellStyle name="Followed Hyperlink" xfId="9484" builtinId="9" hidden="1"/>
    <cellStyle name="Followed Hyperlink" xfId="9486" builtinId="9" hidden="1"/>
    <cellStyle name="Followed Hyperlink" xfId="9488" builtinId="9" hidden="1"/>
    <cellStyle name="Followed Hyperlink" xfId="9490" builtinId="9" hidden="1"/>
    <cellStyle name="Followed Hyperlink" xfId="9492" builtinId="9" hidden="1"/>
    <cellStyle name="Followed Hyperlink" xfId="9494" builtinId="9" hidden="1"/>
    <cellStyle name="Followed Hyperlink" xfId="9496" builtinId="9" hidden="1"/>
    <cellStyle name="Followed Hyperlink" xfId="9498" builtinId="9" hidden="1"/>
    <cellStyle name="Followed Hyperlink" xfId="9500" builtinId="9" hidden="1"/>
    <cellStyle name="Followed Hyperlink" xfId="9502" builtinId="9" hidden="1"/>
    <cellStyle name="Followed Hyperlink" xfId="9504" builtinId="9" hidden="1"/>
    <cellStyle name="Followed Hyperlink" xfId="9506" builtinId="9" hidden="1"/>
    <cellStyle name="Followed Hyperlink" xfId="9508" builtinId="9" hidden="1"/>
    <cellStyle name="Followed Hyperlink" xfId="9510" builtinId="9" hidden="1"/>
    <cellStyle name="Followed Hyperlink" xfId="9512" builtinId="9" hidden="1"/>
    <cellStyle name="Followed Hyperlink" xfId="9514" builtinId="9" hidden="1"/>
    <cellStyle name="Followed Hyperlink" xfId="9516" builtinId="9" hidden="1"/>
    <cellStyle name="Followed Hyperlink" xfId="9518" builtinId="9" hidden="1"/>
    <cellStyle name="Followed Hyperlink" xfId="9520" builtinId="9" hidden="1"/>
    <cellStyle name="Followed Hyperlink" xfId="9522" builtinId="9" hidden="1"/>
    <cellStyle name="Followed Hyperlink" xfId="9524" builtinId="9" hidden="1"/>
    <cellStyle name="Followed Hyperlink" xfId="9526" builtinId="9" hidden="1"/>
    <cellStyle name="Followed Hyperlink" xfId="9528" builtinId="9" hidden="1"/>
    <cellStyle name="Followed Hyperlink" xfId="9530" builtinId="9" hidden="1"/>
    <cellStyle name="Followed Hyperlink" xfId="9532" builtinId="9" hidden="1"/>
    <cellStyle name="Followed Hyperlink" xfId="9534" builtinId="9" hidden="1"/>
    <cellStyle name="Followed Hyperlink" xfId="9536" builtinId="9" hidden="1"/>
    <cellStyle name="Followed Hyperlink" xfId="9538" builtinId="9" hidden="1"/>
    <cellStyle name="Followed Hyperlink" xfId="9540" builtinId="9" hidden="1"/>
    <cellStyle name="Followed Hyperlink" xfId="9542" builtinId="9" hidden="1"/>
    <cellStyle name="Followed Hyperlink" xfId="9544" builtinId="9" hidden="1"/>
    <cellStyle name="Followed Hyperlink" xfId="9546" builtinId="9" hidden="1"/>
    <cellStyle name="Followed Hyperlink" xfId="9548" builtinId="9" hidden="1"/>
    <cellStyle name="Followed Hyperlink" xfId="9550" builtinId="9" hidden="1"/>
    <cellStyle name="Followed Hyperlink" xfId="9552" builtinId="9" hidden="1"/>
    <cellStyle name="Followed Hyperlink" xfId="9554" builtinId="9" hidden="1"/>
    <cellStyle name="Followed Hyperlink" xfId="9556" builtinId="9" hidden="1"/>
    <cellStyle name="Followed Hyperlink" xfId="9558" builtinId="9" hidden="1"/>
    <cellStyle name="Followed Hyperlink" xfId="9560" builtinId="9" hidden="1"/>
    <cellStyle name="Followed Hyperlink" xfId="9562" builtinId="9" hidden="1"/>
    <cellStyle name="Followed Hyperlink" xfId="9564" builtinId="9" hidden="1"/>
    <cellStyle name="Followed Hyperlink" xfId="9566" builtinId="9" hidden="1"/>
    <cellStyle name="Followed Hyperlink" xfId="9568" builtinId="9" hidden="1"/>
    <cellStyle name="Followed Hyperlink" xfId="9570" builtinId="9" hidden="1"/>
    <cellStyle name="Followed Hyperlink" xfId="9572" builtinId="9" hidden="1"/>
    <cellStyle name="Followed Hyperlink" xfId="9574" builtinId="9" hidden="1"/>
    <cellStyle name="Followed Hyperlink" xfId="9576" builtinId="9" hidden="1"/>
    <cellStyle name="Followed Hyperlink" xfId="9578" builtinId="9" hidden="1"/>
    <cellStyle name="Followed Hyperlink" xfId="9580" builtinId="9" hidden="1"/>
    <cellStyle name="Followed Hyperlink" xfId="9582" builtinId="9" hidden="1"/>
    <cellStyle name="Followed Hyperlink" xfId="9584" builtinId="9" hidden="1"/>
    <cellStyle name="Followed Hyperlink" xfId="9586" builtinId="9" hidden="1"/>
    <cellStyle name="Followed Hyperlink" xfId="9588" builtinId="9" hidden="1"/>
    <cellStyle name="Followed Hyperlink" xfId="9590" builtinId="9" hidden="1"/>
    <cellStyle name="Followed Hyperlink" xfId="9592" builtinId="9" hidden="1"/>
    <cellStyle name="Followed Hyperlink" xfId="9594" builtinId="9" hidden="1"/>
    <cellStyle name="Followed Hyperlink" xfId="9596" builtinId="9" hidden="1"/>
    <cellStyle name="Followed Hyperlink" xfId="9598" builtinId="9" hidden="1"/>
    <cellStyle name="Followed Hyperlink" xfId="9600" builtinId="9" hidden="1"/>
    <cellStyle name="Followed Hyperlink" xfId="9602" builtinId="9" hidden="1"/>
    <cellStyle name="Followed Hyperlink" xfId="9604" builtinId="9" hidden="1"/>
    <cellStyle name="Followed Hyperlink" xfId="9606" builtinId="9" hidden="1"/>
    <cellStyle name="Followed Hyperlink" xfId="9608" builtinId="9" hidden="1"/>
    <cellStyle name="Followed Hyperlink" xfId="9610" builtinId="9" hidden="1"/>
    <cellStyle name="Followed Hyperlink" xfId="9612" builtinId="9" hidden="1"/>
    <cellStyle name="Followed Hyperlink" xfId="9614" builtinId="9" hidden="1"/>
    <cellStyle name="Followed Hyperlink" xfId="9616" builtinId="9" hidden="1"/>
    <cellStyle name="Followed Hyperlink" xfId="9618" builtinId="9" hidden="1"/>
    <cellStyle name="Followed Hyperlink" xfId="9620" builtinId="9" hidden="1"/>
    <cellStyle name="Followed Hyperlink" xfId="9622" builtinId="9" hidden="1"/>
    <cellStyle name="Followed Hyperlink" xfId="9624" builtinId="9" hidden="1"/>
    <cellStyle name="Followed Hyperlink" xfId="9626" builtinId="9" hidden="1"/>
    <cellStyle name="Followed Hyperlink" xfId="9628" builtinId="9" hidden="1"/>
    <cellStyle name="Followed Hyperlink" xfId="9630" builtinId="9" hidden="1"/>
    <cellStyle name="Followed Hyperlink" xfId="9632" builtinId="9" hidden="1"/>
    <cellStyle name="Followed Hyperlink" xfId="9634" builtinId="9" hidden="1"/>
    <cellStyle name="Followed Hyperlink" xfId="9636" builtinId="9" hidden="1"/>
    <cellStyle name="Followed Hyperlink" xfId="9638" builtinId="9" hidden="1"/>
    <cellStyle name="Followed Hyperlink" xfId="9640" builtinId="9" hidden="1"/>
    <cellStyle name="Followed Hyperlink" xfId="9642" builtinId="9" hidden="1"/>
    <cellStyle name="Followed Hyperlink" xfId="9644" builtinId="9" hidden="1"/>
    <cellStyle name="Followed Hyperlink" xfId="9646" builtinId="9" hidden="1"/>
    <cellStyle name="Followed Hyperlink" xfId="9648" builtinId="9" hidden="1"/>
    <cellStyle name="Followed Hyperlink" xfId="9650" builtinId="9" hidden="1"/>
    <cellStyle name="Followed Hyperlink" xfId="9652" builtinId="9" hidden="1"/>
    <cellStyle name="Followed Hyperlink" xfId="9654" builtinId="9" hidden="1"/>
    <cellStyle name="Followed Hyperlink" xfId="9656" builtinId="9" hidden="1"/>
    <cellStyle name="Followed Hyperlink" xfId="9658" builtinId="9" hidden="1"/>
    <cellStyle name="Followed Hyperlink" xfId="9660" builtinId="9" hidden="1"/>
    <cellStyle name="Followed Hyperlink" xfId="9662" builtinId="9" hidden="1"/>
    <cellStyle name="Followed Hyperlink" xfId="9664" builtinId="9" hidden="1"/>
    <cellStyle name="Followed Hyperlink" xfId="9666" builtinId="9" hidden="1"/>
    <cellStyle name="Followed Hyperlink" xfId="9668" builtinId="9" hidden="1"/>
    <cellStyle name="Followed Hyperlink" xfId="9670" builtinId="9" hidden="1"/>
    <cellStyle name="Followed Hyperlink" xfId="9672" builtinId="9" hidden="1"/>
    <cellStyle name="Followed Hyperlink" xfId="9674" builtinId="9" hidden="1"/>
    <cellStyle name="Followed Hyperlink" xfId="9676" builtinId="9" hidden="1"/>
    <cellStyle name="Followed Hyperlink" xfId="9678" builtinId="9" hidden="1"/>
    <cellStyle name="Followed Hyperlink" xfId="9680" builtinId="9" hidden="1"/>
    <cellStyle name="Followed Hyperlink" xfId="9682" builtinId="9" hidden="1"/>
    <cellStyle name="Followed Hyperlink" xfId="9684" builtinId="9" hidden="1"/>
    <cellStyle name="Followed Hyperlink" xfId="9686" builtinId="9" hidden="1"/>
    <cellStyle name="Followed Hyperlink" xfId="9688" builtinId="9" hidden="1"/>
    <cellStyle name="Followed Hyperlink" xfId="9690" builtinId="9" hidden="1"/>
    <cellStyle name="Followed Hyperlink" xfId="9692" builtinId="9" hidden="1"/>
    <cellStyle name="Followed Hyperlink" xfId="9694" builtinId="9" hidden="1"/>
    <cellStyle name="Followed Hyperlink" xfId="9696" builtinId="9" hidden="1"/>
    <cellStyle name="Followed Hyperlink" xfId="9698" builtinId="9" hidden="1"/>
    <cellStyle name="Followed Hyperlink" xfId="9700" builtinId="9" hidden="1"/>
    <cellStyle name="Followed Hyperlink" xfId="9702" builtinId="9" hidden="1"/>
    <cellStyle name="Followed Hyperlink" xfId="9704" builtinId="9" hidden="1"/>
    <cellStyle name="Followed Hyperlink" xfId="9706" builtinId="9" hidden="1"/>
    <cellStyle name="Followed Hyperlink" xfId="9708" builtinId="9" hidden="1"/>
    <cellStyle name="Followed Hyperlink" xfId="9710" builtinId="9" hidden="1"/>
    <cellStyle name="Followed Hyperlink" xfId="9712" builtinId="9" hidden="1"/>
    <cellStyle name="Followed Hyperlink" xfId="9714" builtinId="9" hidden="1"/>
    <cellStyle name="Followed Hyperlink" xfId="9716" builtinId="9" hidden="1"/>
    <cellStyle name="Followed Hyperlink" xfId="9718" builtinId="9" hidden="1"/>
    <cellStyle name="Followed Hyperlink" xfId="9720" builtinId="9" hidden="1"/>
    <cellStyle name="Followed Hyperlink" xfId="9722" builtinId="9" hidden="1"/>
    <cellStyle name="Followed Hyperlink" xfId="9724" builtinId="9" hidden="1"/>
    <cellStyle name="Followed Hyperlink" xfId="9726" builtinId="9" hidden="1"/>
    <cellStyle name="Followed Hyperlink" xfId="9728" builtinId="9" hidden="1"/>
    <cellStyle name="Followed Hyperlink" xfId="9730" builtinId="9" hidden="1"/>
    <cellStyle name="Followed Hyperlink" xfId="9732" builtinId="9" hidden="1"/>
    <cellStyle name="Followed Hyperlink" xfId="9734" builtinId="9" hidden="1"/>
    <cellStyle name="Followed Hyperlink" xfId="9736" builtinId="9" hidden="1"/>
    <cellStyle name="Followed Hyperlink" xfId="9738" builtinId="9" hidden="1"/>
    <cellStyle name="Followed Hyperlink" xfId="9740" builtinId="9" hidden="1"/>
    <cellStyle name="Followed Hyperlink" xfId="9742" builtinId="9" hidden="1"/>
    <cellStyle name="Followed Hyperlink" xfId="9744" builtinId="9" hidden="1"/>
    <cellStyle name="Followed Hyperlink" xfId="9746" builtinId="9" hidden="1"/>
    <cellStyle name="Followed Hyperlink" xfId="9748" builtinId="9" hidden="1"/>
    <cellStyle name="Followed Hyperlink" xfId="9750" builtinId="9" hidden="1"/>
    <cellStyle name="Followed Hyperlink" xfId="9752" builtinId="9" hidden="1"/>
    <cellStyle name="Followed Hyperlink" xfId="9754" builtinId="9" hidden="1"/>
    <cellStyle name="Followed Hyperlink" xfId="9756" builtinId="9" hidden="1"/>
    <cellStyle name="Followed Hyperlink" xfId="9758" builtinId="9" hidden="1"/>
    <cellStyle name="Followed Hyperlink" xfId="9760" builtinId="9" hidden="1"/>
    <cellStyle name="Followed Hyperlink" xfId="9762" builtinId="9" hidden="1"/>
    <cellStyle name="Followed Hyperlink" xfId="9764" builtinId="9" hidden="1"/>
    <cellStyle name="Followed Hyperlink" xfId="9766" builtinId="9" hidden="1"/>
    <cellStyle name="Followed Hyperlink" xfId="9768" builtinId="9" hidden="1"/>
    <cellStyle name="Followed Hyperlink" xfId="9770" builtinId="9" hidden="1"/>
    <cellStyle name="Followed Hyperlink" xfId="9772" builtinId="9" hidden="1"/>
    <cellStyle name="Followed Hyperlink" xfId="9774" builtinId="9" hidden="1"/>
    <cellStyle name="Followed Hyperlink" xfId="9776" builtinId="9" hidden="1"/>
    <cellStyle name="Followed Hyperlink" xfId="9778" builtinId="9" hidden="1"/>
    <cellStyle name="Followed Hyperlink" xfId="9780" builtinId="9" hidden="1"/>
    <cellStyle name="Followed Hyperlink" xfId="9782" builtinId="9" hidden="1"/>
    <cellStyle name="Followed Hyperlink" xfId="9784" builtinId="9" hidden="1"/>
    <cellStyle name="Followed Hyperlink" xfId="9786" builtinId="9" hidden="1"/>
    <cellStyle name="Followed Hyperlink" xfId="9788" builtinId="9" hidden="1"/>
    <cellStyle name="Followed Hyperlink" xfId="9790" builtinId="9" hidden="1"/>
    <cellStyle name="Followed Hyperlink" xfId="9792" builtinId="9" hidden="1"/>
    <cellStyle name="Followed Hyperlink" xfId="9794" builtinId="9" hidden="1"/>
    <cellStyle name="Followed Hyperlink" xfId="9796" builtinId="9" hidden="1"/>
    <cellStyle name="Followed Hyperlink" xfId="9798" builtinId="9" hidden="1"/>
    <cellStyle name="Followed Hyperlink" xfId="9800" builtinId="9" hidden="1"/>
    <cellStyle name="Followed Hyperlink" xfId="9802" builtinId="9" hidden="1"/>
    <cellStyle name="Followed Hyperlink" xfId="9804" builtinId="9" hidden="1"/>
    <cellStyle name="Followed Hyperlink" xfId="9806" builtinId="9" hidden="1"/>
    <cellStyle name="Followed Hyperlink" xfId="9808" builtinId="9" hidden="1"/>
    <cellStyle name="Followed Hyperlink" xfId="9810" builtinId="9" hidden="1"/>
    <cellStyle name="Followed Hyperlink" xfId="9812" builtinId="9" hidden="1"/>
    <cellStyle name="Followed Hyperlink" xfId="9814" builtinId="9" hidden="1"/>
    <cellStyle name="Followed Hyperlink" xfId="9816" builtinId="9" hidden="1"/>
    <cellStyle name="Followed Hyperlink" xfId="9818" builtinId="9" hidden="1"/>
    <cellStyle name="Followed Hyperlink" xfId="9820" builtinId="9" hidden="1"/>
    <cellStyle name="Followed Hyperlink" xfId="9822" builtinId="9" hidden="1"/>
    <cellStyle name="Followed Hyperlink" xfId="9824" builtinId="9" hidden="1"/>
    <cellStyle name="Followed Hyperlink" xfId="9826" builtinId="9" hidden="1"/>
    <cellStyle name="Followed Hyperlink" xfId="9828" builtinId="9" hidden="1"/>
    <cellStyle name="Followed Hyperlink" xfId="9830" builtinId="9" hidden="1"/>
    <cellStyle name="Followed Hyperlink" xfId="9832" builtinId="9" hidden="1"/>
    <cellStyle name="Followed Hyperlink" xfId="9834" builtinId="9" hidden="1"/>
    <cellStyle name="Followed Hyperlink" xfId="9836" builtinId="9" hidden="1"/>
    <cellStyle name="Followed Hyperlink" xfId="9838" builtinId="9" hidden="1"/>
    <cellStyle name="Followed Hyperlink" xfId="9840" builtinId="9" hidden="1"/>
    <cellStyle name="Followed Hyperlink" xfId="9842" builtinId="9" hidden="1"/>
    <cellStyle name="Followed Hyperlink" xfId="9844" builtinId="9" hidden="1"/>
    <cellStyle name="Followed Hyperlink" xfId="9846" builtinId="9" hidden="1"/>
    <cellStyle name="Followed Hyperlink" xfId="9848" builtinId="9" hidden="1"/>
    <cellStyle name="Followed Hyperlink" xfId="9850" builtinId="9" hidden="1"/>
    <cellStyle name="Followed Hyperlink" xfId="9852" builtinId="9" hidden="1"/>
    <cellStyle name="Followed Hyperlink" xfId="9854" builtinId="9" hidden="1"/>
    <cellStyle name="Followed Hyperlink" xfId="9856" builtinId="9" hidden="1"/>
    <cellStyle name="Followed Hyperlink" xfId="9858" builtinId="9" hidden="1"/>
    <cellStyle name="Followed Hyperlink" xfId="9860" builtinId="9" hidden="1"/>
    <cellStyle name="Followed Hyperlink" xfId="9862" builtinId="9" hidden="1"/>
    <cellStyle name="Followed Hyperlink" xfId="9864" builtinId="9" hidden="1"/>
    <cellStyle name="Followed Hyperlink" xfId="9866" builtinId="9" hidden="1"/>
    <cellStyle name="Followed Hyperlink" xfId="9868" builtinId="9" hidden="1"/>
    <cellStyle name="Followed Hyperlink" xfId="9870" builtinId="9" hidden="1"/>
    <cellStyle name="Followed Hyperlink" xfId="9872" builtinId="9" hidden="1"/>
    <cellStyle name="Followed Hyperlink" xfId="9874" builtinId="9" hidden="1"/>
    <cellStyle name="Followed Hyperlink" xfId="9876" builtinId="9" hidden="1"/>
    <cellStyle name="Followed Hyperlink" xfId="9878" builtinId="9" hidden="1"/>
    <cellStyle name="Followed Hyperlink" xfId="9880" builtinId="9" hidden="1"/>
    <cellStyle name="Followed Hyperlink" xfId="9882" builtinId="9" hidden="1"/>
    <cellStyle name="Followed Hyperlink" xfId="9884" builtinId="9" hidden="1"/>
    <cellStyle name="Followed Hyperlink" xfId="9886" builtinId="9" hidden="1"/>
    <cellStyle name="Followed Hyperlink" xfId="9888" builtinId="9" hidden="1"/>
    <cellStyle name="Followed Hyperlink" xfId="9890" builtinId="9" hidden="1"/>
    <cellStyle name="Followed Hyperlink" xfId="9892" builtinId="9" hidden="1"/>
    <cellStyle name="Followed Hyperlink" xfId="9894" builtinId="9" hidden="1"/>
    <cellStyle name="Followed Hyperlink" xfId="9896" builtinId="9" hidden="1"/>
    <cellStyle name="Followed Hyperlink" xfId="9898" builtinId="9" hidden="1"/>
    <cellStyle name="Followed Hyperlink" xfId="9900" builtinId="9" hidden="1"/>
    <cellStyle name="Followed Hyperlink" xfId="9902" builtinId="9" hidden="1"/>
    <cellStyle name="Followed Hyperlink" xfId="9904" builtinId="9" hidden="1"/>
    <cellStyle name="Followed Hyperlink" xfId="9906" builtinId="9" hidden="1"/>
    <cellStyle name="Followed Hyperlink" xfId="9908" builtinId="9" hidden="1"/>
    <cellStyle name="Followed Hyperlink" xfId="9910" builtinId="9" hidden="1"/>
    <cellStyle name="Followed Hyperlink" xfId="9912" builtinId="9" hidden="1"/>
    <cellStyle name="Followed Hyperlink" xfId="9914" builtinId="9" hidden="1"/>
    <cellStyle name="Followed Hyperlink" xfId="9916" builtinId="9" hidden="1"/>
    <cellStyle name="Followed Hyperlink" xfId="9918" builtinId="9" hidden="1"/>
    <cellStyle name="Followed Hyperlink" xfId="9920" builtinId="9" hidden="1"/>
    <cellStyle name="Followed Hyperlink" xfId="9922" builtinId="9" hidden="1"/>
    <cellStyle name="Followed Hyperlink" xfId="9924" builtinId="9" hidden="1"/>
    <cellStyle name="Followed Hyperlink" xfId="9926" builtinId="9" hidden="1"/>
    <cellStyle name="Followed Hyperlink" xfId="9928" builtinId="9" hidden="1"/>
    <cellStyle name="Followed Hyperlink" xfId="9930" builtinId="9" hidden="1"/>
    <cellStyle name="Followed Hyperlink" xfId="9932" builtinId="9" hidden="1"/>
    <cellStyle name="Followed Hyperlink" xfId="9934" builtinId="9" hidden="1"/>
    <cellStyle name="Followed Hyperlink" xfId="9936" builtinId="9" hidden="1"/>
    <cellStyle name="Followed Hyperlink" xfId="9938" builtinId="9" hidden="1"/>
    <cellStyle name="Followed Hyperlink" xfId="9940" builtinId="9" hidden="1"/>
    <cellStyle name="Followed Hyperlink" xfId="9942" builtinId="9" hidden="1"/>
    <cellStyle name="Followed Hyperlink" xfId="9944" builtinId="9" hidden="1"/>
    <cellStyle name="Followed Hyperlink" xfId="9946" builtinId="9" hidden="1"/>
    <cellStyle name="Followed Hyperlink" xfId="9948" builtinId="9" hidden="1"/>
    <cellStyle name="Followed Hyperlink" xfId="9950" builtinId="9" hidden="1"/>
    <cellStyle name="Followed Hyperlink" xfId="9952" builtinId="9" hidden="1"/>
    <cellStyle name="Followed Hyperlink" xfId="9954" builtinId="9" hidden="1"/>
    <cellStyle name="Followed Hyperlink" xfId="9956" builtinId="9" hidden="1"/>
    <cellStyle name="Followed Hyperlink" xfId="9958" builtinId="9" hidden="1"/>
    <cellStyle name="Followed Hyperlink" xfId="9960" builtinId="9" hidden="1"/>
    <cellStyle name="Followed Hyperlink" xfId="9962" builtinId="9" hidden="1"/>
    <cellStyle name="Followed Hyperlink" xfId="9964" builtinId="9" hidden="1"/>
    <cellStyle name="Followed Hyperlink" xfId="9966" builtinId="9" hidden="1"/>
    <cellStyle name="Followed Hyperlink" xfId="9968" builtinId="9" hidden="1"/>
    <cellStyle name="Followed Hyperlink" xfId="9970" builtinId="9" hidden="1"/>
    <cellStyle name="Followed Hyperlink" xfId="9972" builtinId="9" hidden="1"/>
    <cellStyle name="Followed Hyperlink" xfId="9974" builtinId="9" hidden="1"/>
    <cellStyle name="Followed Hyperlink" xfId="9976" builtinId="9" hidden="1"/>
    <cellStyle name="Followed Hyperlink" xfId="9978" builtinId="9" hidden="1"/>
    <cellStyle name="Followed Hyperlink" xfId="9980" builtinId="9" hidden="1"/>
    <cellStyle name="Followed Hyperlink" xfId="9982" builtinId="9" hidden="1"/>
    <cellStyle name="Followed Hyperlink" xfId="9984" builtinId="9" hidden="1"/>
    <cellStyle name="Followed Hyperlink" xfId="9986" builtinId="9" hidden="1"/>
    <cellStyle name="Followed Hyperlink" xfId="9988" builtinId="9" hidden="1"/>
    <cellStyle name="Followed Hyperlink" xfId="9990" builtinId="9" hidden="1"/>
    <cellStyle name="Followed Hyperlink" xfId="9992" builtinId="9" hidden="1"/>
    <cellStyle name="Followed Hyperlink" xfId="9994" builtinId="9" hidden="1"/>
    <cellStyle name="Followed Hyperlink" xfId="9996" builtinId="9" hidden="1"/>
    <cellStyle name="Followed Hyperlink" xfId="9998" builtinId="9" hidden="1"/>
    <cellStyle name="Followed Hyperlink" xfId="10000" builtinId="9" hidden="1"/>
    <cellStyle name="Followed Hyperlink" xfId="10002" builtinId="9" hidden="1"/>
    <cellStyle name="Followed Hyperlink" xfId="10004" builtinId="9" hidden="1"/>
    <cellStyle name="Followed Hyperlink" xfId="10006" builtinId="9" hidden="1"/>
    <cellStyle name="Followed Hyperlink" xfId="10008" builtinId="9" hidden="1"/>
    <cellStyle name="Followed Hyperlink" xfId="10010" builtinId="9" hidden="1"/>
    <cellStyle name="Followed Hyperlink" xfId="10012" builtinId="9" hidden="1"/>
    <cellStyle name="Followed Hyperlink" xfId="10014" builtinId="9" hidden="1"/>
    <cellStyle name="Followed Hyperlink" xfId="10016" builtinId="9" hidden="1"/>
    <cellStyle name="Followed Hyperlink" xfId="10018" builtinId="9" hidden="1"/>
    <cellStyle name="Followed Hyperlink" xfId="10020" builtinId="9" hidden="1"/>
    <cellStyle name="Followed Hyperlink" xfId="10022" builtinId="9" hidden="1"/>
    <cellStyle name="Followed Hyperlink" xfId="10024" builtinId="9" hidden="1"/>
    <cellStyle name="Followed Hyperlink" xfId="10026" builtinId="9" hidden="1"/>
    <cellStyle name="Followed Hyperlink" xfId="10028" builtinId="9" hidden="1"/>
    <cellStyle name="Followed Hyperlink" xfId="10030" builtinId="9" hidden="1"/>
    <cellStyle name="Followed Hyperlink" xfId="10032" builtinId="9" hidden="1"/>
    <cellStyle name="Followed Hyperlink" xfId="10034" builtinId="9" hidden="1"/>
    <cellStyle name="Followed Hyperlink" xfId="10036" builtinId="9" hidden="1"/>
    <cellStyle name="Followed Hyperlink" xfId="10038" builtinId="9" hidden="1"/>
    <cellStyle name="Followed Hyperlink" xfId="10040" builtinId="9" hidden="1"/>
    <cellStyle name="Followed Hyperlink" xfId="10042" builtinId="9" hidden="1"/>
    <cellStyle name="Followed Hyperlink" xfId="10044" builtinId="9" hidden="1"/>
    <cellStyle name="Followed Hyperlink" xfId="10046" builtinId="9" hidden="1"/>
    <cellStyle name="Followed Hyperlink" xfId="10048" builtinId="9" hidden="1"/>
    <cellStyle name="Followed Hyperlink" xfId="10050" builtinId="9" hidden="1"/>
    <cellStyle name="Followed Hyperlink" xfId="10052" builtinId="9" hidden="1"/>
    <cellStyle name="Followed Hyperlink" xfId="10054" builtinId="9" hidden="1"/>
    <cellStyle name="Followed Hyperlink" xfId="10056" builtinId="9" hidden="1"/>
    <cellStyle name="Followed Hyperlink" xfId="10058" builtinId="9" hidden="1"/>
    <cellStyle name="Followed Hyperlink" xfId="10060" builtinId="9" hidden="1"/>
    <cellStyle name="Followed Hyperlink" xfId="10062" builtinId="9" hidden="1"/>
    <cellStyle name="Followed Hyperlink" xfId="10064" builtinId="9" hidden="1"/>
    <cellStyle name="Followed Hyperlink" xfId="10066" builtinId="9" hidden="1"/>
    <cellStyle name="Followed Hyperlink" xfId="10068" builtinId="9" hidden="1"/>
    <cellStyle name="Followed Hyperlink" xfId="10070" builtinId="9" hidden="1"/>
    <cellStyle name="Followed Hyperlink" xfId="10072" builtinId="9" hidden="1"/>
    <cellStyle name="Followed Hyperlink" xfId="10074" builtinId="9" hidden="1"/>
    <cellStyle name="Followed Hyperlink" xfId="10076" builtinId="9" hidden="1"/>
    <cellStyle name="Followed Hyperlink" xfId="10078" builtinId="9" hidden="1"/>
    <cellStyle name="Followed Hyperlink" xfId="10080" builtinId="9" hidden="1"/>
    <cellStyle name="Followed Hyperlink" xfId="10082" builtinId="9" hidden="1"/>
    <cellStyle name="Followed Hyperlink" xfId="10084" builtinId="9" hidden="1"/>
    <cellStyle name="Followed Hyperlink" xfId="10086" builtinId="9" hidden="1"/>
    <cellStyle name="Followed Hyperlink" xfId="10088" builtinId="9" hidden="1"/>
    <cellStyle name="Followed Hyperlink" xfId="10090" builtinId="9" hidden="1"/>
    <cellStyle name="Followed Hyperlink" xfId="10092" builtinId="9" hidden="1"/>
    <cellStyle name="Followed Hyperlink" xfId="10094" builtinId="9" hidden="1"/>
    <cellStyle name="Followed Hyperlink" xfId="10096" builtinId="9" hidden="1"/>
    <cellStyle name="Followed Hyperlink" xfId="10098" builtinId="9" hidden="1"/>
    <cellStyle name="Followed Hyperlink" xfId="10100" builtinId="9" hidden="1"/>
    <cellStyle name="Followed Hyperlink" xfId="10102" builtinId="9" hidden="1"/>
    <cellStyle name="Followed Hyperlink" xfId="10104" builtinId="9" hidden="1"/>
    <cellStyle name="Followed Hyperlink" xfId="10106" builtinId="9" hidden="1"/>
    <cellStyle name="Followed Hyperlink" xfId="10108" builtinId="9" hidden="1"/>
    <cellStyle name="Followed Hyperlink" xfId="10110" builtinId="9" hidden="1"/>
    <cellStyle name="Followed Hyperlink" xfId="10112" builtinId="9" hidden="1"/>
    <cellStyle name="Followed Hyperlink" xfId="10114" builtinId="9" hidden="1"/>
    <cellStyle name="Followed Hyperlink" xfId="10116" builtinId="9" hidden="1"/>
    <cellStyle name="Followed Hyperlink" xfId="10118" builtinId="9" hidden="1"/>
    <cellStyle name="Followed Hyperlink" xfId="10120" builtinId="9" hidden="1"/>
    <cellStyle name="Followed Hyperlink" xfId="10122" builtinId="9" hidden="1"/>
    <cellStyle name="Followed Hyperlink" xfId="10124" builtinId="9" hidden="1"/>
    <cellStyle name="Followed Hyperlink" xfId="10126" builtinId="9" hidden="1"/>
    <cellStyle name="Followed Hyperlink" xfId="10128" builtinId="9" hidden="1"/>
    <cellStyle name="Followed Hyperlink" xfId="10130" builtinId="9" hidden="1"/>
    <cellStyle name="Followed Hyperlink" xfId="10132" builtinId="9" hidden="1"/>
    <cellStyle name="Followed Hyperlink" xfId="10134" builtinId="9" hidden="1"/>
    <cellStyle name="Followed Hyperlink" xfId="10136" builtinId="9" hidden="1"/>
    <cellStyle name="Followed Hyperlink" xfId="10138" builtinId="9" hidden="1"/>
    <cellStyle name="Followed Hyperlink" xfId="10140" builtinId="9" hidden="1"/>
    <cellStyle name="Followed Hyperlink" xfId="10142" builtinId="9" hidden="1"/>
    <cellStyle name="Followed Hyperlink" xfId="10144" builtinId="9" hidden="1"/>
    <cellStyle name="Followed Hyperlink" xfId="10146" builtinId="9" hidden="1"/>
    <cellStyle name="Followed Hyperlink" xfId="10148" builtinId="9" hidden="1"/>
    <cellStyle name="Followed Hyperlink" xfId="10150" builtinId="9" hidden="1"/>
    <cellStyle name="Followed Hyperlink" xfId="10152" builtinId="9" hidden="1"/>
    <cellStyle name="Followed Hyperlink" xfId="10154" builtinId="9" hidden="1"/>
    <cellStyle name="Followed Hyperlink" xfId="10156" builtinId="9" hidden="1"/>
    <cellStyle name="Followed Hyperlink" xfId="10158" builtinId="9" hidden="1"/>
    <cellStyle name="Followed Hyperlink" xfId="10160" builtinId="9" hidden="1"/>
    <cellStyle name="Followed Hyperlink" xfId="10162" builtinId="9" hidden="1"/>
    <cellStyle name="Followed Hyperlink" xfId="10164" builtinId="9" hidden="1"/>
    <cellStyle name="Followed Hyperlink" xfId="10166" builtinId="9" hidden="1"/>
    <cellStyle name="Followed Hyperlink" xfId="10168" builtinId="9" hidden="1"/>
    <cellStyle name="Followed Hyperlink" xfId="10170" builtinId="9" hidden="1"/>
    <cellStyle name="Followed Hyperlink" xfId="10172" builtinId="9" hidden="1"/>
    <cellStyle name="Followed Hyperlink" xfId="10174" builtinId="9" hidden="1"/>
    <cellStyle name="Followed Hyperlink" xfId="10176" builtinId="9" hidden="1"/>
    <cellStyle name="Followed Hyperlink" xfId="10178" builtinId="9" hidden="1"/>
    <cellStyle name="Followed Hyperlink" xfId="10180" builtinId="9" hidden="1"/>
    <cellStyle name="Followed Hyperlink" xfId="10182" builtinId="9" hidden="1"/>
    <cellStyle name="Followed Hyperlink" xfId="10184" builtinId="9" hidden="1"/>
    <cellStyle name="Followed Hyperlink" xfId="10186" builtinId="9" hidden="1"/>
    <cellStyle name="Followed Hyperlink" xfId="10188" builtinId="9" hidden="1"/>
    <cellStyle name="Followed Hyperlink" xfId="10190" builtinId="9" hidden="1"/>
    <cellStyle name="Followed Hyperlink" xfId="10192" builtinId="9" hidden="1"/>
    <cellStyle name="Followed Hyperlink" xfId="10194" builtinId="9" hidden="1"/>
    <cellStyle name="Followed Hyperlink" xfId="10196" builtinId="9" hidden="1"/>
    <cellStyle name="Followed Hyperlink" xfId="10198" builtinId="9" hidden="1"/>
    <cellStyle name="Followed Hyperlink" xfId="10200" builtinId="9" hidden="1"/>
    <cellStyle name="Followed Hyperlink" xfId="10202" builtinId="9" hidden="1"/>
    <cellStyle name="Followed Hyperlink" xfId="10204" builtinId="9" hidden="1"/>
    <cellStyle name="Followed Hyperlink" xfId="10206" builtinId="9" hidden="1"/>
    <cellStyle name="Followed Hyperlink" xfId="10208" builtinId="9" hidden="1"/>
    <cellStyle name="Followed Hyperlink" xfId="10210" builtinId="9" hidden="1"/>
    <cellStyle name="Followed Hyperlink" xfId="10212" builtinId="9" hidden="1"/>
    <cellStyle name="Followed Hyperlink" xfId="10214" builtinId="9" hidden="1"/>
    <cellStyle name="Followed Hyperlink" xfId="10216" builtinId="9" hidden="1"/>
    <cellStyle name="Followed Hyperlink" xfId="10218" builtinId="9" hidden="1"/>
    <cellStyle name="Followed Hyperlink" xfId="10220" builtinId="9" hidden="1"/>
    <cellStyle name="Followed Hyperlink" xfId="10222" builtinId="9" hidden="1"/>
    <cellStyle name="Followed Hyperlink" xfId="10224" builtinId="9" hidden="1"/>
    <cellStyle name="Followed Hyperlink" xfId="10226" builtinId="9" hidden="1"/>
    <cellStyle name="Followed Hyperlink" xfId="10228" builtinId="9" hidden="1"/>
    <cellStyle name="Followed Hyperlink" xfId="10230" builtinId="9" hidden="1"/>
    <cellStyle name="Followed Hyperlink" xfId="10232" builtinId="9" hidden="1"/>
    <cellStyle name="Followed Hyperlink" xfId="10234" builtinId="9" hidden="1"/>
    <cellStyle name="Followed Hyperlink" xfId="10236" builtinId="9" hidden="1"/>
    <cellStyle name="Followed Hyperlink" xfId="10238" builtinId="9" hidden="1"/>
    <cellStyle name="Followed Hyperlink" xfId="10240" builtinId="9" hidden="1"/>
    <cellStyle name="Followed Hyperlink" xfId="10242" builtinId="9" hidden="1"/>
    <cellStyle name="Followed Hyperlink" xfId="10244" builtinId="9" hidden="1"/>
    <cellStyle name="Followed Hyperlink" xfId="10246" builtinId="9" hidden="1"/>
    <cellStyle name="Followed Hyperlink" xfId="10248" builtinId="9" hidden="1"/>
    <cellStyle name="Followed Hyperlink" xfId="10250" builtinId="9" hidden="1"/>
    <cellStyle name="Followed Hyperlink" xfId="10252" builtinId="9" hidden="1"/>
    <cellStyle name="Followed Hyperlink" xfId="10254" builtinId="9" hidden="1"/>
    <cellStyle name="Followed Hyperlink" xfId="10256" builtinId="9" hidden="1"/>
    <cellStyle name="Followed Hyperlink" xfId="10258" builtinId="9" hidden="1"/>
    <cellStyle name="Followed Hyperlink" xfId="10260" builtinId="9" hidden="1"/>
    <cellStyle name="Followed Hyperlink" xfId="10262" builtinId="9" hidden="1"/>
    <cellStyle name="Followed Hyperlink" xfId="10264" builtinId="9" hidden="1"/>
    <cellStyle name="Followed Hyperlink" xfId="10266" builtinId="9" hidden="1"/>
    <cellStyle name="Followed Hyperlink" xfId="10268" builtinId="9" hidden="1"/>
    <cellStyle name="Followed Hyperlink" xfId="10270" builtinId="9" hidden="1"/>
    <cellStyle name="Followed Hyperlink" xfId="10272" builtinId="9" hidden="1"/>
    <cellStyle name="Followed Hyperlink" xfId="10274" builtinId="9" hidden="1"/>
    <cellStyle name="Followed Hyperlink" xfId="10276" builtinId="9" hidden="1"/>
    <cellStyle name="Followed Hyperlink" xfId="10278" builtinId="9" hidden="1"/>
    <cellStyle name="Followed Hyperlink" xfId="10280" builtinId="9" hidden="1"/>
    <cellStyle name="Followed Hyperlink" xfId="10282" builtinId="9" hidden="1"/>
    <cellStyle name="Followed Hyperlink" xfId="10284" builtinId="9" hidden="1"/>
    <cellStyle name="Followed Hyperlink" xfId="10286" builtinId="9" hidden="1"/>
    <cellStyle name="Followed Hyperlink" xfId="10288" builtinId="9" hidden="1"/>
    <cellStyle name="Followed Hyperlink" xfId="10290" builtinId="9" hidden="1"/>
    <cellStyle name="Followed Hyperlink" xfId="10292" builtinId="9" hidden="1"/>
    <cellStyle name="Followed Hyperlink" xfId="10294" builtinId="9" hidden="1"/>
    <cellStyle name="Followed Hyperlink" xfId="10296" builtinId="9" hidden="1"/>
    <cellStyle name="Followed Hyperlink" xfId="10298" builtinId="9" hidden="1"/>
    <cellStyle name="Followed Hyperlink" xfId="10300" builtinId="9" hidden="1"/>
    <cellStyle name="Followed Hyperlink" xfId="10302" builtinId="9" hidden="1"/>
    <cellStyle name="Followed Hyperlink" xfId="10304" builtinId="9" hidden="1"/>
    <cellStyle name="Followed Hyperlink" xfId="10306" builtinId="9" hidden="1"/>
    <cellStyle name="Followed Hyperlink" xfId="10308" builtinId="9" hidden="1"/>
    <cellStyle name="Followed Hyperlink" xfId="10310" builtinId="9" hidden="1"/>
    <cellStyle name="Followed Hyperlink" xfId="10312" builtinId="9" hidden="1"/>
    <cellStyle name="Followed Hyperlink" xfId="10314" builtinId="9" hidden="1"/>
    <cellStyle name="Followed Hyperlink" xfId="10316" builtinId="9" hidden="1"/>
    <cellStyle name="Followed Hyperlink" xfId="10318" builtinId="9" hidden="1"/>
    <cellStyle name="Followed Hyperlink" xfId="10320" builtinId="9" hidden="1"/>
    <cellStyle name="Followed Hyperlink" xfId="10322" builtinId="9" hidden="1"/>
    <cellStyle name="Followed Hyperlink" xfId="10324" builtinId="9" hidden="1"/>
    <cellStyle name="Followed Hyperlink" xfId="10326" builtinId="9" hidden="1"/>
    <cellStyle name="Followed Hyperlink" xfId="10328" builtinId="9" hidden="1"/>
    <cellStyle name="Followed Hyperlink" xfId="10330" builtinId="9" hidden="1"/>
    <cellStyle name="Followed Hyperlink" xfId="10332" builtinId="9" hidden="1"/>
    <cellStyle name="Followed Hyperlink" xfId="10334" builtinId="9" hidden="1"/>
    <cellStyle name="Followed Hyperlink" xfId="10336" builtinId="9" hidden="1"/>
    <cellStyle name="Followed Hyperlink" xfId="10338" builtinId="9" hidden="1"/>
    <cellStyle name="Followed Hyperlink" xfId="10340" builtinId="9" hidden="1"/>
    <cellStyle name="Followed Hyperlink" xfId="10342" builtinId="9" hidden="1"/>
    <cellStyle name="Followed Hyperlink" xfId="10344" builtinId="9" hidden="1"/>
    <cellStyle name="Followed Hyperlink" xfId="10346" builtinId="9" hidden="1"/>
    <cellStyle name="Followed Hyperlink" xfId="10351" builtinId="9" hidden="1"/>
    <cellStyle name="Followed Hyperlink" xfId="10353" builtinId="9" hidden="1"/>
    <cellStyle name="Followed Hyperlink" xfId="10355" builtinId="9" hidden="1"/>
    <cellStyle name="Followed Hyperlink" xfId="10357" builtinId="9" hidden="1"/>
    <cellStyle name="Followed Hyperlink" xfId="10359" builtinId="9" hidden="1"/>
    <cellStyle name="Followed Hyperlink" xfId="10361" builtinId="9" hidden="1"/>
    <cellStyle name="Followed Hyperlink" xfId="10363" builtinId="9" hidden="1"/>
    <cellStyle name="Followed Hyperlink" xfId="10365" builtinId="9" hidden="1"/>
    <cellStyle name="Followed Hyperlink" xfId="10367" builtinId="9" hidden="1"/>
    <cellStyle name="Followed Hyperlink" xfId="10369" builtinId="9" hidden="1"/>
    <cellStyle name="Followed Hyperlink" xfId="10371" builtinId="9" hidden="1"/>
    <cellStyle name="Followed Hyperlink" xfId="10373" builtinId="9" hidden="1"/>
    <cellStyle name="Followed Hyperlink" xfId="10375" builtinId="9" hidden="1"/>
    <cellStyle name="Followed Hyperlink" xfId="10377" builtinId="9" hidden="1"/>
    <cellStyle name="Followed Hyperlink" xfId="10379" builtinId="9" hidden="1"/>
    <cellStyle name="Followed Hyperlink" xfId="10381" builtinId="9" hidden="1"/>
    <cellStyle name="Followed Hyperlink" xfId="10383" builtinId="9" hidden="1"/>
    <cellStyle name="Followed Hyperlink" xfId="10385" builtinId="9" hidden="1"/>
    <cellStyle name="Followed Hyperlink" xfId="10387" builtinId="9" hidden="1"/>
    <cellStyle name="Followed Hyperlink" xfId="10389" builtinId="9" hidden="1"/>
    <cellStyle name="Followed Hyperlink" xfId="10349" builtinId="9" hidden="1"/>
    <cellStyle name="Followed Hyperlink" xfId="10392" builtinId="9" hidden="1"/>
    <cellStyle name="Followed Hyperlink" xfId="10394" builtinId="9" hidden="1"/>
    <cellStyle name="Followed Hyperlink" xfId="10396" builtinId="9" hidden="1"/>
    <cellStyle name="Followed Hyperlink" xfId="10398" builtinId="9" hidden="1"/>
    <cellStyle name="Followed Hyperlink" xfId="10400" builtinId="9" hidden="1"/>
    <cellStyle name="Followed Hyperlink" xfId="10402" builtinId="9" hidden="1"/>
    <cellStyle name="Followed Hyperlink" xfId="10404" builtinId="9" hidden="1"/>
    <cellStyle name="Followed Hyperlink" xfId="10406" builtinId="9" hidden="1"/>
    <cellStyle name="Followed Hyperlink" xfId="10408" builtinId="9" hidden="1"/>
    <cellStyle name="Followed Hyperlink" xfId="10410" builtinId="9" hidden="1"/>
    <cellStyle name="Followed Hyperlink" xfId="10412" builtinId="9" hidden="1"/>
    <cellStyle name="Followed Hyperlink" xfId="10414" builtinId="9" hidden="1"/>
    <cellStyle name="Followed Hyperlink" xfId="10416" builtinId="9" hidden="1"/>
    <cellStyle name="Followed Hyperlink" xfId="10418" builtinId="9" hidden="1"/>
    <cellStyle name="Followed Hyperlink" xfId="10420" builtinId="9" hidden="1"/>
    <cellStyle name="Followed Hyperlink" xfId="10422" builtinId="9" hidden="1"/>
    <cellStyle name="Followed Hyperlink" xfId="10424" builtinId="9" hidden="1"/>
    <cellStyle name="Followed Hyperlink" xfId="10426" builtinId="9" hidden="1"/>
    <cellStyle name="Followed Hyperlink" xfId="10428" builtinId="9" hidden="1"/>
    <cellStyle name="Followed Hyperlink" xfId="10347" builtinId="9" hidden="1"/>
    <cellStyle name="Followed Hyperlink" xfId="10430" builtinId="9" hidden="1"/>
    <cellStyle name="Followed Hyperlink" xfId="10432" builtinId="9" hidden="1"/>
    <cellStyle name="Followed Hyperlink" xfId="10434" builtinId="9" hidden="1"/>
    <cellStyle name="Followed Hyperlink" xfId="10436" builtinId="9" hidden="1"/>
    <cellStyle name="Followed Hyperlink" xfId="10438" builtinId="9" hidden="1"/>
    <cellStyle name="Followed Hyperlink" xfId="10440" builtinId="9" hidden="1"/>
    <cellStyle name="Followed Hyperlink" xfId="10442" builtinId="9" hidden="1"/>
    <cellStyle name="Followed Hyperlink" xfId="10444" builtinId="9" hidden="1"/>
    <cellStyle name="Followed Hyperlink" xfId="10446" builtinId="9" hidden="1"/>
    <cellStyle name="Followed Hyperlink" xfId="10448" builtinId="9" hidden="1"/>
    <cellStyle name="Followed Hyperlink" xfId="10450" builtinId="9" hidden="1"/>
    <cellStyle name="Followed Hyperlink" xfId="10452" builtinId="9" hidden="1"/>
    <cellStyle name="Followed Hyperlink" xfId="10454" builtinId="9" hidden="1"/>
    <cellStyle name="Followed Hyperlink" xfId="10456" builtinId="9" hidden="1"/>
    <cellStyle name="Followed Hyperlink" xfId="10458" builtinId="9" hidden="1"/>
    <cellStyle name="Followed Hyperlink" xfId="10460" builtinId="9" hidden="1"/>
    <cellStyle name="Followed Hyperlink" xfId="10462" builtinId="9" hidden="1"/>
    <cellStyle name="Followed Hyperlink" xfId="10464" builtinId="9" hidden="1"/>
    <cellStyle name="Followed Hyperlink" xfId="10466" builtinId="9" hidden="1"/>
    <cellStyle name="Followed Hyperlink" xfId="10468" builtinId="9" hidden="1"/>
    <cellStyle name="Followed Hyperlink" xfId="10470" builtinId="9" hidden="1"/>
    <cellStyle name="Followed Hyperlink" xfId="10472" builtinId="9" hidden="1"/>
    <cellStyle name="Followed Hyperlink" xfId="10474" builtinId="9" hidden="1"/>
    <cellStyle name="Followed Hyperlink" xfId="10476" builtinId="9" hidden="1"/>
    <cellStyle name="Followed Hyperlink" xfId="10478" builtinId="9" hidden="1"/>
    <cellStyle name="Followed Hyperlink" xfId="10480" builtinId="9" hidden="1"/>
    <cellStyle name="Followed Hyperlink" xfId="10482" builtinId="9" hidden="1"/>
    <cellStyle name="Followed Hyperlink" xfId="10484" builtinId="9" hidden="1"/>
    <cellStyle name="Followed Hyperlink" xfId="10486" builtinId="9" hidden="1"/>
    <cellStyle name="Followed Hyperlink" xfId="10488" builtinId="9" hidden="1"/>
    <cellStyle name="Followed Hyperlink" xfId="10490" builtinId="9" hidden="1"/>
    <cellStyle name="Followed Hyperlink" xfId="10492" builtinId="9" hidden="1"/>
    <cellStyle name="Followed Hyperlink" xfId="10494" builtinId="9" hidden="1"/>
    <cellStyle name="Followed Hyperlink" xfId="10496" builtinId="9" hidden="1"/>
    <cellStyle name="Followed Hyperlink" xfId="10498" builtinId="9" hidden="1"/>
    <cellStyle name="Followed Hyperlink" xfId="10500" builtinId="9" hidden="1"/>
    <cellStyle name="Followed Hyperlink" xfId="10502" builtinId="9" hidden="1"/>
    <cellStyle name="Followed Hyperlink" xfId="10504" builtinId="9" hidden="1"/>
    <cellStyle name="Followed Hyperlink" xfId="10506" builtinId="9" hidden="1"/>
    <cellStyle name="Followed Hyperlink" xfId="10508" builtinId="9" hidden="1"/>
    <cellStyle name="Followed Hyperlink" xfId="10510" builtinId="9" hidden="1"/>
    <cellStyle name="Followed Hyperlink" xfId="10512" builtinId="9" hidden="1"/>
    <cellStyle name="Followed Hyperlink" xfId="10514" builtinId="9" hidden="1"/>
    <cellStyle name="Followed Hyperlink" xfId="10516" builtinId="9" hidden="1"/>
    <cellStyle name="Followed Hyperlink" xfId="10518" builtinId="9" hidden="1"/>
    <cellStyle name="Followed Hyperlink" xfId="10520" builtinId="9" hidden="1"/>
    <cellStyle name="Followed Hyperlink" xfId="10522" builtinId="9" hidden="1"/>
    <cellStyle name="Followed Hyperlink" xfId="10524" builtinId="9" hidden="1"/>
    <cellStyle name="Followed Hyperlink" xfId="10526" builtinId="9" hidden="1"/>
    <cellStyle name="Followed Hyperlink" xfId="10528" builtinId="9" hidden="1"/>
    <cellStyle name="Followed Hyperlink" xfId="10530" builtinId="9" hidden="1"/>
    <cellStyle name="Followed Hyperlink" xfId="10532" builtinId="9" hidden="1"/>
    <cellStyle name="Followed Hyperlink" xfId="10534" builtinId="9" hidden="1"/>
    <cellStyle name="Followed Hyperlink" xfId="10536" builtinId="9" hidden="1"/>
    <cellStyle name="Followed Hyperlink" xfId="10538" builtinId="9" hidden="1"/>
    <cellStyle name="Followed Hyperlink" xfId="10540" builtinId="9" hidden="1"/>
    <cellStyle name="Followed Hyperlink" xfId="10542" builtinId="9" hidden="1"/>
    <cellStyle name="Followed Hyperlink" xfId="10544" builtinId="9" hidden="1"/>
    <cellStyle name="Followed Hyperlink" xfId="10546" builtinId="9" hidden="1"/>
    <cellStyle name="Followed Hyperlink" xfId="10548" builtinId="9" hidden="1"/>
    <cellStyle name="Followed Hyperlink" xfId="10550" builtinId="9" hidden="1"/>
    <cellStyle name="Followed Hyperlink" xfId="10552" builtinId="9" hidden="1"/>
    <cellStyle name="Followed Hyperlink" xfId="10554" builtinId="9" hidden="1"/>
    <cellStyle name="Followed Hyperlink" xfId="10556" builtinId="9" hidden="1"/>
    <cellStyle name="Followed Hyperlink" xfId="10558" builtinId="9" hidden="1"/>
    <cellStyle name="Followed Hyperlink" xfId="10560" builtinId="9" hidden="1"/>
    <cellStyle name="Followed Hyperlink" xfId="10562" builtinId="9" hidden="1"/>
    <cellStyle name="Followed Hyperlink" xfId="10564" builtinId="9" hidden="1"/>
    <cellStyle name="Followed Hyperlink" xfId="10566" builtinId="9" hidden="1"/>
    <cellStyle name="Followed Hyperlink" xfId="10568" builtinId="9" hidden="1"/>
    <cellStyle name="Followed Hyperlink" xfId="10570" builtinId="9" hidden="1"/>
    <cellStyle name="Followed Hyperlink" xfId="10572" builtinId="9" hidden="1"/>
    <cellStyle name="Followed Hyperlink" xfId="10574" builtinId="9" hidden="1"/>
    <cellStyle name="Followed Hyperlink" xfId="10576" builtinId="9" hidden="1"/>
    <cellStyle name="Followed Hyperlink" xfId="10578" builtinId="9" hidden="1"/>
    <cellStyle name="Followed Hyperlink" xfId="10580" builtinId="9" hidden="1"/>
    <cellStyle name="Followed Hyperlink" xfId="10582" builtinId="9" hidden="1"/>
    <cellStyle name="Followed Hyperlink" xfId="10584" builtinId="9" hidden="1"/>
    <cellStyle name="Followed Hyperlink" xfId="10586" builtinId="9" hidden="1"/>
    <cellStyle name="Followed Hyperlink" xfId="10588" builtinId="9" hidden="1"/>
    <cellStyle name="Followed Hyperlink" xfId="10590" builtinId="9" hidden="1"/>
    <cellStyle name="Followed Hyperlink" xfId="10592" builtinId="9" hidden="1"/>
    <cellStyle name="Followed Hyperlink" xfId="10594" builtinId="9" hidden="1"/>
    <cellStyle name="Followed Hyperlink" xfId="10596" builtinId="9" hidden="1"/>
    <cellStyle name="Followed Hyperlink" xfId="10598" builtinId="9" hidden="1"/>
    <cellStyle name="Followed Hyperlink" xfId="10600" builtinId="9" hidden="1"/>
    <cellStyle name="Followed Hyperlink" xfId="10602" builtinId="9" hidden="1"/>
    <cellStyle name="Followed Hyperlink" xfId="10604" builtinId="9" hidden="1"/>
    <cellStyle name="Followed Hyperlink" xfId="10606" builtinId="9" hidden="1"/>
    <cellStyle name="Followed Hyperlink" xfId="10608" builtinId="9" hidden="1"/>
    <cellStyle name="Followed Hyperlink" xfId="10610" builtinId="9" hidden="1"/>
    <cellStyle name="Followed Hyperlink" xfId="10612" builtinId="9" hidden="1"/>
    <cellStyle name="Followed Hyperlink" xfId="10614" builtinId="9" hidden="1"/>
    <cellStyle name="Followed Hyperlink" xfId="10616" builtinId="9" hidden="1"/>
    <cellStyle name="Followed Hyperlink" xfId="10618" builtinId="9" hidden="1"/>
    <cellStyle name="Followed Hyperlink" xfId="10620" builtinId="9" hidden="1"/>
    <cellStyle name="Followed Hyperlink" xfId="10622" builtinId="9" hidden="1"/>
    <cellStyle name="Followed Hyperlink" xfId="10624" builtinId="9" hidden="1"/>
    <cellStyle name="Followed Hyperlink" xfId="10626" builtinId="9" hidden="1"/>
    <cellStyle name="Followed Hyperlink" xfId="10631" builtinId="9" hidden="1"/>
    <cellStyle name="Followed Hyperlink" xfId="10633" builtinId="9" hidden="1"/>
    <cellStyle name="Followed Hyperlink" xfId="10635" builtinId="9" hidden="1"/>
    <cellStyle name="Followed Hyperlink" xfId="10637" builtinId="9" hidden="1"/>
    <cellStyle name="Followed Hyperlink" xfId="10639" builtinId="9" hidden="1"/>
    <cellStyle name="Followed Hyperlink" xfId="10641" builtinId="9" hidden="1"/>
    <cellStyle name="Followed Hyperlink" xfId="10643" builtinId="9" hidden="1"/>
    <cellStyle name="Followed Hyperlink" xfId="10645" builtinId="9" hidden="1"/>
    <cellStyle name="Followed Hyperlink" xfId="10647" builtinId="9" hidden="1"/>
    <cellStyle name="Followed Hyperlink" xfId="10649" builtinId="9" hidden="1"/>
    <cellStyle name="Followed Hyperlink" xfId="10651" builtinId="9" hidden="1"/>
    <cellStyle name="Followed Hyperlink" xfId="10653" builtinId="9" hidden="1"/>
    <cellStyle name="Followed Hyperlink" xfId="10655" builtinId="9" hidden="1"/>
    <cellStyle name="Followed Hyperlink" xfId="10657" builtinId="9" hidden="1"/>
    <cellStyle name="Followed Hyperlink" xfId="10659" builtinId="9" hidden="1"/>
    <cellStyle name="Followed Hyperlink" xfId="10661" builtinId="9" hidden="1"/>
    <cellStyle name="Followed Hyperlink" xfId="10663" builtinId="9" hidden="1"/>
    <cellStyle name="Followed Hyperlink" xfId="10665" builtinId="9" hidden="1"/>
    <cellStyle name="Followed Hyperlink" xfId="10667" builtinId="9" hidden="1"/>
    <cellStyle name="Followed Hyperlink" xfId="10669" builtinId="9" hidden="1"/>
    <cellStyle name="Followed Hyperlink" xfId="10671" builtinId="9" hidden="1"/>
    <cellStyle name="Followed Hyperlink" xfId="10673" builtinId="9" hidden="1"/>
    <cellStyle name="Followed Hyperlink" xfId="10675" builtinId="9" hidden="1"/>
    <cellStyle name="Followed Hyperlink" xfId="10677" builtinId="9" hidden="1"/>
    <cellStyle name="Followed Hyperlink" xfId="10679" builtinId="9" hidden="1"/>
    <cellStyle name="Followed Hyperlink" xfId="10681" builtinId="9" hidden="1"/>
    <cellStyle name="Followed Hyperlink" xfId="10683" builtinId="9" hidden="1"/>
    <cellStyle name="Followed Hyperlink" xfId="10685" builtinId="9" hidden="1"/>
    <cellStyle name="Followed Hyperlink" xfId="10687" builtinId="9" hidden="1"/>
    <cellStyle name="Followed Hyperlink" xfId="10689" builtinId="9" hidden="1"/>
    <cellStyle name="Followed Hyperlink" xfId="10691" builtinId="9" hidden="1"/>
    <cellStyle name="Followed Hyperlink" xfId="10693" builtinId="9" hidden="1"/>
    <cellStyle name="Followed Hyperlink" xfId="10695" builtinId="9" hidden="1"/>
    <cellStyle name="Followed Hyperlink" xfId="10697" builtinId="9" hidden="1"/>
    <cellStyle name="Followed Hyperlink" xfId="10699" builtinId="9" hidden="1"/>
    <cellStyle name="Followed Hyperlink" xfId="10701" builtinId="9" hidden="1"/>
    <cellStyle name="Followed Hyperlink" xfId="10703" builtinId="9" hidden="1"/>
    <cellStyle name="Followed Hyperlink" xfId="10705" builtinId="9" hidden="1"/>
    <cellStyle name="Followed Hyperlink" xfId="10707" builtinId="9" hidden="1"/>
    <cellStyle name="Followed Hyperlink" xfId="10709" builtinId="9" hidden="1"/>
    <cellStyle name="Followed Hyperlink" xfId="10711" builtinId="9" hidden="1"/>
    <cellStyle name="Followed Hyperlink" xfId="10713" builtinId="9" hidden="1"/>
    <cellStyle name="Followed Hyperlink" xfId="10715" builtinId="9" hidden="1"/>
    <cellStyle name="Followed Hyperlink" xfId="10717" builtinId="9" hidden="1"/>
    <cellStyle name="Followed Hyperlink" xfId="10719" builtinId="9" hidden="1"/>
    <cellStyle name="Followed Hyperlink" xfId="10721" builtinId="9" hidden="1"/>
    <cellStyle name="Followed Hyperlink" xfId="10723" builtinId="9" hidden="1"/>
    <cellStyle name="Followed Hyperlink" xfId="10725" builtinId="9" hidden="1"/>
    <cellStyle name="Followed Hyperlink" xfId="10727" builtinId="9" hidden="1"/>
    <cellStyle name="Followed Hyperlink" xfId="10729" builtinId="9" hidden="1"/>
    <cellStyle name="Followed Hyperlink" xfId="10731" builtinId="9" hidden="1"/>
    <cellStyle name="Followed Hyperlink" xfId="10733" builtinId="9" hidden="1"/>
    <cellStyle name="Followed Hyperlink" xfId="10735" builtinId="9" hidden="1"/>
    <cellStyle name="Followed Hyperlink" xfId="10737" builtinId="9" hidden="1"/>
    <cellStyle name="Followed Hyperlink" xfId="10739" builtinId="9" hidden="1"/>
    <cellStyle name="Followed Hyperlink" xfId="10741" builtinId="9" hidden="1"/>
    <cellStyle name="Followed Hyperlink" xfId="10743" builtinId="9" hidden="1"/>
    <cellStyle name="Followed Hyperlink" xfId="10745" builtinId="9" hidden="1"/>
    <cellStyle name="Followed Hyperlink" xfId="10747" builtinId="9" hidden="1"/>
    <cellStyle name="Followed Hyperlink" xfId="10749" builtinId="9" hidden="1"/>
    <cellStyle name="Followed Hyperlink" xfId="10750" builtinId="9" hidden="1"/>
    <cellStyle name="Followed Hyperlink" xfId="10752" builtinId="9" hidden="1"/>
    <cellStyle name="Followed Hyperlink" xfId="10754" builtinId="9" hidden="1"/>
    <cellStyle name="Followed Hyperlink" xfId="10756" builtinId="9" hidden="1"/>
    <cellStyle name="Followed Hyperlink" xfId="10758" builtinId="9" hidden="1"/>
    <cellStyle name="Followed Hyperlink" xfId="10760" builtinId="9" hidden="1"/>
    <cellStyle name="Followed Hyperlink" xfId="10762" builtinId="9" hidden="1"/>
    <cellStyle name="Followed Hyperlink" xfId="10764" builtinId="9" hidden="1"/>
    <cellStyle name="Followed Hyperlink" xfId="10766" builtinId="9" hidden="1"/>
    <cellStyle name="Followed Hyperlink" xfId="10768" builtinId="9" hidden="1"/>
    <cellStyle name="Followed Hyperlink" xfId="10770" builtinId="9" hidden="1"/>
    <cellStyle name="Followed Hyperlink" xfId="10772" builtinId="9" hidden="1"/>
    <cellStyle name="Followed Hyperlink" xfId="10774" builtinId="9" hidden="1"/>
    <cellStyle name="Followed Hyperlink" xfId="10776" builtinId="9" hidden="1"/>
    <cellStyle name="Followed Hyperlink" xfId="10778" builtinId="9" hidden="1"/>
    <cellStyle name="Followed Hyperlink" xfId="10780" builtinId="9" hidden="1"/>
    <cellStyle name="Followed Hyperlink" xfId="10782" builtinId="9" hidden="1"/>
    <cellStyle name="Followed Hyperlink" xfId="10784" builtinId="9" hidden="1"/>
    <cellStyle name="Followed Hyperlink" xfId="10786" builtinId="9" hidden="1"/>
    <cellStyle name="Followed Hyperlink" xfId="10788" builtinId="9" hidden="1"/>
    <cellStyle name="Followed Hyperlink" xfId="10790" builtinId="9" hidden="1"/>
    <cellStyle name="Followed Hyperlink" xfId="10792" builtinId="9" hidden="1"/>
    <cellStyle name="Followed Hyperlink" xfId="10794" builtinId="9" hidden="1"/>
    <cellStyle name="Followed Hyperlink" xfId="10796" builtinId="9" hidden="1"/>
    <cellStyle name="Followed Hyperlink" xfId="10798" builtinId="9" hidden="1"/>
    <cellStyle name="Followed Hyperlink" xfId="10800" builtinId="9" hidden="1"/>
    <cellStyle name="Followed Hyperlink" xfId="10802" builtinId="9" hidden="1"/>
    <cellStyle name="Followed Hyperlink" xfId="10804" builtinId="9" hidden="1"/>
    <cellStyle name="Followed Hyperlink" xfId="10806" builtinId="9" hidden="1"/>
    <cellStyle name="Followed Hyperlink" xfId="10808" builtinId="9" hidden="1"/>
    <cellStyle name="Followed Hyperlink" xfId="10810" builtinId="9" hidden="1"/>
    <cellStyle name="Followed Hyperlink" xfId="10812" builtinId="9" hidden="1"/>
    <cellStyle name="Followed Hyperlink" xfId="10814" builtinId="9" hidden="1"/>
    <cellStyle name="Followed Hyperlink" xfId="10816" builtinId="9" hidden="1"/>
    <cellStyle name="Followed Hyperlink" xfId="10818" builtinId="9" hidden="1"/>
    <cellStyle name="Followed Hyperlink" xfId="10820" builtinId="9" hidden="1"/>
    <cellStyle name="Followed Hyperlink" xfId="10822" builtinId="9" hidden="1"/>
    <cellStyle name="Followed Hyperlink" xfId="10824" builtinId="9" hidden="1"/>
    <cellStyle name="Followed Hyperlink" xfId="10826" builtinId="9" hidden="1"/>
    <cellStyle name="Followed Hyperlink" xfId="10828" builtinId="9" hidden="1"/>
    <cellStyle name="Followed Hyperlink" xfId="10830" builtinId="9" hidden="1"/>
    <cellStyle name="Followed Hyperlink" xfId="10832" builtinId="9" hidden="1"/>
    <cellStyle name="Followed Hyperlink" xfId="10834" builtinId="9" hidden="1"/>
    <cellStyle name="Followed Hyperlink" xfId="10836" builtinId="9" hidden="1"/>
    <cellStyle name="Followed Hyperlink" xfId="10838" builtinId="9" hidden="1"/>
    <cellStyle name="Followed Hyperlink" xfId="10840" builtinId="9" hidden="1"/>
    <cellStyle name="Followed Hyperlink" xfId="10842" builtinId="9" hidden="1"/>
    <cellStyle name="Followed Hyperlink" xfId="10844" builtinId="9" hidden="1"/>
    <cellStyle name="Followed Hyperlink" xfId="10846" builtinId="9" hidden="1"/>
    <cellStyle name="Followed Hyperlink" xfId="10848" builtinId="9" hidden="1"/>
    <cellStyle name="Followed Hyperlink" xfId="10850" builtinId="9" hidden="1"/>
    <cellStyle name="Followed Hyperlink" xfId="10852" builtinId="9" hidden="1"/>
    <cellStyle name="Followed Hyperlink" xfId="10854" builtinId="9" hidden="1"/>
    <cellStyle name="Followed Hyperlink" xfId="10856" builtinId="9" hidden="1"/>
    <cellStyle name="Followed Hyperlink" xfId="10858" builtinId="9" hidden="1"/>
    <cellStyle name="Followed Hyperlink" xfId="10860" builtinId="9" hidden="1"/>
    <cellStyle name="Followed Hyperlink" xfId="10862" builtinId="9" hidden="1"/>
    <cellStyle name="Followed Hyperlink" xfId="10864" builtinId="9" hidden="1"/>
    <cellStyle name="Followed Hyperlink" xfId="10866" builtinId="9" hidden="1"/>
    <cellStyle name="Followed Hyperlink" xfId="10868" builtinId="9" hidden="1"/>
    <cellStyle name="Followed Hyperlink" xfId="10869" builtinId="9" hidden="1"/>
    <cellStyle name="Followed Hyperlink" xfId="10871" builtinId="9" hidden="1"/>
    <cellStyle name="Followed Hyperlink" xfId="10873" builtinId="9" hidden="1"/>
    <cellStyle name="Followed Hyperlink" xfId="10875" builtinId="9" hidden="1"/>
    <cellStyle name="Followed Hyperlink" xfId="10877" builtinId="9" hidden="1"/>
    <cellStyle name="Followed Hyperlink" xfId="10879" builtinId="9" hidden="1"/>
    <cellStyle name="Followed Hyperlink" xfId="10881" builtinId="9" hidden="1"/>
    <cellStyle name="Followed Hyperlink" xfId="10883" builtinId="9" hidden="1"/>
    <cellStyle name="Followed Hyperlink" xfId="10885" builtinId="9" hidden="1"/>
    <cellStyle name="Followed Hyperlink" xfId="10887" builtinId="9" hidden="1"/>
    <cellStyle name="Followed Hyperlink" xfId="10889" builtinId="9" hidden="1"/>
    <cellStyle name="Followed Hyperlink" xfId="10891" builtinId="9" hidden="1"/>
    <cellStyle name="Followed Hyperlink" xfId="10893" builtinId="9" hidden="1"/>
    <cellStyle name="Followed Hyperlink" xfId="10895" builtinId="9" hidden="1"/>
    <cellStyle name="Followed Hyperlink" xfId="10897" builtinId="9" hidden="1"/>
    <cellStyle name="Followed Hyperlink" xfId="10899" builtinId="9" hidden="1"/>
    <cellStyle name="Followed Hyperlink" xfId="10901" builtinId="9" hidden="1"/>
    <cellStyle name="Followed Hyperlink" xfId="10903" builtinId="9" hidden="1"/>
    <cellStyle name="Followed Hyperlink" xfId="10905" builtinId="9" hidden="1"/>
    <cellStyle name="Followed Hyperlink" xfId="10907" builtinId="9" hidden="1"/>
    <cellStyle name="Followed Hyperlink" xfId="10909" builtinId="9" hidden="1"/>
    <cellStyle name="Followed Hyperlink" xfId="10911" builtinId="9" hidden="1"/>
    <cellStyle name="Followed Hyperlink" xfId="10913" builtinId="9" hidden="1"/>
    <cellStyle name="Followed Hyperlink" xfId="10915" builtinId="9" hidden="1"/>
    <cellStyle name="Followed Hyperlink" xfId="10917" builtinId="9" hidden="1"/>
    <cellStyle name="Followed Hyperlink" xfId="10919" builtinId="9" hidden="1"/>
    <cellStyle name="Followed Hyperlink" xfId="10921" builtinId="9" hidden="1"/>
    <cellStyle name="Followed Hyperlink" xfId="10923" builtinId="9" hidden="1"/>
    <cellStyle name="Followed Hyperlink" xfId="10925" builtinId="9" hidden="1"/>
    <cellStyle name="Followed Hyperlink" xfId="10927" builtinId="9" hidden="1"/>
    <cellStyle name="Followed Hyperlink" xfId="10929" builtinId="9" hidden="1"/>
    <cellStyle name="Followed Hyperlink" xfId="10931" builtinId="9" hidden="1"/>
    <cellStyle name="Followed Hyperlink" xfId="10933" builtinId="9" hidden="1"/>
    <cellStyle name="Followed Hyperlink" xfId="10935" builtinId="9" hidden="1"/>
    <cellStyle name="Followed Hyperlink" xfId="10937" builtinId="9" hidden="1"/>
    <cellStyle name="Followed Hyperlink" xfId="10939" builtinId="9" hidden="1"/>
    <cellStyle name="Followed Hyperlink" xfId="10941" builtinId="9" hidden="1"/>
    <cellStyle name="Followed Hyperlink" xfId="10943" builtinId="9" hidden="1"/>
    <cellStyle name="Followed Hyperlink" xfId="10945" builtinId="9" hidden="1"/>
    <cellStyle name="Followed Hyperlink" xfId="10947" builtinId="9" hidden="1"/>
    <cellStyle name="Followed Hyperlink" xfId="10949" builtinId="9" hidden="1"/>
    <cellStyle name="Followed Hyperlink" xfId="10951" builtinId="9" hidden="1"/>
    <cellStyle name="Followed Hyperlink" xfId="10953" builtinId="9" hidden="1"/>
    <cellStyle name="Followed Hyperlink" xfId="10955" builtinId="9" hidden="1"/>
    <cellStyle name="Followed Hyperlink" xfId="10957" builtinId="9" hidden="1"/>
    <cellStyle name="Followed Hyperlink" xfId="10959" builtinId="9" hidden="1"/>
    <cellStyle name="Followed Hyperlink" xfId="10961" builtinId="9" hidden="1"/>
    <cellStyle name="Followed Hyperlink" xfId="10963" builtinId="9" hidden="1"/>
    <cellStyle name="Followed Hyperlink" xfId="10965" builtinId="9" hidden="1"/>
    <cellStyle name="Followed Hyperlink" xfId="10967" builtinId="9" hidden="1"/>
    <cellStyle name="Followed Hyperlink" xfId="10969" builtinId="9" hidden="1"/>
    <cellStyle name="Followed Hyperlink" xfId="10971" builtinId="9" hidden="1"/>
    <cellStyle name="Followed Hyperlink" xfId="10973" builtinId="9" hidden="1"/>
    <cellStyle name="Followed Hyperlink" xfId="10975" builtinId="9" hidden="1"/>
    <cellStyle name="Followed Hyperlink" xfId="10977" builtinId="9" hidden="1"/>
    <cellStyle name="Followed Hyperlink" xfId="10979" builtinId="9" hidden="1"/>
    <cellStyle name="Followed Hyperlink" xfId="10981" builtinId="9" hidden="1"/>
    <cellStyle name="Followed Hyperlink" xfId="10983" builtinId="9" hidden="1"/>
    <cellStyle name="Followed Hyperlink" xfId="10985" builtinId="9" hidden="1"/>
    <cellStyle name="Followed Hyperlink" xfId="10987" builtinId="9" hidden="1"/>
    <cellStyle name="Followed Hyperlink" xfId="10988" builtinId="9" hidden="1"/>
    <cellStyle name="Followed Hyperlink" xfId="10990" builtinId="9" hidden="1"/>
    <cellStyle name="Followed Hyperlink" xfId="10992" builtinId="9" hidden="1"/>
    <cellStyle name="Followed Hyperlink" xfId="10994" builtinId="9" hidden="1"/>
    <cellStyle name="Followed Hyperlink" xfId="10996" builtinId="9" hidden="1"/>
    <cellStyle name="Followed Hyperlink" xfId="10998" builtinId="9" hidden="1"/>
    <cellStyle name="Followed Hyperlink" xfId="11000" builtinId="9" hidden="1"/>
    <cellStyle name="Followed Hyperlink" xfId="11002" builtinId="9" hidden="1"/>
    <cellStyle name="Followed Hyperlink" xfId="11004" builtinId="9" hidden="1"/>
    <cellStyle name="Followed Hyperlink" xfId="11006" builtinId="9" hidden="1"/>
    <cellStyle name="Followed Hyperlink" xfId="11008" builtinId="9" hidden="1"/>
    <cellStyle name="Followed Hyperlink" xfId="11010" builtinId="9" hidden="1"/>
    <cellStyle name="Followed Hyperlink" xfId="11012" builtinId="9" hidden="1"/>
    <cellStyle name="Followed Hyperlink" xfId="11014" builtinId="9" hidden="1"/>
    <cellStyle name="Followed Hyperlink" xfId="11016" builtinId="9" hidden="1"/>
    <cellStyle name="Followed Hyperlink" xfId="11018" builtinId="9" hidden="1"/>
    <cellStyle name="Followed Hyperlink" xfId="11020" builtinId="9" hidden="1"/>
    <cellStyle name="Followed Hyperlink" xfId="11022" builtinId="9" hidden="1"/>
    <cellStyle name="Followed Hyperlink" xfId="11024" builtinId="9" hidden="1"/>
    <cellStyle name="Followed Hyperlink" xfId="11026" builtinId="9" hidden="1"/>
    <cellStyle name="Followed Hyperlink" xfId="11028" builtinId="9" hidden="1"/>
    <cellStyle name="Followed Hyperlink" xfId="11030" builtinId="9" hidden="1"/>
    <cellStyle name="Followed Hyperlink" xfId="11032" builtinId="9" hidden="1"/>
    <cellStyle name="Followed Hyperlink" xfId="11034" builtinId="9" hidden="1"/>
    <cellStyle name="Followed Hyperlink" xfId="11036" builtinId="9" hidden="1"/>
    <cellStyle name="Followed Hyperlink" xfId="11038" builtinId="9" hidden="1"/>
    <cellStyle name="Followed Hyperlink" xfId="11040" builtinId="9" hidden="1"/>
    <cellStyle name="Followed Hyperlink" xfId="11042" builtinId="9" hidden="1"/>
    <cellStyle name="Followed Hyperlink" xfId="11044" builtinId="9" hidden="1"/>
    <cellStyle name="Followed Hyperlink" xfId="11046" builtinId="9" hidden="1"/>
    <cellStyle name="Followed Hyperlink" xfId="11048" builtinId="9" hidden="1"/>
    <cellStyle name="Followed Hyperlink" xfId="11050" builtinId="9" hidden="1"/>
    <cellStyle name="Followed Hyperlink" xfId="11052" builtinId="9" hidden="1"/>
    <cellStyle name="Followed Hyperlink" xfId="11054" builtinId="9" hidden="1"/>
    <cellStyle name="Followed Hyperlink" xfId="11056" builtinId="9" hidden="1"/>
    <cellStyle name="Followed Hyperlink" xfId="11058" builtinId="9" hidden="1"/>
    <cellStyle name="Followed Hyperlink" xfId="11060" builtinId="9" hidden="1"/>
    <cellStyle name="Followed Hyperlink" xfId="11062" builtinId="9" hidden="1"/>
    <cellStyle name="Followed Hyperlink" xfId="11064" builtinId="9" hidden="1"/>
    <cellStyle name="Followed Hyperlink" xfId="11066" builtinId="9" hidden="1"/>
    <cellStyle name="Followed Hyperlink" xfId="11068" builtinId="9" hidden="1"/>
    <cellStyle name="Followed Hyperlink" xfId="11070" builtinId="9" hidden="1"/>
    <cellStyle name="Followed Hyperlink" xfId="11072" builtinId="9" hidden="1"/>
    <cellStyle name="Followed Hyperlink" xfId="11074" builtinId="9" hidden="1"/>
    <cellStyle name="Followed Hyperlink" xfId="11076" builtinId="9" hidden="1"/>
    <cellStyle name="Followed Hyperlink" xfId="11078" builtinId="9" hidden="1"/>
    <cellStyle name="Followed Hyperlink" xfId="11080" builtinId="9" hidden="1"/>
    <cellStyle name="Followed Hyperlink" xfId="11082" builtinId="9" hidden="1"/>
    <cellStyle name="Followed Hyperlink" xfId="11084" builtinId="9" hidden="1"/>
    <cellStyle name="Followed Hyperlink" xfId="11086" builtinId="9" hidden="1"/>
    <cellStyle name="Followed Hyperlink" xfId="11088" builtinId="9" hidden="1"/>
    <cellStyle name="Followed Hyperlink" xfId="11090" builtinId="9" hidden="1"/>
    <cellStyle name="Followed Hyperlink" xfId="11092" builtinId="9" hidden="1"/>
    <cellStyle name="Followed Hyperlink" xfId="11094" builtinId="9" hidden="1"/>
    <cellStyle name="Followed Hyperlink" xfId="11096" builtinId="9" hidden="1"/>
    <cellStyle name="Followed Hyperlink" xfId="11098" builtinId="9" hidden="1"/>
    <cellStyle name="Followed Hyperlink" xfId="11100" builtinId="9" hidden="1"/>
    <cellStyle name="Followed Hyperlink" xfId="11102" builtinId="9" hidden="1"/>
    <cellStyle name="Followed Hyperlink" xfId="11104" builtinId="9" hidden="1"/>
    <cellStyle name="Followed Hyperlink" xfId="11106" builtinId="9" hidden="1"/>
    <cellStyle name="Followed Hyperlink" xfId="11108" builtinId="9" hidden="1"/>
    <cellStyle name="Followed Hyperlink" xfId="11110" builtinId="9" hidden="1"/>
    <cellStyle name="Followed Hyperlink" xfId="11112" builtinId="9" hidden="1"/>
    <cellStyle name="Followed Hyperlink" xfId="11114" builtinId="9" hidden="1"/>
    <cellStyle name="Followed Hyperlink" xfId="11116" builtinId="9" hidden="1"/>
    <cellStyle name="Followed Hyperlink" xfId="11118" builtinId="9" hidden="1"/>
    <cellStyle name="Followed Hyperlink" xfId="11120" builtinId="9" hidden="1"/>
    <cellStyle name="Followed Hyperlink" xfId="11122" builtinId="9" hidden="1"/>
    <cellStyle name="Followed Hyperlink" xfId="11124" builtinId="9" hidden="1"/>
    <cellStyle name="Followed Hyperlink" xfId="11126" builtinId="9" hidden="1"/>
    <cellStyle name="Followed Hyperlink" xfId="11128" builtinId="9" hidden="1"/>
    <cellStyle name="Followed Hyperlink" xfId="11130" builtinId="9" hidden="1"/>
    <cellStyle name="Followed Hyperlink" xfId="11132" builtinId="9" hidden="1"/>
    <cellStyle name="Followed Hyperlink" xfId="11134" builtinId="9" hidden="1"/>
    <cellStyle name="Followed Hyperlink" xfId="11136" builtinId="9" hidden="1"/>
    <cellStyle name="Followed Hyperlink" xfId="11138" builtinId="9" hidden="1"/>
    <cellStyle name="Followed Hyperlink" xfId="11140" builtinId="9" hidden="1"/>
    <cellStyle name="Followed Hyperlink" xfId="11142" builtinId="9" hidden="1"/>
    <cellStyle name="Followed Hyperlink" xfId="11144" builtinId="9" hidden="1"/>
    <cellStyle name="Followed Hyperlink" xfId="11146" builtinId="9" hidden="1"/>
    <cellStyle name="Followed Hyperlink" xfId="11148" builtinId="9" hidden="1"/>
    <cellStyle name="Followed Hyperlink" xfId="11150" builtinId="9" hidden="1"/>
    <cellStyle name="Followed Hyperlink" xfId="11152" builtinId="9" hidden="1"/>
    <cellStyle name="Followed Hyperlink" xfId="11154" builtinId="9" hidden="1"/>
    <cellStyle name="Followed Hyperlink" xfId="11156" builtinId="9" hidden="1"/>
    <cellStyle name="Followed Hyperlink" xfId="11158" builtinId="9" hidden="1"/>
    <cellStyle name="Followed Hyperlink" xfId="11160" builtinId="9" hidden="1"/>
    <cellStyle name="Followed Hyperlink" xfId="11162" builtinId="9" hidden="1"/>
    <cellStyle name="Followed Hyperlink" xfId="11164" builtinId="9" hidden="1"/>
    <cellStyle name="Followed Hyperlink" xfId="11166" builtinId="9" hidden="1"/>
    <cellStyle name="Followed Hyperlink" xfId="11168" builtinId="9" hidden="1"/>
    <cellStyle name="Followed Hyperlink" xfId="11170" builtinId="9" hidden="1"/>
    <cellStyle name="Followed Hyperlink" xfId="11172" builtinId="9" hidden="1"/>
    <cellStyle name="Followed Hyperlink" xfId="11174" builtinId="9" hidden="1"/>
    <cellStyle name="Followed Hyperlink" xfId="11176" builtinId="9" hidden="1"/>
    <cellStyle name="Followed Hyperlink" xfId="11178" builtinId="9" hidden="1"/>
    <cellStyle name="Followed Hyperlink" xfId="11180" builtinId="9" hidden="1"/>
    <cellStyle name="Followed Hyperlink" xfId="11182" builtinId="9" hidden="1"/>
    <cellStyle name="Followed Hyperlink" xfId="11184" builtinId="9" hidden="1"/>
    <cellStyle name="Followed Hyperlink" xfId="11186" builtinId="9" hidden="1"/>
    <cellStyle name="Followed Hyperlink" xfId="11188" builtinId="9" hidden="1"/>
    <cellStyle name="Followed Hyperlink" xfId="11190" builtinId="9" hidden="1"/>
    <cellStyle name="Followed Hyperlink" xfId="11192" builtinId="9" hidden="1"/>
    <cellStyle name="Followed Hyperlink" xfId="11194" builtinId="9" hidden="1"/>
    <cellStyle name="Followed Hyperlink" xfId="11196" builtinId="9" hidden="1"/>
    <cellStyle name="Followed Hyperlink" xfId="11198" builtinId="9" hidden="1"/>
    <cellStyle name="Followed Hyperlink" xfId="11200" builtinId="9" hidden="1"/>
    <cellStyle name="Followed Hyperlink" xfId="11202" builtinId="9" hidden="1"/>
    <cellStyle name="Followed Hyperlink" xfId="11204" builtinId="9" hidden="1"/>
    <cellStyle name="Followed Hyperlink" xfId="11206" builtinId="9" hidden="1"/>
    <cellStyle name="Followed Hyperlink" xfId="11208" builtinId="9" hidden="1"/>
    <cellStyle name="Followed Hyperlink" xfId="11210" builtinId="9" hidden="1"/>
    <cellStyle name="Followed Hyperlink" xfId="11212" builtinId="9" hidden="1"/>
    <cellStyle name="Followed Hyperlink" xfId="11214" builtinId="9" hidden="1"/>
    <cellStyle name="Followed Hyperlink" xfId="11216" builtinId="9" hidden="1"/>
    <cellStyle name="Followed Hyperlink" xfId="11218" builtinId="9" hidden="1"/>
    <cellStyle name="Followed Hyperlink" xfId="11220" builtinId="9" hidden="1"/>
    <cellStyle name="Followed Hyperlink" xfId="11222" builtinId="9" hidden="1"/>
    <cellStyle name="Followed Hyperlink" xfId="11224" builtinId="9" hidden="1"/>
    <cellStyle name="Followed Hyperlink" xfId="11226" builtinId="9" hidden="1"/>
    <cellStyle name="Followed Hyperlink" xfId="11228" builtinId="9" hidden="1"/>
    <cellStyle name="Followed Hyperlink" xfId="11230" builtinId="9" hidden="1"/>
    <cellStyle name="Followed Hyperlink" xfId="11232" builtinId="9" hidden="1"/>
    <cellStyle name="Followed Hyperlink" xfId="11234" builtinId="9" hidden="1"/>
    <cellStyle name="Followed Hyperlink" xfId="11236" builtinId="9" hidden="1"/>
    <cellStyle name="Followed Hyperlink" xfId="11238" builtinId="9" hidden="1"/>
    <cellStyle name="Followed Hyperlink" xfId="11240" builtinId="9" hidden="1"/>
    <cellStyle name="Followed Hyperlink" xfId="11242" builtinId="9" hidden="1"/>
    <cellStyle name="Followed Hyperlink" xfId="11244" builtinId="9" hidden="1"/>
    <cellStyle name="Followed Hyperlink" xfId="11246" builtinId="9" hidden="1"/>
    <cellStyle name="Followed Hyperlink" xfId="11248" builtinId="9" hidden="1"/>
    <cellStyle name="Followed Hyperlink" xfId="11250" builtinId="9" hidden="1"/>
    <cellStyle name="Followed Hyperlink" xfId="11252" builtinId="9" hidden="1"/>
    <cellStyle name="Followed Hyperlink" xfId="11254" builtinId="9" hidden="1"/>
    <cellStyle name="Followed Hyperlink" xfId="11256" builtinId="9" hidden="1"/>
    <cellStyle name="Followed Hyperlink" xfId="11258" builtinId="9" hidden="1"/>
    <cellStyle name="Followed Hyperlink" xfId="11260" builtinId="9" hidden="1"/>
    <cellStyle name="Followed Hyperlink" xfId="11262" builtinId="9" hidden="1"/>
    <cellStyle name="Followed Hyperlink" xfId="11264" builtinId="9" hidden="1"/>
    <cellStyle name="Followed Hyperlink" xfId="11266" builtinId="9" hidden="1"/>
    <cellStyle name="Followed Hyperlink" xfId="11268" builtinId="9" hidden="1"/>
    <cellStyle name="Followed Hyperlink" xfId="11270" builtinId="9" hidden="1"/>
    <cellStyle name="Followed Hyperlink" xfId="11272" builtinId="9" hidden="1"/>
    <cellStyle name="Followed Hyperlink" xfId="11274" builtinId="9" hidden="1"/>
    <cellStyle name="Followed Hyperlink" xfId="11276" builtinId="9" hidden="1"/>
    <cellStyle name="Followed Hyperlink" xfId="11278" builtinId="9" hidden="1"/>
    <cellStyle name="Followed Hyperlink" xfId="11280" builtinId="9" hidden="1"/>
    <cellStyle name="Followed Hyperlink" xfId="11282" builtinId="9" hidden="1"/>
    <cellStyle name="Followed Hyperlink" xfId="11284" builtinId="9" hidden="1"/>
    <cellStyle name="Followed Hyperlink" xfId="11286" builtinId="9" hidden="1"/>
    <cellStyle name="Followed Hyperlink" xfId="11288" builtinId="9" hidden="1"/>
    <cellStyle name="Followed Hyperlink" xfId="11290" builtinId="9" hidden="1"/>
    <cellStyle name="Followed Hyperlink" xfId="11292" builtinId="9" hidden="1"/>
    <cellStyle name="Followed Hyperlink" xfId="11294" builtinId="9" hidden="1"/>
    <cellStyle name="Followed Hyperlink" xfId="11296" builtinId="9" hidden="1"/>
    <cellStyle name="Followed Hyperlink" xfId="11298" builtinId="9" hidden="1"/>
    <cellStyle name="Followed Hyperlink" xfId="11300" builtinId="9" hidden="1"/>
    <cellStyle name="Followed Hyperlink" xfId="11302" builtinId="9" hidden="1"/>
    <cellStyle name="Followed Hyperlink" xfId="11304" builtinId="9" hidden="1"/>
    <cellStyle name="Followed Hyperlink" xfId="11306" builtinId="9" hidden="1"/>
    <cellStyle name="Followed Hyperlink" xfId="11308" builtinId="9" hidden="1"/>
    <cellStyle name="Followed Hyperlink" xfId="11310" builtinId="9" hidden="1"/>
    <cellStyle name="Followed Hyperlink" xfId="11312" builtinId="9" hidden="1"/>
    <cellStyle name="Followed Hyperlink" xfId="11314" builtinId="9" hidden="1"/>
    <cellStyle name="Followed Hyperlink" xfId="11316" builtinId="9" hidden="1"/>
    <cellStyle name="Followed Hyperlink" xfId="11318" builtinId="9" hidden="1"/>
    <cellStyle name="Followed Hyperlink" xfId="11320" builtinId="9" hidden="1"/>
    <cellStyle name="Followed Hyperlink" xfId="11322" builtinId="9" hidden="1"/>
    <cellStyle name="Followed Hyperlink" xfId="11324" builtinId="9" hidden="1"/>
    <cellStyle name="Followed Hyperlink" xfId="11326" builtinId="9" hidden="1"/>
    <cellStyle name="Followed Hyperlink" xfId="11328" builtinId="9" hidden="1"/>
    <cellStyle name="Followed Hyperlink" xfId="11330" builtinId="9" hidden="1"/>
    <cellStyle name="Followed Hyperlink" xfId="11332" builtinId="9" hidden="1"/>
    <cellStyle name="Followed Hyperlink" xfId="11334" builtinId="9" hidden="1"/>
    <cellStyle name="Followed Hyperlink" xfId="11336" builtinId="9" hidden="1"/>
    <cellStyle name="Followed Hyperlink" xfId="11338" builtinId="9" hidden="1"/>
    <cellStyle name="Followed Hyperlink" xfId="11340" builtinId="9" hidden="1"/>
    <cellStyle name="Followed Hyperlink" xfId="11342" builtinId="9" hidden="1"/>
    <cellStyle name="Followed Hyperlink" xfId="11344" builtinId="9" hidden="1"/>
    <cellStyle name="Followed Hyperlink" xfId="11346" builtinId="9" hidden="1"/>
    <cellStyle name="Followed Hyperlink" xfId="11349" builtinId="9" hidden="1"/>
    <cellStyle name="Followed Hyperlink" xfId="11351" builtinId="9" hidden="1"/>
    <cellStyle name="Followed Hyperlink" xfId="11353" builtinId="9" hidden="1"/>
    <cellStyle name="Followed Hyperlink" xfId="11355" builtinId="9" hidden="1"/>
    <cellStyle name="Followed Hyperlink" xfId="11357" builtinId="9" hidden="1"/>
    <cellStyle name="Followed Hyperlink" xfId="11359" builtinId="9" hidden="1"/>
    <cellStyle name="Followed Hyperlink" xfId="11361" builtinId="9" hidden="1"/>
    <cellStyle name="Followed Hyperlink" xfId="11363" builtinId="9" hidden="1"/>
    <cellStyle name="Followed Hyperlink" xfId="11365" builtinId="9" hidden="1"/>
    <cellStyle name="Followed Hyperlink" xfId="11367" builtinId="9" hidden="1"/>
    <cellStyle name="Followed Hyperlink" xfId="11369" builtinId="9" hidden="1"/>
    <cellStyle name="Followed Hyperlink" xfId="11371" builtinId="9" hidden="1"/>
    <cellStyle name="Followed Hyperlink" xfId="11373" builtinId="9" hidden="1"/>
    <cellStyle name="Followed Hyperlink" xfId="11375" builtinId="9" hidden="1"/>
    <cellStyle name="Followed Hyperlink" xfId="11377" builtinId="9" hidden="1"/>
    <cellStyle name="Followed Hyperlink" xfId="11379" builtinId="9" hidden="1"/>
    <cellStyle name="Followed Hyperlink" xfId="11381" builtinId="9" hidden="1"/>
    <cellStyle name="Followed Hyperlink" xfId="11383" builtinId="9" hidden="1"/>
    <cellStyle name="Followed Hyperlink" xfId="11385" builtinId="9" hidden="1"/>
    <cellStyle name="Followed Hyperlink" xfId="11387" builtinId="9" hidden="1"/>
    <cellStyle name="Followed Hyperlink" xfId="11389" builtinId="9" hidden="1"/>
    <cellStyle name="Followed Hyperlink" xfId="11391" builtinId="9" hidden="1"/>
    <cellStyle name="Followed Hyperlink" xfId="11393" builtinId="9" hidden="1"/>
    <cellStyle name="Followed Hyperlink" xfId="11395" builtinId="9" hidden="1"/>
    <cellStyle name="Followed Hyperlink" xfId="11397" builtinId="9" hidden="1"/>
    <cellStyle name="Followed Hyperlink" xfId="11399" builtinId="9" hidden="1"/>
    <cellStyle name="Followed Hyperlink" xfId="11401" builtinId="9" hidden="1"/>
    <cellStyle name="Followed Hyperlink" xfId="11403" builtinId="9" hidden="1"/>
    <cellStyle name="Followed Hyperlink" xfId="11405" builtinId="9" hidden="1"/>
    <cellStyle name="Followed Hyperlink" xfId="11407" builtinId="9" hidden="1"/>
    <cellStyle name="Followed Hyperlink" xfId="11409" builtinId="9" hidden="1"/>
    <cellStyle name="Followed Hyperlink" xfId="11411" builtinId="9" hidden="1"/>
    <cellStyle name="Followed Hyperlink" xfId="11413" builtinId="9" hidden="1"/>
    <cellStyle name="Followed Hyperlink" xfId="11415" builtinId="9" hidden="1"/>
    <cellStyle name="Followed Hyperlink" xfId="11417" builtinId="9" hidden="1"/>
    <cellStyle name="Followed Hyperlink" xfId="11419" builtinId="9" hidden="1"/>
    <cellStyle name="Followed Hyperlink" xfId="11421" builtinId="9" hidden="1"/>
    <cellStyle name="Followed Hyperlink" xfId="11423" builtinId="9" hidden="1"/>
    <cellStyle name="Followed Hyperlink" xfId="11425" builtinId="9" hidden="1"/>
    <cellStyle name="Followed Hyperlink" xfId="11427" builtinId="9" hidden="1"/>
    <cellStyle name="Followed Hyperlink" xfId="11429" builtinId="9" hidden="1"/>
    <cellStyle name="Followed Hyperlink" xfId="11431" builtinId="9" hidden="1"/>
    <cellStyle name="Followed Hyperlink" xfId="11433" builtinId="9" hidden="1"/>
    <cellStyle name="Followed Hyperlink" xfId="11435" builtinId="9" hidden="1"/>
    <cellStyle name="Followed Hyperlink" xfId="11437" builtinId="9" hidden="1"/>
    <cellStyle name="Followed Hyperlink" xfId="11439" builtinId="9" hidden="1"/>
    <cellStyle name="Followed Hyperlink" xfId="11441" builtinId="9" hidden="1"/>
    <cellStyle name="Followed Hyperlink" xfId="11443" builtinId="9" hidden="1"/>
    <cellStyle name="Followed Hyperlink" xfId="11445" builtinId="9" hidden="1"/>
    <cellStyle name="Followed Hyperlink" xfId="11447" builtinId="9" hidden="1"/>
    <cellStyle name="Followed Hyperlink" xfId="11449" builtinId="9" hidden="1"/>
    <cellStyle name="Followed Hyperlink" xfId="11451" builtinId="9" hidden="1"/>
    <cellStyle name="Followed Hyperlink" xfId="11453" builtinId="9" hidden="1"/>
    <cellStyle name="Followed Hyperlink" xfId="11455" builtinId="9" hidden="1"/>
    <cellStyle name="Followed Hyperlink" xfId="11457" builtinId="9" hidden="1"/>
    <cellStyle name="Followed Hyperlink" xfId="11459" builtinId="9" hidden="1"/>
    <cellStyle name="Followed Hyperlink" xfId="11461" builtinId="9" hidden="1"/>
    <cellStyle name="Followed Hyperlink" xfId="11463" builtinId="9" hidden="1"/>
    <cellStyle name="Followed Hyperlink" xfId="11465" builtinId="9" hidden="1"/>
    <cellStyle name="Followed Hyperlink" xfId="11467" builtinId="9" hidden="1"/>
    <cellStyle name="Followed Hyperlink" xfId="11468" builtinId="9" hidden="1"/>
    <cellStyle name="Followed Hyperlink" xfId="11470" builtinId="9" hidden="1"/>
    <cellStyle name="Followed Hyperlink" xfId="11472" builtinId="9" hidden="1"/>
    <cellStyle name="Followed Hyperlink" xfId="11474" builtinId="9" hidden="1"/>
    <cellStyle name="Followed Hyperlink" xfId="11476" builtinId="9" hidden="1"/>
    <cellStyle name="Followed Hyperlink" xfId="11478" builtinId="9" hidden="1"/>
    <cellStyle name="Followed Hyperlink" xfId="11480" builtinId="9" hidden="1"/>
    <cellStyle name="Followed Hyperlink" xfId="11482" builtinId="9" hidden="1"/>
    <cellStyle name="Followed Hyperlink" xfId="11484" builtinId="9" hidden="1"/>
    <cellStyle name="Followed Hyperlink" xfId="11486" builtinId="9" hidden="1"/>
    <cellStyle name="Followed Hyperlink" xfId="11488" builtinId="9" hidden="1"/>
    <cellStyle name="Followed Hyperlink" xfId="11490" builtinId="9" hidden="1"/>
    <cellStyle name="Followed Hyperlink" xfId="11492" builtinId="9" hidden="1"/>
    <cellStyle name="Followed Hyperlink" xfId="11494" builtinId="9" hidden="1"/>
    <cellStyle name="Followed Hyperlink" xfId="11496" builtinId="9" hidden="1"/>
    <cellStyle name="Followed Hyperlink" xfId="11498" builtinId="9" hidden="1"/>
    <cellStyle name="Followed Hyperlink" xfId="11500" builtinId="9" hidden="1"/>
    <cellStyle name="Followed Hyperlink" xfId="11502" builtinId="9" hidden="1"/>
    <cellStyle name="Followed Hyperlink" xfId="11504" builtinId="9" hidden="1"/>
    <cellStyle name="Followed Hyperlink" xfId="11506" builtinId="9" hidden="1"/>
    <cellStyle name="Followed Hyperlink" xfId="11508" builtinId="9" hidden="1"/>
    <cellStyle name="Followed Hyperlink" xfId="11510" builtinId="9" hidden="1"/>
    <cellStyle name="Followed Hyperlink" xfId="11512" builtinId="9" hidden="1"/>
    <cellStyle name="Followed Hyperlink" xfId="11514" builtinId="9" hidden="1"/>
    <cellStyle name="Followed Hyperlink" xfId="11516" builtinId="9" hidden="1"/>
    <cellStyle name="Followed Hyperlink" xfId="11518" builtinId="9" hidden="1"/>
    <cellStyle name="Followed Hyperlink" xfId="11520" builtinId="9" hidden="1"/>
    <cellStyle name="Followed Hyperlink" xfId="11522" builtinId="9" hidden="1"/>
    <cellStyle name="Followed Hyperlink" xfId="11524" builtinId="9" hidden="1"/>
    <cellStyle name="Followed Hyperlink" xfId="11526" builtinId="9" hidden="1"/>
    <cellStyle name="Followed Hyperlink" xfId="11528" builtinId="9" hidden="1"/>
    <cellStyle name="Followed Hyperlink" xfId="11530" builtinId="9" hidden="1"/>
    <cellStyle name="Followed Hyperlink" xfId="11532" builtinId="9" hidden="1"/>
    <cellStyle name="Followed Hyperlink" xfId="11534" builtinId="9" hidden="1"/>
    <cellStyle name="Followed Hyperlink" xfId="11536" builtinId="9" hidden="1"/>
    <cellStyle name="Followed Hyperlink" xfId="11538" builtinId="9" hidden="1"/>
    <cellStyle name="Followed Hyperlink" xfId="11540" builtinId="9" hidden="1"/>
    <cellStyle name="Followed Hyperlink" xfId="11542" builtinId="9" hidden="1"/>
    <cellStyle name="Followed Hyperlink" xfId="11544" builtinId="9" hidden="1"/>
    <cellStyle name="Followed Hyperlink" xfId="11546" builtinId="9" hidden="1"/>
    <cellStyle name="Followed Hyperlink" xfId="11548" builtinId="9" hidden="1"/>
    <cellStyle name="Followed Hyperlink" xfId="11550" builtinId="9" hidden="1"/>
    <cellStyle name="Followed Hyperlink" xfId="11552" builtinId="9" hidden="1"/>
    <cellStyle name="Followed Hyperlink" xfId="11554" builtinId="9" hidden="1"/>
    <cellStyle name="Followed Hyperlink" xfId="11556" builtinId="9" hidden="1"/>
    <cellStyle name="Followed Hyperlink" xfId="11558" builtinId="9" hidden="1"/>
    <cellStyle name="Followed Hyperlink" xfId="11560" builtinId="9" hidden="1"/>
    <cellStyle name="Followed Hyperlink" xfId="11562" builtinId="9" hidden="1"/>
    <cellStyle name="Followed Hyperlink" xfId="11564" builtinId="9" hidden="1"/>
    <cellStyle name="Followed Hyperlink" xfId="11566" builtinId="9" hidden="1"/>
    <cellStyle name="Followed Hyperlink" xfId="11568" builtinId="9" hidden="1"/>
    <cellStyle name="Followed Hyperlink" xfId="11570" builtinId="9" hidden="1"/>
    <cellStyle name="Followed Hyperlink" xfId="11572" builtinId="9" hidden="1"/>
    <cellStyle name="Followed Hyperlink" xfId="11574" builtinId="9" hidden="1"/>
    <cellStyle name="Followed Hyperlink" xfId="11576" builtinId="9" hidden="1"/>
    <cellStyle name="Followed Hyperlink" xfId="11578" builtinId="9" hidden="1"/>
    <cellStyle name="Followed Hyperlink" xfId="11580" builtinId="9" hidden="1"/>
    <cellStyle name="Followed Hyperlink" xfId="11582" builtinId="9" hidden="1"/>
    <cellStyle name="Followed Hyperlink" xfId="11584" builtinId="9" hidden="1"/>
    <cellStyle name="Followed Hyperlink" xfId="11586" builtinId="9" hidden="1"/>
    <cellStyle name="Followed Hyperlink" xfId="11588" builtinId="9" hidden="1"/>
    <cellStyle name="Followed Hyperlink" xfId="11590" builtinId="9" hidden="1"/>
    <cellStyle name="Followed Hyperlink" xfId="11592" builtinId="9" hidden="1"/>
    <cellStyle name="Followed Hyperlink" xfId="11594" builtinId="9" hidden="1"/>
    <cellStyle name="Followed Hyperlink" xfId="11596" builtinId="9" hidden="1"/>
    <cellStyle name="Followed Hyperlink" xfId="11598" builtinId="9" hidden="1"/>
    <cellStyle name="Followed Hyperlink" xfId="11600" builtinId="9" hidden="1"/>
    <cellStyle name="Followed Hyperlink" xfId="11602" builtinId="9" hidden="1"/>
    <cellStyle name="Followed Hyperlink" xfId="11604" builtinId="9" hidden="1"/>
    <cellStyle name="Followed Hyperlink" xfId="11606" builtinId="9" hidden="1"/>
    <cellStyle name="Followed Hyperlink" xfId="11608" builtinId="9" hidden="1"/>
    <cellStyle name="Followed Hyperlink" xfId="11610" builtinId="9" hidden="1"/>
    <cellStyle name="Followed Hyperlink" xfId="11612" builtinId="9" hidden="1"/>
    <cellStyle name="Followed Hyperlink" xfId="11614" builtinId="9" hidden="1"/>
    <cellStyle name="Followed Hyperlink" xfId="11616" builtinId="9" hidden="1"/>
    <cellStyle name="Followed Hyperlink" xfId="11618" builtinId="9" hidden="1"/>
    <cellStyle name="Followed Hyperlink" xfId="11620" builtinId="9" hidden="1"/>
    <cellStyle name="Followed Hyperlink" xfId="11622" builtinId="9" hidden="1"/>
    <cellStyle name="Followed Hyperlink" xfId="11624" builtinId="9" hidden="1"/>
    <cellStyle name="Followed Hyperlink" xfId="11626" builtinId="9" hidden="1"/>
    <cellStyle name="Followed Hyperlink" xfId="11628" builtinId="9" hidden="1"/>
    <cellStyle name="Followed Hyperlink" xfId="11630" builtinId="9" hidden="1"/>
    <cellStyle name="Followed Hyperlink" xfId="11632" builtinId="9" hidden="1"/>
    <cellStyle name="Followed Hyperlink" xfId="11634" builtinId="9" hidden="1"/>
    <cellStyle name="Followed Hyperlink" xfId="11636" builtinId="9" hidden="1"/>
    <cellStyle name="Followed Hyperlink" xfId="11638" builtinId="9" hidden="1"/>
    <cellStyle name="Followed Hyperlink" xfId="11640" builtinId="9" hidden="1"/>
    <cellStyle name="Followed Hyperlink" xfId="11642" builtinId="9" hidden="1"/>
    <cellStyle name="Followed Hyperlink" xfId="11644" builtinId="9" hidden="1"/>
    <cellStyle name="Followed Hyperlink" xfId="11646" builtinId="9" hidden="1"/>
    <cellStyle name="Followed Hyperlink" xfId="11648" builtinId="9" hidden="1"/>
    <cellStyle name="Followed Hyperlink" xfId="11650" builtinId="9" hidden="1"/>
    <cellStyle name="Followed Hyperlink" xfId="11652" builtinId="9" hidden="1"/>
    <cellStyle name="Followed Hyperlink" xfId="11654" builtinId="9" hidden="1"/>
    <cellStyle name="Followed Hyperlink" xfId="11656" builtinId="9" hidden="1"/>
    <cellStyle name="Followed Hyperlink" xfId="11658" builtinId="9" hidden="1"/>
    <cellStyle name="Followed Hyperlink" xfId="11660" builtinId="9" hidden="1"/>
    <cellStyle name="Followed Hyperlink" xfId="11662" builtinId="9" hidden="1"/>
    <cellStyle name="Followed Hyperlink" xfId="11664" builtinId="9" hidden="1"/>
    <cellStyle name="Followed Hyperlink" xfId="11666" builtinId="9" hidden="1"/>
    <cellStyle name="Followed Hyperlink" xfId="11668" builtinId="9" hidden="1"/>
    <cellStyle name="Followed Hyperlink" xfId="11670" builtinId="9" hidden="1"/>
    <cellStyle name="Followed Hyperlink" xfId="11672" builtinId="9" hidden="1"/>
    <cellStyle name="Followed Hyperlink" xfId="11674" builtinId="9" hidden="1"/>
    <cellStyle name="Followed Hyperlink" xfId="11676" builtinId="9" hidden="1"/>
    <cellStyle name="Followed Hyperlink" xfId="11678" builtinId="9" hidden="1"/>
    <cellStyle name="Followed Hyperlink" xfId="11680" builtinId="9" hidden="1"/>
    <cellStyle name="Followed Hyperlink" xfId="11682" builtinId="9" hidden="1"/>
    <cellStyle name="Followed Hyperlink" xfId="11684" builtinId="9" hidden="1"/>
    <cellStyle name="Followed Hyperlink" xfId="11686" builtinId="9" hidden="1"/>
    <cellStyle name="Followed Hyperlink" xfId="11688" builtinId="9" hidden="1"/>
    <cellStyle name="Followed Hyperlink" xfId="11690" builtinId="9" hidden="1"/>
    <cellStyle name="Followed Hyperlink" xfId="11692" builtinId="9" hidden="1"/>
    <cellStyle name="Followed Hyperlink" xfId="11694" builtinId="9" hidden="1"/>
    <cellStyle name="Followed Hyperlink" xfId="11696" builtinId="9" hidden="1"/>
    <cellStyle name="Followed Hyperlink" xfId="11698" builtinId="9" hidden="1"/>
    <cellStyle name="Followed Hyperlink" xfId="11700" builtinId="9" hidden="1"/>
    <cellStyle name="Followed Hyperlink" xfId="11702" builtinId="9" hidden="1"/>
    <cellStyle name="Followed Hyperlink" xfId="11704" builtinId="9" hidden="1"/>
    <cellStyle name="Followed Hyperlink" xfId="11706" builtinId="9" hidden="1"/>
    <cellStyle name="Followed Hyperlink" xfId="11708" builtinId="9" hidden="1"/>
    <cellStyle name="Followed Hyperlink" xfId="11710" builtinId="9" hidden="1"/>
    <cellStyle name="Followed Hyperlink" xfId="11712" builtinId="9" hidden="1"/>
    <cellStyle name="Followed Hyperlink" xfId="11714" builtinId="9" hidden="1"/>
    <cellStyle name="Followed Hyperlink" xfId="11716" builtinId="9" hidden="1"/>
    <cellStyle name="Followed Hyperlink" xfId="11718" builtinId="9" hidden="1"/>
    <cellStyle name="Followed Hyperlink" xfId="11720" builtinId="9" hidden="1"/>
    <cellStyle name="Followed Hyperlink" xfId="11722" builtinId="9" hidden="1"/>
    <cellStyle name="Followed Hyperlink" xfId="11724" builtinId="9" hidden="1"/>
    <cellStyle name="Followed Hyperlink" xfId="11726" builtinId="9" hidden="1"/>
    <cellStyle name="Followed Hyperlink" xfId="11728" builtinId="9" hidden="1"/>
    <cellStyle name="Followed Hyperlink" xfId="11730" builtinId="9" hidden="1"/>
    <cellStyle name="Followed Hyperlink" xfId="11732" builtinId="9" hidden="1"/>
    <cellStyle name="Followed Hyperlink" xfId="11734" builtinId="9" hidden="1"/>
    <cellStyle name="Followed Hyperlink" xfId="11736" builtinId="9" hidden="1"/>
    <cellStyle name="Followed Hyperlink" xfId="11738" builtinId="9" hidden="1"/>
    <cellStyle name="Followed Hyperlink" xfId="11740" builtinId="9" hidden="1"/>
    <cellStyle name="Followed Hyperlink" xfId="11742" builtinId="9" hidden="1"/>
    <cellStyle name="Followed Hyperlink" xfId="11744" builtinId="9" hidden="1"/>
    <cellStyle name="Followed Hyperlink" xfId="11746" builtinId="9" hidden="1"/>
    <cellStyle name="Followed Hyperlink" xfId="11748" builtinId="9" hidden="1"/>
    <cellStyle name="Followed Hyperlink" xfId="11750" builtinId="9" hidden="1"/>
    <cellStyle name="Followed Hyperlink" xfId="11752" builtinId="9" hidden="1"/>
    <cellStyle name="Followed Hyperlink" xfId="11754" builtinId="9" hidden="1"/>
    <cellStyle name="Followed Hyperlink" xfId="11756" builtinId="9" hidden="1"/>
    <cellStyle name="Followed Hyperlink" xfId="11758" builtinId="9" hidden="1"/>
    <cellStyle name="Followed Hyperlink" xfId="11760" builtinId="9" hidden="1"/>
    <cellStyle name="Followed Hyperlink" xfId="11762" builtinId="9" hidden="1"/>
    <cellStyle name="Followed Hyperlink" xfId="11764" builtinId="9" hidden="1"/>
    <cellStyle name="Followed Hyperlink" xfId="11766" builtinId="9" hidden="1"/>
    <cellStyle name="Followed Hyperlink" xfId="11768" builtinId="9" hidden="1"/>
    <cellStyle name="Followed Hyperlink" xfId="11770" builtinId="9" hidden="1"/>
    <cellStyle name="Followed Hyperlink" xfId="11772" builtinId="9" hidden="1"/>
    <cellStyle name="Followed Hyperlink" xfId="11774" builtinId="9" hidden="1"/>
    <cellStyle name="Followed Hyperlink" xfId="11776" builtinId="9" hidden="1"/>
    <cellStyle name="Followed Hyperlink" xfId="11778" builtinId="9" hidden="1"/>
    <cellStyle name="Followed Hyperlink" xfId="11780" builtinId="9" hidden="1"/>
    <cellStyle name="Followed Hyperlink" xfId="11782" builtinId="9" hidden="1"/>
    <cellStyle name="Followed Hyperlink" xfId="11784" builtinId="9" hidden="1"/>
    <cellStyle name="Followed Hyperlink" xfId="11786" builtinId="9" hidden="1"/>
    <cellStyle name="Followed Hyperlink" xfId="11788" builtinId="9" hidden="1"/>
    <cellStyle name="Followed Hyperlink" xfId="11790" builtinId="9" hidden="1"/>
    <cellStyle name="Followed Hyperlink" xfId="11792" builtinId="9" hidden="1"/>
    <cellStyle name="Followed Hyperlink" xfId="11794" builtinId="9" hidden="1"/>
    <cellStyle name="Followed Hyperlink" xfId="11796" builtinId="9" hidden="1"/>
    <cellStyle name="Followed Hyperlink" xfId="11798" builtinId="9" hidden="1"/>
    <cellStyle name="Followed Hyperlink" xfId="11800" builtinId="9" hidden="1"/>
    <cellStyle name="Followed Hyperlink" xfId="11802" builtinId="9" hidden="1"/>
    <cellStyle name="Followed Hyperlink" xfId="11804" builtinId="9" hidden="1"/>
    <cellStyle name="Followed Hyperlink" xfId="11806" builtinId="9" hidden="1"/>
    <cellStyle name="Followed Hyperlink" xfId="11808" builtinId="9" hidden="1"/>
    <cellStyle name="Followed Hyperlink" xfId="11810" builtinId="9" hidden="1"/>
    <cellStyle name="Followed Hyperlink" xfId="11812" builtinId="9" hidden="1"/>
    <cellStyle name="Followed Hyperlink" xfId="11814" builtinId="9" hidden="1"/>
    <cellStyle name="Followed Hyperlink" xfId="11816" builtinId="9" hidden="1"/>
    <cellStyle name="Followed Hyperlink" xfId="11818" builtinId="9" hidden="1"/>
    <cellStyle name="Followed Hyperlink" xfId="11820" builtinId="9" hidden="1"/>
    <cellStyle name="Followed Hyperlink" xfId="11822" builtinId="9" hidden="1"/>
    <cellStyle name="Followed Hyperlink" xfId="11824" builtinId="9" hidden="1"/>
    <cellStyle name="Followed Hyperlink" xfId="11826" builtinId="9" hidden="1"/>
    <cellStyle name="Followed Hyperlink" xfId="11828" builtinId="9" hidden="1"/>
    <cellStyle name="Followed Hyperlink" xfId="11830" builtinId="9" hidden="1"/>
    <cellStyle name="Followed Hyperlink" xfId="11832" builtinId="9" hidden="1"/>
    <cellStyle name="Followed Hyperlink" xfId="11834" builtinId="9" hidden="1"/>
    <cellStyle name="Followed Hyperlink" xfId="11836" builtinId="9" hidden="1"/>
    <cellStyle name="Followed Hyperlink" xfId="11838" builtinId="9" hidden="1"/>
    <cellStyle name="Followed Hyperlink" xfId="11840" builtinId="9" hidden="1"/>
    <cellStyle name="Followed Hyperlink" xfId="11842" builtinId="9" hidden="1"/>
    <cellStyle name="Followed Hyperlink" xfId="11844" builtinId="9" hidden="1"/>
    <cellStyle name="Followed Hyperlink" xfId="11846" builtinId="9" hidden="1"/>
    <cellStyle name="Followed Hyperlink" xfId="11848" builtinId="9" hidden="1"/>
    <cellStyle name="Followed Hyperlink" xfId="11850" builtinId="9" hidden="1"/>
    <cellStyle name="Followed Hyperlink" xfId="11852" builtinId="9" hidden="1"/>
    <cellStyle name="Followed Hyperlink" xfId="11854" builtinId="9" hidden="1"/>
    <cellStyle name="Followed Hyperlink" xfId="11856" builtinId="9" hidden="1"/>
    <cellStyle name="Followed Hyperlink" xfId="11858" builtinId="9" hidden="1"/>
    <cellStyle name="Followed Hyperlink" xfId="11860" builtinId="9" hidden="1"/>
    <cellStyle name="Followed Hyperlink" xfId="11862" builtinId="9" hidden="1"/>
    <cellStyle name="Followed Hyperlink" xfId="11864" builtinId="9" hidden="1"/>
    <cellStyle name="Followed Hyperlink" xfId="11866" builtinId="9" hidden="1"/>
    <cellStyle name="Followed Hyperlink" xfId="11868" builtinId="9" hidden="1"/>
    <cellStyle name="Followed Hyperlink" xfId="11870" builtinId="9" hidden="1"/>
    <cellStyle name="Followed Hyperlink" xfId="11872" builtinId="9" hidden="1"/>
    <cellStyle name="Followed Hyperlink" xfId="11874" builtinId="9" hidden="1"/>
    <cellStyle name="Followed Hyperlink" xfId="11876" builtinId="9" hidden="1"/>
    <cellStyle name="Followed Hyperlink" xfId="11878" builtinId="9" hidden="1"/>
    <cellStyle name="Followed Hyperlink" xfId="11880" builtinId="9" hidden="1"/>
    <cellStyle name="Followed Hyperlink" xfId="11882" builtinId="9" hidden="1"/>
    <cellStyle name="Followed Hyperlink" xfId="11884" builtinId="9" hidden="1"/>
    <cellStyle name="Followed Hyperlink" xfId="11886" builtinId="9" hidden="1"/>
    <cellStyle name="Followed Hyperlink" xfId="11888" builtinId="9" hidden="1"/>
    <cellStyle name="Followed Hyperlink" xfId="11890" builtinId="9" hidden="1"/>
    <cellStyle name="Followed Hyperlink" xfId="11892" builtinId="9" hidden="1"/>
    <cellStyle name="Followed Hyperlink" xfId="11894" builtinId="9" hidden="1"/>
    <cellStyle name="Followed Hyperlink" xfId="11896" builtinId="9" hidden="1"/>
    <cellStyle name="Followed Hyperlink" xfId="11898" builtinId="9" hidden="1"/>
    <cellStyle name="Followed Hyperlink" xfId="11900" builtinId="9" hidden="1"/>
    <cellStyle name="Followed Hyperlink" xfId="11902" builtinId="9" hidden="1"/>
    <cellStyle name="Followed Hyperlink" xfId="11904" builtinId="9" hidden="1"/>
    <cellStyle name="Followed Hyperlink" xfId="11906" builtinId="9" hidden="1"/>
    <cellStyle name="Good 2" xfId="845" xr:uid="{00000000-0005-0000-0000-000041170000}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863" builtinId="8" hidden="1"/>
    <cellStyle name="Hyperlink" xfId="1865" builtinId="8" hidden="1"/>
    <cellStyle name="Hyperlink" xfId="1867" builtinId="8" hidden="1"/>
    <cellStyle name="Hyperlink" xfId="1869" builtinId="8" hidden="1"/>
    <cellStyle name="Hyperlink" xfId="1871" builtinId="8" hidden="1"/>
    <cellStyle name="Hyperlink" xfId="1873" builtinId="8" hidden="1"/>
    <cellStyle name="Hyperlink" xfId="1875" builtinId="8" hidden="1"/>
    <cellStyle name="Hyperlink" xfId="1877" builtinId="8" hidden="1"/>
    <cellStyle name="Hyperlink" xfId="1879" builtinId="8" hidden="1"/>
    <cellStyle name="Hyperlink" xfId="1881" builtinId="8" hidden="1"/>
    <cellStyle name="Hyperlink" xfId="1883" builtinId="8" hidden="1"/>
    <cellStyle name="Hyperlink" xfId="1885" builtinId="8" hidden="1"/>
    <cellStyle name="Hyperlink" xfId="1887" builtinId="8" hidden="1"/>
    <cellStyle name="Hyperlink" xfId="1889" builtinId="8" hidden="1"/>
    <cellStyle name="Hyperlink" xfId="1891" builtinId="8" hidden="1"/>
    <cellStyle name="Hyperlink" xfId="1893" builtinId="8" hidden="1"/>
    <cellStyle name="Hyperlink" xfId="1895" builtinId="8" hidden="1"/>
    <cellStyle name="Hyperlink" xfId="1897" builtinId="8" hidden="1"/>
    <cellStyle name="Hyperlink" xfId="1899" builtinId="8" hidden="1"/>
    <cellStyle name="Hyperlink" xfId="1901" builtinId="8" hidden="1"/>
    <cellStyle name="Hyperlink" xfId="1903" builtinId="8" hidden="1"/>
    <cellStyle name="Hyperlink" xfId="1905" builtinId="8" hidden="1"/>
    <cellStyle name="Hyperlink" xfId="1907" builtinId="8" hidden="1"/>
    <cellStyle name="Hyperlink" xfId="1909" builtinId="8" hidden="1"/>
    <cellStyle name="Hyperlink" xfId="1911" builtinId="8" hidden="1"/>
    <cellStyle name="Hyperlink" xfId="1913" builtinId="8" hidden="1"/>
    <cellStyle name="Hyperlink" xfId="1915" builtinId="8" hidden="1"/>
    <cellStyle name="Hyperlink" xfId="1917" builtinId="8" hidden="1"/>
    <cellStyle name="Hyperlink" xfId="1919" builtinId="8" hidden="1"/>
    <cellStyle name="Hyperlink" xfId="1921" builtinId="8" hidden="1"/>
    <cellStyle name="Hyperlink" xfId="1923" builtinId="8" hidden="1"/>
    <cellStyle name="Hyperlink" xfId="1925" builtinId="8" hidden="1"/>
    <cellStyle name="Hyperlink" xfId="1927" builtinId="8" hidden="1"/>
    <cellStyle name="Hyperlink" xfId="1929" builtinId="8" hidden="1"/>
    <cellStyle name="Hyperlink" xfId="1931" builtinId="8" hidden="1"/>
    <cellStyle name="Hyperlink" xfId="1933" builtinId="8" hidden="1"/>
    <cellStyle name="Hyperlink" xfId="1935" builtinId="8" hidden="1"/>
    <cellStyle name="Hyperlink" xfId="1937" builtinId="8" hidden="1"/>
    <cellStyle name="Hyperlink" xfId="1939" builtinId="8" hidden="1"/>
    <cellStyle name="Hyperlink" xfId="1941" builtinId="8" hidden="1"/>
    <cellStyle name="Hyperlink" xfId="1943" builtinId="8" hidden="1"/>
    <cellStyle name="Hyperlink" xfId="1945" builtinId="8" hidden="1"/>
    <cellStyle name="Hyperlink" xfId="1947" builtinId="8" hidden="1"/>
    <cellStyle name="Hyperlink" xfId="1949" builtinId="8" hidden="1"/>
    <cellStyle name="Hyperlink" xfId="1951" builtinId="8" hidden="1"/>
    <cellStyle name="Hyperlink" xfId="1953" builtinId="8" hidden="1"/>
    <cellStyle name="Hyperlink" xfId="1955" builtinId="8" hidden="1"/>
    <cellStyle name="Hyperlink" xfId="1957" builtinId="8" hidden="1"/>
    <cellStyle name="Hyperlink" xfId="1959" builtinId="8" hidden="1"/>
    <cellStyle name="Hyperlink" xfId="1961" builtinId="8" hidden="1"/>
    <cellStyle name="Hyperlink" xfId="1963" builtinId="8" hidden="1"/>
    <cellStyle name="Hyperlink" xfId="1965" builtinId="8" hidden="1"/>
    <cellStyle name="Hyperlink" xfId="1967" builtinId="8" hidden="1"/>
    <cellStyle name="Hyperlink" xfId="1969" builtinId="8" hidden="1"/>
    <cellStyle name="Hyperlink" xfId="1971" builtinId="8" hidden="1"/>
    <cellStyle name="Hyperlink" xfId="1973" builtinId="8" hidden="1"/>
    <cellStyle name="Hyperlink" xfId="1975" builtinId="8" hidden="1"/>
    <cellStyle name="Hyperlink" xfId="1977" builtinId="8" hidden="1"/>
    <cellStyle name="Hyperlink" xfId="1979" builtinId="8" hidden="1"/>
    <cellStyle name="Hyperlink" xfId="1981" builtinId="8" hidden="1"/>
    <cellStyle name="Hyperlink" xfId="1983" builtinId="8" hidden="1"/>
    <cellStyle name="Hyperlink" xfId="1985" builtinId="8" hidden="1"/>
    <cellStyle name="Hyperlink" xfId="1987" builtinId="8" hidden="1"/>
    <cellStyle name="Hyperlink" xfId="1989" builtinId="8" hidden="1"/>
    <cellStyle name="Hyperlink" xfId="1991" builtinId="8" hidden="1"/>
    <cellStyle name="Hyperlink" xfId="1993" builtinId="8" hidden="1"/>
    <cellStyle name="Hyperlink" xfId="1995" builtinId="8" hidden="1"/>
    <cellStyle name="Hyperlink" xfId="1997" builtinId="8" hidden="1"/>
    <cellStyle name="Hyperlink" xfId="1999" builtinId="8" hidden="1"/>
    <cellStyle name="Hyperlink" xfId="2001" builtinId="8" hidden="1"/>
    <cellStyle name="Hyperlink" xfId="2003" builtinId="8" hidden="1"/>
    <cellStyle name="Hyperlink" xfId="2005" builtinId="8" hidden="1"/>
    <cellStyle name="Hyperlink" xfId="2007" builtinId="8" hidden="1"/>
    <cellStyle name="Hyperlink" xfId="2009" builtinId="8" hidden="1"/>
    <cellStyle name="Hyperlink" xfId="2011" builtinId="8" hidden="1"/>
    <cellStyle name="Hyperlink" xfId="2013" builtinId="8" hidden="1"/>
    <cellStyle name="Hyperlink" xfId="2015" builtinId="8" hidden="1"/>
    <cellStyle name="Hyperlink" xfId="2017" builtinId="8" hidden="1"/>
    <cellStyle name="Hyperlink" xfId="2019" builtinId="8" hidden="1"/>
    <cellStyle name="Hyperlink" xfId="2021" builtinId="8" hidden="1"/>
    <cellStyle name="Hyperlink" xfId="2023" builtinId="8" hidden="1"/>
    <cellStyle name="Hyperlink" xfId="2025" builtinId="8" hidden="1"/>
    <cellStyle name="Hyperlink" xfId="2027" builtinId="8" hidden="1"/>
    <cellStyle name="Hyperlink" xfId="2029" builtinId="8" hidden="1"/>
    <cellStyle name="Hyperlink" xfId="2031" builtinId="8" hidden="1"/>
    <cellStyle name="Hyperlink" xfId="2033" builtinId="8" hidden="1"/>
    <cellStyle name="Hyperlink" xfId="2035" builtinId="8" hidden="1"/>
    <cellStyle name="Hyperlink" xfId="2037" builtinId="8" hidden="1"/>
    <cellStyle name="Hyperlink" xfId="2039" builtinId="8" hidden="1"/>
    <cellStyle name="Hyperlink" xfId="2041" builtinId="8" hidden="1"/>
    <cellStyle name="Hyperlink" xfId="2043" builtinId="8" hidden="1"/>
    <cellStyle name="Hyperlink" xfId="2045" builtinId="8" hidden="1"/>
    <cellStyle name="Hyperlink" xfId="2047" builtinId="8" hidden="1"/>
    <cellStyle name="Hyperlink" xfId="2049" builtinId="8" hidden="1"/>
    <cellStyle name="Hyperlink" xfId="2051" builtinId="8" hidden="1"/>
    <cellStyle name="Hyperlink" xfId="2053" builtinId="8" hidden="1"/>
    <cellStyle name="Hyperlink" xfId="2055" builtinId="8" hidden="1"/>
    <cellStyle name="Hyperlink" xfId="2057" builtinId="8" hidden="1"/>
    <cellStyle name="Hyperlink" xfId="2059" builtinId="8" hidden="1"/>
    <cellStyle name="Hyperlink" xfId="2061" builtinId="8" hidden="1"/>
    <cellStyle name="Hyperlink" xfId="2063" builtinId="8" hidden="1"/>
    <cellStyle name="Hyperlink" xfId="2065" builtinId="8" hidden="1"/>
    <cellStyle name="Hyperlink" xfId="2067" builtinId="8" hidden="1"/>
    <cellStyle name="Hyperlink" xfId="2069" builtinId="8" hidden="1"/>
    <cellStyle name="Hyperlink" xfId="2071" builtinId="8" hidden="1"/>
    <cellStyle name="Hyperlink" xfId="2073" builtinId="8" hidden="1"/>
    <cellStyle name="Hyperlink" xfId="2075" builtinId="8" hidden="1"/>
    <cellStyle name="Hyperlink" xfId="2077" builtinId="8" hidden="1"/>
    <cellStyle name="Hyperlink" xfId="2079" builtinId="8" hidden="1"/>
    <cellStyle name="Hyperlink" xfId="2081" builtinId="8" hidden="1"/>
    <cellStyle name="Hyperlink" xfId="2083" builtinId="8" hidden="1"/>
    <cellStyle name="Hyperlink" xfId="2085" builtinId="8" hidden="1"/>
    <cellStyle name="Hyperlink" xfId="2087" builtinId="8" hidden="1"/>
    <cellStyle name="Hyperlink" xfId="2089" builtinId="8" hidden="1"/>
    <cellStyle name="Hyperlink" xfId="2091" builtinId="8" hidden="1"/>
    <cellStyle name="Hyperlink" xfId="2093" builtinId="8" hidden="1"/>
    <cellStyle name="Hyperlink" xfId="2095" builtinId="8" hidden="1"/>
    <cellStyle name="Hyperlink" xfId="2097" builtinId="8" hidden="1"/>
    <cellStyle name="Hyperlink" xfId="2099" builtinId="8" hidden="1"/>
    <cellStyle name="Hyperlink" xfId="2101" builtinId="8" hidden="1"/>
    <cellStyle name="Hyperlink" xfId="2103" builtinId="8" hidden="1"/>
    <cellStyle name="Hyperlink" xfId="2105" builtinId="8" hidden="1"/>
    <cellStyle name="Hyperlink" xfId="2107" builtinId="8" hidden="1"/>
    <cellStyle name="Hyperlink" xfId="2109" builtinId="8" hidden="1"/>
    <cellStyle name="Hyperlink" xfId="2111" builtinId="8" hidden="1"/>
    <cellStyle name="Hyperlink" xfId="2113" builtinId="8" hidden="1"/>
    <cellStyle name="Hyperlink" xfId="2115" builtinId="8" hidden="1"/>
    <cellStyle name="Hyperlink" xfId="2117" builtinId="8" hidden="1"/>
    <cellStyle name="Hyperlink" xfId="2119" builtinId="8" hidden="1"/>
    <cellStyle name="Hyperlink" xfId="2121" builtinId="8" hidden="1"/>
    <cellStyle name="Hyperlink" xfId="2123" builtinId="8" hidden="1"/>
    <cellStyle name="Hyperlink" xfId="2125" builtinId="8" hidden="1"/>
    <cellStyle name="Hyperlink" xfId="2127" builtinId="8" hidden="1"/>
    <cellStyle name="Hyperlink" xfId="2129" builtinId="8" hidden="1"/>
    <cellStyle name="Hyperlink" xfId="2131" builtinId="8" hidden="1"/>
    <cellStyle name="Hyperlink" xfId="2133" builtinId="8" hidden="1"/>
    <cellStyle name="Hyperlink" xfId="2135" builtinId="8" hidden="1"/>
    <cellStyle name="Hyperlink" xfId="2137" builtinId="8" hidden="1"/>
    <cellStyle name="Hyperlink" xfId="2139" builtinId="8" hidden="1"/>
    <cellStyle name="Hyperlink" xfId="2141" builtinId="8" hidden="1"/>
    <cellStyle name="Hyperlink" xfId="2143" builtinId="8" hidden="1"/>
    <cellStyle name="Hyperlink" xfId="2145" builtinId="8" hidden="1"/>
    <cellStyle name="Hyperlink" xfId="2147" builtinId="8" hidden="1"/>
    <cellStyle name="Hyperlink" xfId="2149" builtinId="8" hidden="1"/>
    <cellStyle name="Hyperlink" xfId="2151" builtinId="8" hidden="1"/>
    <cellStyle name="Hyperlink" xfId="2153" builtinId="8" hidden="1"/>
    <cellStyle name="Hyperlink" xfId="2155" builtinId="8" hidden="1"/>
    <cellStyle name="Hyperlink" xfId="2157" builtinId="8" hidden="1"/>
    <cellStyle name="Hyperlink" xfId="2159" builtinId="8" hidden="1"/>
    <cellStyle name="Hyperlink" xfId="2161" builtinId="8" hidden="1"/>
    <cellStyle name="Hyperlink" xfId="2163" builtinId="8" hidden="1"/>
    <cellStyle name="Hyperlink" xfId="2165" builtinId="8" hidden="1"/>
    <cellStyle name="Hyperlink" xfId="2167" builtinId="8" hidden="1"/>
    <cellStyle name="Hyperlink" xfId="2169" builtinId="8" hidden="1"/>
    <cellStyle name="Hyperlink" xfId="2171" builtinId="8" hidden="1"/>
    <cellStyle name="Hyperlink" xfId="2173" builtinId="8" hidden="1"/>
    <cellStyle name="Hyperlink" xfId="2175" builtinId="8" hidden="1"/>
    <cellStyle name="Hyperlink" xfId="2177" builtinId="8" hidden="1"/>
    <cellStyle name="Hyperlink" xfId="2179" builtinId="8" hidden="1"/>
    <cellStyle name="Hyperlink" xfId="2181" builtinId="8" hidden="1"/>
    <cellStyle name="Hyperlink" xfId="2183" builtinId="8" hidden="1"/>
    <cellStyle name="Hyperlink" xfId="2185" builtinId="8" hidden="1"/>
    <cellStyle name="Hyperlink" xfId="2187" builtinId="8" hidden="1"/>
    <cellStyle name="Hyperlink" xfId="2189" builtinId="8" hidden="1"/>
    <cellStyle name="Hyperlink" xfId="2191" builtinId="8" hidden="1"/>
    <cellStyle name="Hyperlink" xfId="2193" builtinId="8" hidden="1"/>
    <cellStyle name="Hyperlink" xfId="2195" builtinId="8" hidden="1"/>
    <cellStyle name="Hyperlink" xfId="2197" builtinId="8" hidden="1"/>
    <cellStyle name="Hyperlink" xfId="2199" builtinId="8" hidden="1"/>
    <cellStyle name="Hyperlink" xfId="2201" builtinId="8" hidden="1"/>
    <cellStyle name="Hyperlink" xfId="2203" builtinId="8" hidden="1"/>
    <cellStyle name="Hyperlink" xfId="2205" builtinId="8" hidden="1"/>
    <cellStyle name="Hyperlink" xfId="2207" builtinId="8" hidden="1"/>
    <cellStyle name="Hyperlink" xfId="2209" builtinId="8" hidden="1"/>
    <cellStyle name="Hyperlink" xfId="2211" builtinId="8" hidden="1"/>
    <cellStyle name="Hyperlink" xfId="2213" builtinId="8" hidden="1"/>
    <cellStyle name="Hyperlink" xfId="2215" builtinId="8" hidden="1"/>
    <cellStyle name="Hyperlink" xfId="2217" builtinId="8" hidden="1"/>
    <cellStyle name="Hyperlink" xfId="2219" builtinId="8" hidden="1"/>
    <cellStyle name="Hyperlink" xfId="2221" builtinId="8" hidden="1"/>
    <cellStyle name="Hyperlink" xfId="2223" builtinId="8" hidden="1"/>
    <cellStyle name="Hyperlink" xfId="2225" builtinId="8" hidden="1"/>
    <cellStyle name="Hyperlink" xfId="2227" builtinId="8" hidden="1"/>
    <cellStyle name="Hyperlink" xfId="2229" builtinId="8" hidden="1"/>
    <cellStyle name="Hyperlink" xfId="2231" builtinId="8" hidden="1"/>
    <cellStyle name="Hyperlink" xfId="2233" builtinId="8" hidden="1"/>
    <cellStyle name="Hyperlink" xfId="2235" builtinId="8" hidden="1"/>
    <cellStyle name="Hyperlink" xfId="2237" builtinId="8" hidden="1"/>
    <cellStyle name="Hyperlink" xfId="2239" builtinId="8" hidden="1"/>
    <cellStyle name="Hyperlink" xfId="2241" builtinId="8" hidden="1"/>
    <cellStyle name="Hyperlink" xfId="2243" builtinId="8" hidden="1"/>
    <cellStyle name="Hyperlink" xfId="2245" builtinId="8" hidden="1"/>
    <cellStyle name="Hyperlink" xfId="2247" builtinId="8" hidden="1"/>
    <cellStyle name="Hyperlink" xfId="2249" builtinId="8" hidden="1"/>
    <cellStyle name="Hyperlink" xfId="2251" builtinId="8" hidden="1"/>
    <cellStyle name="Hyperlink" xfId="2253" builtinId="8" hidden="1"/>
    <cellStyle name="Hyperlink" xfId="2255" builtinId="8" hidden="1"/>
    <cellStyle name="Hyperlink" xfId="2257" builtinId="8" hidden="1"/>
    <cellStyle name="Hyperlink" xfId="2259" builtinId="8" hidden="1"/>
    <cellStyle name="Hyperlink" xfId="2261" builtinId="8" hidden="1"/>
    <cellStyle name="Hyperlink" xfId="2263" builtinId="8" hidden="1"/>
    <cellStyle name="Hyperlink" xfId="2265" builtinId="8" hidden="1"/>
    <cellStyle name="Hyperlink" xfId="2267" builtinId="8" hidden="1"/>
    <cellStyle name="Hyperlink" xfId="2269" builtinId="8" hidden="1"/>
    <cellStyle name="Hyperlink" xfId="2271" builtinId="8" hidden="1"/>
    <cellStyle name="Hyperlink" xfId="2273" builtinId="8" hidden="1"/>
    <cellStyle name="Hyperlink" xfId="2275" builtinId="8" hidden="1"/>
    <cellStyle name="Hyperlink" xfId="2277" builtinId="8" hidden="1"/>
    <cellStyle name="Hyperlink" xfId="2279" builtinId="8" hidden="1"/>
    <cellStyle name="Hyperlink" xfId="2281" builtinId="8" hidden="1"/>
    <cellStyle name="Hyperlink" xfId="2283" builtinId="8" hidden="1"/>
    <cellStyle name="Hyperlink" xfId="2285" builtinId="8" hidden="1"/>
    <cellStyle name="Hyperlink" xfId="2287" builtinId="8" hidden="1"/>
    <cellStyle name="Hyperlink" xfId="2289" builtinId="8" hidden="1"/>
    <cellStyle name="Hyperlink" xfId="2291" builtinId="8" hidden="1"/>
    <cellStyle name="Hyperlink" xfId="2293" builtinId="8" hidden="1"/>
    <cellStyle name="Hyperlink" xfId="2295" builtinId="8" hidden="1"/>
    <cellStyle name="Hyperlink" xfId="2297" builtinId="8" hidden="1"/>
    <cellStyle name="Hyperlink" xfId="2299" builtinId="8" hidden="1"/>
    <cellStyle name="Hyperlink" xfId="2301" builtinId="8" hidden="1"/>
    <cellStyle name="Hyperlink" xfId="2303" builtinId="8" hidden="1"/>
    <cellStyle name="Hyperlink" xfId="2305" builtinId="8" hidden="1"/>
    <cellStyle name="Hyperlink" xfId="2307" builtinId="8" hidden="1"/>
    <cellStyle name="Hyperlink" xfId="2309" builtinId="8" hidden="1"/>
    <cellStyle name="Hyperlink" xfId="2311" builtinId="8" hidden="1"/>
    <cellStyle name="Hyperlink" xfId="2313" builtinId="8" hidden="1"/>
    <cellStyle name="Hyperlink" xfId="2315" builtinId="8" hidden="1"/>
    <cellStyle name="Hyperlink" xfId="2317" builtinId="8" hidden="1"/>
    <cellStyle name="Hyperlink" xfId="2319" builtinId="8" hidden="1"/>
    <cellStyle name="Hyperlink" xfId="2321" builtinId="8" hidden="1"/>
    <cellStyle name="Hyperlink" xfId="2323" builtinId="8" hidden="1"/>
    <cellStyle name="Hyperlink" xfId="2325" builtinId="8" hidden="1"/>
    <cellStyle name="Hyperlink" xfId="2327" builtinId="8" hidden="1"/>
    <cellStyle name="Hyperlink" xfId="2329" builtinId="8" hidden="1"/>
    <cellStyle name="Hyperlink" xfId="2331" builtinId="8" hidden="1"/>
    <cellStyle name="Hyperlink" xfId="2333" builtinId="8" hidden="1"/>
    <cellStyle name="Hyperlink" xfId="2335" builtinId="8" hidden="1"/>
    <cellStyle name="Hyperlink" xfId="2337" builtinId="8" hidden="1"/>
    <cellStyle name="Hyperlink" xfId="2339" builtinId="8" hidden="1"/>
    <cellStyle name="Hyperlink" xfId="2341" builtinId="8" hidden="1"/>
    <cellStyle name="Hyperlink" xfId="2343" builtinId="8" hidden="1"/>
    <cellStyle name="Hyperlink" xfId="2345" builtinId="8" hidden="1"/>
    <cellStyle name="Hyperlink" xfId="2347" builtinId="8" hidden="1"/>
    <cellStyle name="Hyperlink" xfId="2349" builtinId="8" hidden="1"/>
    <cellStyle name="Hyperlink" xfId="2351" builtinId="8" hidden="1"/>
    <cellStyle name="Hyperlink" xfId="2353" builtinId="8" hidden="1"/>
    <cellStyle name="Hyperlink" xfId="2355" builtinId="8" hidden="1"/>
    <cellStyle name="Hyperlink" xfId="2357" builtinId="8" hidden="1"/>
    <cellStyle name="Hyperlink" xfId="2359" builtinId="8" hidden="1"/>
    <cellStyle name="Hyperlink" xfId="2361" builtinId="8" hidden="1"/>
    <cellStyle name="Hyperlink" xfId="2363" builtinId="8" hidden="1"/>
    <cellStyle name="Hyperlink" xfId="2365" builtinId="8" hidden="1"/>
    <cellStyle name="Hyperlink" xfId="2367" builtinId="8" hidden="1"/>
    <cellStyle name="Hyperlink" xfId="2369" builtinId="8" hidden="1"/>
    <cellStyle name="Hyperlink" xfId="2371" builtinId="8" hidden="1"/>
    <cellStyle name="Hyperlink" xfId="2373" builtinId="8" hidden="1"/>
    <cellStyle name="Hyperlink" xfId="2375" builtinId="8" hidden="1"/>
    <cellStyle name="Hyperlink" xfId="2377" builtinId="8" hidden="1"/>
    <cellStyle name="Hyperlink" xfId="2379" builtinId="8" hidden="1"/>
    <cellStyle name="Hyperlink" xfId="2381" builtinId="8" hidden="1"/>
    <cellStyle name="Hyperlink" xfId="2383" builtinId="8" hidden="1"/>
    <cellStyle name="Hyperlink" xfId="2385" builtinId="8" hidden="1"/>
    <cellStyle name="Hyperlink" xfId="2387" builtinId="8" hidden="1"/>
    <cellStyle name="Hyperlink" xfId="2389" builtinId="8" hidden="1"/>
    <cellStyle name="Hyperlink" xfId="2391" builtinId="8" hidden="1"/>
    <cellStyle name="Hyperlink" xfId="2393" builtinId="8" hidden="1"/>
    <cellStyle name="Hyperlink" xfId="2395" builtinId="8" hidden="1"/>
    <cellStyle name="Hyperlink" xfId="2397" builtinId="8" hidden="1"/>
    <cellStyle name="Hyperlink" xfId="2399" builtinId="8" hidden="1"/>
    <cellStyle name="Hyperlink" xfId="2401" builtinId="8" hidden="1"/>
    <cellStyle name="Hyperlink" xfId="2403" builtinId="8" hidden="1"/>
    <cellStyle name="Hyperlink" xfId="2405" builtinId="8" hidden="1"/>
    <cellStyle name="Hyperlink" xfId="2407" builtinId="8" hidden="1"/>
    <cellStyle name="Hyperlink" xfId="2409" builtinId="8" hidden="1"/>
    <cellStyle name="Hyperlink" xfId="2411" builtinId="8" hidden="1"/>
    <cellStyle name="Hyperlink" xfId="2413" builtinId="8" hidden="1"/>
    <cellStyle name="Hyperlink" xfId="2415" builtinId="8" hidden="1"/>
    <cellStyle name="Hyperlink" xfId="2417" builtinId="8" hidden="1"/>
    <cellStyle name="Hyperlink" xfId="2419" builtinId="8" hidden="1"/>
    <cellStyle name="Hyperlink" xfId="2421" builtinId="8" hidden="1"/>
    <cellStyle name="Hyperlink" xfId="2423" builtinId="8" hidden="1"/>
    <cellStyle name="Hyperlink" xfId="2425" builtinId="8" hidden="1"/>
    <cellStyle name="Hyperlink" xfId="2427" builtinId="8" hidden="1"/>
    <cellStyle name="Hyperlink" xfId="2429" builtinId="8" hidden="1"/>
    <cellStyle name="Hyperlink" xfId="2431" builtinId="8" hidden="1"/>
    <cellStyle name="Hyperlink" xfId="2433" builtinId="8" hidden="1"/>
    <cellStyle name="Hyperlink" xfId="2435" builtinId="8" hidden="1"/>
    <cellStyle name="Hyperlink" xfId="2437" builtinId="8" hidden="1"/>
    <cellStyle name="Hyperlink" xfId="2439" builtinId="8" hidden="1"/>
    <cellStyle name="Hyperlink" xfId="2441" builtinId="8" hidden="1"/>
    <cellStyle name="Hyperlink" xfId="2443" builtinId="8" hidden="1"/>
    <cellStyle name="Hyperlink" xfId="2445" builtinId="8" hidden="1"/>
    <cellStyle name="Hyperlink" xfId="2447" builtinId="8" hidden="1"/>
    <cellStyle name="Hyperlink" xfId="2449" builtinId="8" hidden="1"/>
    <cellStyle name="Hyperlink" xfId="2451" builtinId="8" hidden="1"/>
    <cellStyle name="Hyperlink" xfId="2453" builtinId="8" hidden="1"/>
    <cellStyle name="Hyperlink" xfId="2455" builtinId="8" hidden="1"/>
    <cellStyle name="Hyperlink" xfId="2457" builtinId="8" hidden="1"/>
    <cellStyle name="Hyperlink" xfId="2459" builtinId="8" hidden="1"/>
    <cellStyle name="Hyperlink" xfId="2461" builtinId="8" hidden="1"/>
    <cellStyle name="Hyperlink" xfId="2463" builtinId="8" hidden="1"/>
    <cellStyle name="Hyperlink" xfId="2465" builtinId="8" hidden="1"/>
    <cellStyle name="Hyperlink" xfId="2467" builtinId="8" hidden="1"/>
    <cellStyle name="Hyperlink" xfId="2469" builtinId="8" hidden="1"/>
    <cellStyle name="Hyperlink" xfId="2471" builtinId="8" hidden="1"/>
    <cellStyle name="Hyperlink" xfId="2473" builtinId="8" hidden="1"/>
    <cellStyle name="Hyperlink" xfId="2475" builtinId="8" hidden="1"/>
    <cellStyle name="Hyperlink" xfId="2477" builtinId="8" hidden="1"/>
    <cellStyle name="Hyperlink" xfId="2479" builtinId="8" hidden="1"/>
    <cellStyle name="Hyperlink" xfId="2481" builtinId="8" hidden="1"/>
    <cellStyle name="Hyperlink" xfId="2483" builtinId="8" hidden="1"/>
    <cellStyle name="Hyperlink" xfId="2485" builtinId="8" hidden="1"/>
    <cellStyle name="Hyperlink" xfId="2487" builtinId="8" hidden="1"/>
    <cellStyle name="Hyperlink" xfId="2489" builtinId="8" hidden="1"/>
    <cellStyle name="Hyperlink" xfId="2491" builtinId="8" hidden="1"/>
    <cellStyle name="Hyperlink" xfId="2493" builtinId="8" hidden="1"/>
    <cellStyle name="Hyperlink" xfId="2495" builtinId="8" hidden="1"/>
    <cellStyle name="Hyperlink" xfId="2497" builtinId="8" hidden="1"/>
    <cellStyle name="Hyperlink" xfId="2499" builtinId="8" hidden="1"/>
    <cellStyle name="Hyperlink" xfId="2501" builtinId="8" hidden="1"/>
    <cellStyle name="Hyperlink" xfId="2503" builtinId="8" hidden="1"/>
    <cellStyle name="Hyperlink" xfId="2505" builtinId="8" hidden="1"/>
    <cellStyle name="Hyperlink" xfId="2507" builtinId="8" hidden="1"/>
    <cellStyle name="Hyperlink" xfId="2509" builtinId="8" hidden="1"/>
    <cellStyle name="Hyperlink" xfId="2511" builtinId="8" hidden="1"/>
    <cellStyle name="Hyperlink" xfId="2513" builtinId="8" hidden="1"/>
    <cellStyle name="Hyperlink" xfId="2515" builtinId="8" hidden="1"/>
    <cellStyle name="Hyperlink" xfId="2517" builtinId="8" hidden="1"/>
    <cellStyle name="Hyperlink" xfId="2519" builtinId="8" hidden="1"/>
    <cellStyle name="Hyperlink" xfId="2521" builtinId="8" hidden="1"/>
    <cellStyle name="Hyperlink" xfId="2523" builtinId="8" hidden="1"/>
    <cellStyle name="Hyperlink" xfId="2525" builtinId="8" hidden="1"/>
    <cellStyle name="Hyperlink" xfId="2527" builtinId="8" hidden="1"/>
    <cellStyle name="Hyperlink" xfId="2529" builtinId="8" hidden="1"/>
    <cellStyle name="Hyperlink" xfId="2531" builtinId="8" hidden="1"/>
    <cellStyle name="Hyperlink" xfId="2533" builtinId="8" hidden="1"/>
    <cellStyle name="Hyperlink" xfId="2535" builtinId="8" hidden="1"/>
    <cellStyle name="Hyperlink" xfId="2537" builtinId="8" hidden="1"/>
    <cellStyle name="Hyperlink" xfId="2539" builtinId="8" hidden="1"/>
    <cellStyle name="Hyperlink" xfId="2541" builtinId="8" hidden="1"/>
    <cellStyle name="Hyperlink" xfId="2543" builtinId="8" hidden="1"/>
    <cellStyle name="Hyperlink" xfId="2545" builtinId="8" hidden="1"/>
    <cellStyle name="Hyperlink" xfId="2547" builtinId="8" hidden="1"/>
    <cellStyle name="Hyperlink" xfId="2549" builtinId="8" hidden="1"/>
    <cellStyle name="Hyperlink" xfId="2551" builtinId="8" hidden="1"/>
    <cellStyle name="Hyperlink" xfId="2553" builtinId="8" hidden="1"/>
    <cellStyle name="Hyperlink" xfId="2555" builtinId="8" hidden="1"/>
    <cellStyle name="Hyperlink" xfId="2557" builtinId="8" hidden="1"/>
    <cellStyle name="Hyperlink" xfId="2559" builtinId="8" hidden="1"/>
    <cellStyle name="Hyperlink" xfId="2561" builtinId="8" hidden="1"/>
    <cellStyle name="Hyperlink" xfId="2563" builtinId="8" hidden="1"/>
    <cellStyle name="Hyperlink" xfId="2565" builtinId="8" hidden="1"/>
    <cellStyle name="Hyperlink" xfId="2567" builtinId="8" hidden="1"/>
    <cellStyle name="Hyperlink" xfId="2569" builtinId="8" hidden="1"/>
    <cellStyle name="Hyperlink" xfId="2571" builtinId="8" hidden="1"/>
    <cellStyle name="Hyperlink" xfId="2573" builtinId="8" hidden="1"/>
    <cellStyle name="Hyperlink" xfId="2575" builtinId="8" hidden="1"/>
    <cellStyle name="Hyperlink" xfId="2577" builtinId="8" hidden="1"/>
    <cellStyle name="Hyperlink" xfId="2579" builtinId="8" hidden="1"/>
    <cellStyle name="Hyperlink" xfId="2581" builtinId="8" hidden="1"/>
    <cellStyle name="Hyperlink" xfId="2583" builtinId="8" hidden="1"/>
    <cellStyle name="Hyperlink" xfId="2585" builtinId="8" hidden="1"/>
    <cellStyle name="Hyperlink" xfId="2587" builtinId="8" hidden="1"/>
    <cellStyle name="Hyperlink" xfId="2589" builtinId="8" hidden="1"/>
    <cellStyle name="Hyperlink" xfId="2591" builtinId="8" hidden="1"/>
    <cellStyle name="Hyperlink" xfId="2593" builtinId="8" hidden="1"/>
    <cellStyle name="Hyperlink" xfId="2595" builtinId="8" hidden="1"/>
    <cellStyle name="Hyperlink" xfId="2597" builtinId="8" hidden="1"/>
    <cellStyle name="Hyperlink" xfId="2599" builtinId="8" hidden="1"/>
    <cellStyle name="Hyperlink" xfId="2601" builtinId="8" hidden="1"/>
    <cellStyle name="Hyperlink" xfId="2603" builtinId="8" hidden="1"/>
    <cellStyle name="Hyperlink" xfId="2605" builtinId="8" hidden="1"/>
    <cellStyle name="Hyperlink" xfId="2607" builtinId="8" hidden="1"/>
    <cellStyle name="Hyperlink" xfId="2609" builtinId="8" hidden="1"/>
    <cellStyle name="Hyperlink" xfId="2611" builtinId="8" hidden="1"/>
    <cellStyle name="Hyperlink" xfId="2613" builtinId="8" hidden="1"/>
    <cellStyle name="Hyperlink" xfId="2615" builtinId="8" hidden="1"/>
    <cellStyle name="Hyperlink" xfId="2617" builtinId="8" hidden="1"/>
    <cellStyle name="Hyperlink" xfId="2619" builtinId="8" hidden="1"/>
    <cellStyle name="Hyperlink" xfId="2621" builtinId="8" hidden="1"/>
    <cellStyle name="Hyperlink" xfId="2623" builtinId="8" hidden="1"/>
    <cellStyle name="Hyperlink" xfId="2625" builtinId="8" hidden="1"/>
    <cellStyle name="Hyperlink" xfId="2627" builtinId="8" hidden="1"/>
    <cellStyle name="Hyperlink" xfId="2629" builtinId="8" hidden="1"/>
    <cellStyle name="Hyperlink" xfId="2631" builtinId="8" hidden="1"/>
    <cellStyle name="Hyperlink" xfId="2633" builtinId="8" hidden="1"/>
    <cellStyle name="Hyperlink" xfId="2635" builtinId="8" hidden="1"/>
    <cellStyle name="Hyperlink" xfId="2637" builtinId="8" hidden="1"/>
    <cellStyle name="Hyperlink" xfId="2639" builtinId="8" hidden="1"/>
    <cellStyle name="Hyperlink" xfId="2641" builtinId="8" hidden="1"/>
    <cellStyle name="Hyperlink" xfId="2643" builtinId="8" hidden="1"/>
    <cellStyle name="Hyperlink" xfId="2645" builtinId="8" hidden="1"/>
    <cellStyle name="Hyperlink" xfId="2647" builtinId="8" hidden="1"/>
    <cellStyle name="Hyperlink" xfId="2649" builtinId="8" hidden="1"/>
    <cellStyle name="Hyperlink" xfId="2651" builtinId="8" hidden="1"/>
    <cellStyle name="Hyperlink" xfId="2653" builtinId="8" hidden="1"/>
    <cellStyle name="Hyperlink" xfId="2655" builtinId="8" hidden="1"/>
    <cellStyle name="Hyperlink" xfId="2657" builtinId="8" hidden="1"/>
    <cellStyle name="Hyperlink" xfId="2659" builtinId="8" hidden="1"/>
    <cellStyle name="Hyperlink" xfId="2661" builtinId="8" hidden="1"/>
    <cellStyle name="Hyperlink" xfId="2663" builtinId="8" hidden="1"/>
    <cellStyle name="Hyperlink" xfId="2665" builtinId="8" hidden="1"/>
    <cellStyle name="Hyperlink" xfId="2667" builtinId="8" hidden="1"/>
    <cellStyle name="Hyperlink" xfId="2669" builtinId="8" hidden="1"/>
    <cellStyle name="Hyperlink" xfId="2671" builtinId="8" hidden="1"/>
    <cellStyle name="Hyperlink" xfId="2673" builtinId="8" hidden="1"/>
    <cellStyle name="Hyperlink" xfId="2675" builtinId="8" hidden="1"/>
    <cellStyle name="Hyperlink" xfId="2677" builtinId="8" hidden="1"/>
    <cellStyle name="Hyperlink" xfId="2679" builtinId="8" hidden="1"/>
    <cellStyle name="Hyperlink" xfId="2681" builtinId="8" hidden="1"/>
    <cellStyle name="Hyperlink" xfId="2683" builtinId="8" hidden="1"/>
    <cellStyle name="Hyperlink" xfId="2685" builtinId="8" hidden="1"/>
    <cellStyle name="Hyperlink" xfId="2687" builtinId="8" hidden="1"/>
    <cellStyle name="Hyperlink" xfId="2689" builtinId="8" hidden="1"/>
    <cellStyle name="Hyperlink" xfId="2691" builtinId="8" hidden="1"/>
    <cellStyle name="Hyperlink" xfId="2693" builtinId="8" hidden="1"/>
    <cellStyle name="Hyperlink" xfId="2695" builtinId="8" hidden="1"/>
    <cellStyle name="Hyperlink" xfId="2697" builtinId="8" hidden="1"/>
    <cellStyle name="Hyperlink" xfId="2699" builtinId="8" hidden="1"/>
    <cellStyle name="Hyperlink" xfId="2701" builtinId="8" hidden="1"/>
    <cellStyle name="Hyperlink" xfId="2703" builtinId="8" hidden="1"/>
    <cellStyle name="Hyperlink" xfId="2705" builtinId="8" hidden="1"/>
    <cellStyle name="Hyperlink" xfId="2707" builtinId="8" hidden="1"/>
    <cellStyle name="Hyperlink" xfId="2709" builtinId="8" hidden="1"/>
    <cellStyle name="Hyperlink" xfId="2711" builtinId="8" hidden="1"/>
    <cellStyle name="Hyperlink" xfId="2713" builtinId="8" hidden="1"/>
    <cellStyle name="Hyperlink" xfId="2715" builtinId="8" hidden="1"/>
    <cellStyle name="Hyperlink" xfId="2717" builtinId="8" hidden="1"/>
    <cellStyle name="Hyperlink" xfId="2719" builtinId="8" hidden="1"/>
    <cellStyle name="Hyperlink" xfId="2721" builtinId="8" hidden="1"/>
    <cellStyle name="Hyperlink" xfId="2723" builtinId="8" hidden="1"/>
    <cellStyle name="Hyperlink" xfId="2725" builtinId="8" hidden="1"/>
    <cellStyle name="Hyperlink" xfId="2727" builtinId="8" hidden="1"/>
    <cellStyle name="Hyperlink" xfId="2729" builtinId="8" hidden="1"/>
    <cellStyle name="Hyperlink" xfId="2731" builtinId="8" hidden="1"/>
    <cellStyle name="Hyperlink" xfId="2733" builtinId="8" hidden="1"/>
    <cellStyle name="Hyperlink" xfId="2735" builtinId="8" hidden="1"/>
    <cellStyle name="Hyperlink" xfId="2737" builtinId="8" hidden="1"/>
    <cellStyle name="Hyperlink" xfId="2739" builtinId="8" hidden="1"/>
    <cellStyle name="Hyperlink" xfId="2741" builtinId="8" hidden="1"/>
    <cellStyle name="Hyperlink" xfId="2743" builtinId="8" hidden="1"/>
    <cellStyle name="Hyperlink" xfId="2745" builtinId="8" hidden="1"/>
    <cellStyle name="Hyperlink" xfId="2747" builtinId="8" hidden="1"/>
    <cellStyle name="Hyperlink" xfId="2749" builtinId="8" hidden="1"/>
    <cellStyle name="Hyperlink" xfId="2751" builtinId="8" hidden="1"/>
    <cellStyle name="Hyperlink" xfId="2753" builtinId="8" hidden="1"/>
    <cellStyle name="Hyperlink" xfId="2755" builtinId="8" hidden="1"/>
    <cellStyle name="Hyperlink" xfId="2757" builtinId="8" hidden="1"/>
    <cellStyle name="Hyperlink" xfId="2759" builtinId="8" hidden="1"/>
    <cellStyle name="Hyperlink" xfId="2761" builtinId="8" hidden="1"/>
    <cellStyle name="Hyperlink" xfId="2763" builtinId="8" hidden="1"/>
    <cellStyle name="Hyperlink" xfId="2765" builtinId="8" hidden="1"/>
    <cellStyle name="Hyperlink" xfId="2767" builtinId="8" hidden="1"/>
    <cellStyle name="Hyperlink" xfId="2769" builtinId="8" hidden="1"/>
    <cellStyle name="Hyperlink" xfId="2771" builtinId="8" hidden="1"/>
    <cellStyle name="Hyperlink" xfId="2773" builtinId="8" hidden="1"/>
    <cellStyle name="Hyperlink" xfId="2775" builtinId="8" hidden="1"/>
    <cellStyle name="Hyperlink" xfId="2777" builtinId="8" hidden="1"/>
    <cellStyle name="Hyperlink" xfId="2779" builtinId="8" hidden="1"/>
    <cellStyle name="Hyperlink" xfId="2781" builtinId="8" hidden="1"/>
    <cellStyle name="Hyperlink" xfId="2783" builtinId="8" hidden="1"/>
    <cellStyle name="Hyperlink" xfId="2785" builtinId="8" hidden="1"/>
    <cellStyle name="Hyperlink" xfId="2787" builtinId="8" hidden="1"/>
    <cellStyle name="Hyperlink" xfId="2789" builtinId="8" hidden="1"/>
    <cellStyle name="Hyperlink" xfId="2791" builtinId="8" hidden="1"/>
    <cellStyle name="Hyperlink" xfId="2793" builtinId="8" hidden="1"/>
    <cellStyle name="Hyperlink" xfId="2795" builtinId="8" hidden="1"/>
    <cellStyle name="Hyperlink" xfId="2797" builtinId="8" hidden="1"/>
    <cellStyle name="Hyperlink" xfId="2799" builtinId="8" hidden="1"/>
    <cellStyle name="Hyperlink" xfId="2801" builtinId="8" hidden="1"/>
    <cellStyle name="Hyperlink" xfId="2803" builtinId="8" hidden="1"/>
    <cellStyle name="Hyperlink" xfId="2805" builtinId="8" hidden="1"/>
    <cellStyle name="Hyperlink" xfId="2807" builtinId="8" hidden="1"/>
    <cellStyle name="Hyperlink" xfId="2809" builtinId="8" hidden="1"/>
    <cellStyle name="Hyperlink" xfId="2811" builtinId="8" hidden="1"/>
    <cellStyle name="Hyperlink" xfId="2813" builtinId="8" hidden="1"/>
    <cellStyle name="Hyperlink" xfId="2815" builtinId="8" hidden="1"/>
    <cellStyle name="Hyperlink" xfId="2817" builtinId="8" hidden="1"/>
    <cellStyle name="Hyperlink" xfId="2819" builtinId="8" hidden="1"/>
    <cellStyle name="Hyperlink" xfId="2821" builtinId="8" hidden="1"/>
    <cellStyle name="Hyperlink" xfId="2823" builtinId="8" hidden="1"/>
    <cellStyle name="Hyperlink" xfId="2825" builtinId="8" hidden="1"/>
    <cellStyle name="Hyperlink" xfId="2827" builtinId="8" hidden="1"/>
    <cellStyle name="Hyperlink" xfId="2829" builtinId="8" hidden="1"/>
    <cellStyle name="Hyperlink" xfId="2831" builtinId="8" hidden="1"/>
    <cellStyle name="Hyperlink" xfId="2833" builtinId="8" hidden="1"/>
    <cellStyle name="Hyperlink" xfId="2835" builtinId="8" hidden="1"/>
    <cellStyle name="Hyperlink" xfId="2837" builtinId="8" hidden="1"/>
    <cellStyle name="Hyperlink" xfId="2839" builtinId="8" hidden="1"/>
    <cellStyle name="Hyperlink" xfId="2841" builtinId="8" hidden="1"/>
    <cellStyle name="Hyperlink" xfId="2843" builtinId="8" hidden="1"/>
    <cellStyle name="Hyperlink" xfId="2845" builtinId="8" hidden="1"/>
    <cellStyle name="Hyperlink" xfId="2847" builtinId="8" hidden="1"/>
    <cellStyle name="Hyperlink" xfId="2849" builtinId="8" hidden="1"/>
    <cellStyle name="Hyperlink" xfId="2851" builtinId="8" hidden="1"/>
    <cellStyle name="Hyperlink" xfId="2853" builtinId="8" hidden="1"/>
    <cellStyle name="Hyperlink" xfId="2855" builtinId="8" hidden="1"/>
    <cellStyle name="Hyperlink" xfId="2857" builtinId="8" hidden="1"/>
    <cellStyle name="Hyperlink" xfId="2859" builtinId="8" hidden="1"/>
    <cellStyle name="Hyperlink" xfId="2861" builtinId="8" hidden="1"/>
    <cellStyle name="Hyperlink" xfId="2863" builtinId="8" hidden="1"/>
    <cellStyle name="Hyperlink" xfId="2865" builtinId="8" hidden="1"/>
    <cellStyle name="Hyperlink" xfId="2867" builtinId="8" hidden="1"/>
    <cellStyle name="Hyperlink" xfId="2869" builtinId="8" hidden="1"/>
    <cellStyle name="Hyperlink" xfId="2871" builtinId="8" hidden="1"/>
    <cellStyle name="Hyperlink" xfId="2873" builtinId="8" hidden="1"/>
    <cellStyle name="Hyperlink" xfId="2875" builtinId="8" hidden="1"/>
    <cellStyle name="Hyperlink" xfId="2877" builtinId="8" hidden="1"/>
    <cellStyle name="Hyperlink" xfId="2879" builtinId="8" hidden="1"/>
    <cellStyle name="Hyperlink" xfId="2881" builtinId="8" hidden="1"/>
    <cellStyle name="Hyperlink" xfId="2883" builtinId="8" hidden="1"/>
    <cellStyle name="Hyperlink" xfId="2885" builtinId="8" hidden="1"/>
    <cellStyle name="Hyperlink" xfId="2887" builtinId="8" hidden="1"/>
    <cellStyle name="Hyperlink" xfId="2889" builtinId="8" hidden="1"/>
    <cellStyle name="Hyperlink" xfId="2891" builtinId="8" hidden="1"/>
    <cellStyle name="Hyperlink" xfId="2893" builtinId="8" hidden="1"/>
    <cellStyle name="Hyperlink" xfId="2895" builtinId="8" hidden="1"/>
    <cellStyle name="Hyperlink" xfId="2897" builtinId="8" hidden="1"/>
    <cellStyle name="Hyperlink" xfId="2899" builtinId="8" hidden="1"/>
    <cellStyle name="Hyperlink" xfId="2901" builtinId="8" hidden="1"/>
    <cellStyle name="Hyperlink" xfId="2903" builtinId="8" hidden="1"/>
    <cellStyle name="Hyperlink" xfId="2905" builtinId="8" hidden="1"/>
    <cellStyle name="Hyperlink" xfId="2907" builtinId="8" hidden="1"/>
    <cellStyle name="Hyperlink" xfId="2909" builtinId="8" hidden="1"/>
    <cellStyle name="Hyperlink" xfId="2911" builtinId="8" hidden="1"/>
    <cellStyle name="Hyperlink" xfId="2913" builtinId="8" hidden="1"/>
    <cellStyle name="Hyperlink" xfId="2915" builtinId="8" hidden="1"/>
    <cellStyle name="Hyperlink" xfId="2917" builtinId="8" hidden="1"/>
    <cellStyle name="Hyperlink" xfId="2919" builtinId="8" hidden="1"/>
    <cellStyle name="Hyperlink" xfId="2921" builtinId="8" hidden="1"/>
    <cellStyle name="Hyperlink" xfId="2923" builtinId="8" hidden="1"/>
    <cellStyle name="Hyperlink" xfId="2925" builtinId="8" hidden="1"/>
    <cellStyle name="Hyperlink" xfId="2927" builtinId="8" hidden="1"/>
    <cellStyle name="Hyperlink" xfId="2929" builtinId="8" hidden="1"/>
    <cellStyle name="Hyperlink" xfId="2931" builtinId="8" hidden="1"/>
    <cellStyle name="Hyperlink" xfId="2933" builtinId="8" hidden="1"/>
    <cellStyle name="Hyperlink" xfId="2935" builtinId="8" hidden="1"/>
    <cellStyle name="Hyperlink" xfId="2937" builtinId="8" hidden="1"/>
    <cellStyle name="Hyperlink" xfId="2939" builtinId="8" hidden="1"/>
    <cellStyle name="Hyperlink" xfId="2941" builtinId="8" hidden="1"/>
    <cellStyle name="Hyperlink" xfId="2943" builtinId="8" hidden="1"/>
    <cellStyle name="Hyperlink" xfId="2945" builtinId="8" hidden="1"/>
    <cellStyle name="Hyperlink" xfId="2947" builtinId="8" hidden="1"/>
    <cellStyle name="Hyperlink" xfId="2949" builtinId="8" hidden="1"/>
    <cellStyle name="Hyperlink" xfId="2951" builtinId="8" hidden="1"/>
    <cellStyle name="Hyperlink" xfId="2953" builtinId="8" hidden="1"/>
    <cellStyle name="Hyperlink" xfId="2955" builtinId="8" hidden="1"/>
    <cellStyle name="Hyperlink" xfId="2957" builtinId="8" hidden="1"/>
    <cellStyle name="Hyperlink" xfId="2959" builtinId="8" hidden="1"/>
    <cellStyle name="Hyperlink" xfId="2961" builtinId="8" hidden="1"/>
    <cellStyle name="Hyperlink" xfId="2963" builtinId="8" hidden="1"/>
    <cellStyle name="Hyperlink" xfId="2965" builtinId="8" hidden="1"/>
    <cellStyle name="Hyperlink" xfId="2967" builtinId="8" hidden="1"/>
    <cellStyle name="Hyperlink" xfId="2969" builtinId="8" hidden="1"/>
    <cellStyle name="Hyperlink" xfId="2971" builtinId="8" hidden="1"/>
    <cellStyle name="Hyperlink" xfId="2973" builtinId="8" hidden="1"/>
    <cellStyle name="Hyperlink" xfId="2975" builtinId="8" hidden="1"/>
    <cellStyle name="Hyperlink" xfId="2977" builtinId="8" hidden="1"/>
    <cellStyle name="Hyperlink" xfId="2979" builtinId="8" hidden="1"/>
    <cellStyle name="Hyperlink" xfId="2981" builtinId="8" hidden="1"/>
    <cellStyle name="Hyperlink" xfId="2983" builtinId="8" hidden="1"/>
    <cellStyle name="Hyperlink" xfId="2985" builtinId="8" hidden="1"/>
    <cellStyle name="Hyperlink" xfId="2987" builtinId="8" hidden="1"/>
    <cellStyle name="Hyperlink" xfId="2989" builtinId="8" hidden="1"/>
    <cellStyle name="Hyperlink" xfId="2991" builtinId="8" hidden="1"/>
    <cellStyle name="Hyperlink" xfId="2993" builtinId="8" hidden="1"/>
    <cellStyle name="Hyperlink" xfId="2995" builtinId="8" hidden="1"/>
    <cellStyle name="Hyperlink" xfId="2997" builtinId="8" hidden="1"/>
    <cellStyle name="Hyperlink" xfId="2999" builtinId="8" hidden="1"/>
    <cellStyle name="Hyperlink" xfId="3001" builtinId="8" hidden="1"/>
    <cellStyle name="Hyperlink" xfId="3003" builtinId="8" hidden="1"/>
    <cellStyle name="Hyperlink" xfId="3005" builtinId="8" hidden="1"/>
    <cellStyle name="Hyperlink" xfId="3007" builtinId="8" hidden="1"/>
    <cellStyle name="Hyperlink" xfId="3009" builtinId="8" hidden="1"/>
    <cellStyle name="Hyperlink" xfId="3011" builtinId="8" hidden="1"/>
    <cellStyle name="Hyperlink" xfId="3013" builtinId="8" hidden="1"/>
    <cellStyle name="Hyperlink" xfId="3015" builtinId="8" hidden="1"/>
    <cellStyle name="Hyperlink" xfId="3017" builtinId="8" hidden="1"/>
    <cellStyle name="Hyperlink" xfId="3019" builtinId="8" hidden="1"/>
    <cellStyle name="Hyperlink" xfId="3021" builtinId="8" hidden="1"/>
    <cellStyle name="Hyperlink" xfId="3023" builtinId="8" hidden="1"/>
    <cellStyle name="Hyperlink" xfId="3025" builtinId="8" hidden="1"/>
    <cellStyle name="Hyperlink" xfId="3027" builtinId="8" hidden="1"/>
    <cellStyle name="Hyperlink" xfId="3029" builtinId="8" hidden="1"/>
    <cellStyle name="Hyperlink" xfId="3031" builtinId="8" hidden="1"/>
    <cellStyle name="Hyperlink" xfId="3033" builtinId="8" hidden="1"/>
    <cellStyle name="Hyperlink" xfId="3035" builtinId="8" hidden="1"/>
    <cellStyle name="Hyperlink" xfId="3037" builtinId="8" hidden="1"/>
    <cellStyle name="Hyperlink" xfId="3039" builtinId="8" hidden="1"/>
    <cellStyle name="Hyperlink" xfId="3041" builtinId="8" hidden="1"/>
    <cellStyle name="Hyperlink" xfId="3043" builtinId="8" hidden="1"/>
    <cellStyle name="Hyperlink" xfId="3045" builtinId="8" hidden="1"/>
    <cellStyle name="Hyperlink" xfId="3047" builtinId="8" hidden="1"/>
    <cellStyle name="Hyperlink" xfId="3049" builtinId="8" hidden="1"/>
    <cellStyle name="Hyperlink" xfId="3051" builtinId="8" hidden="1"/>
    <cellStyle name="Hyperlink" xfId="3053" builtinId="8" hidden="1"/>
    <cellStyle name="Hyperlink" xfId="3055" builtinId="8" hidden="1"/>
    <cellStyle name="Hyperlink" xfId="3057" builtinId="8" hidden="1"/>
    <cellStyle name="Hyperlink" xfId="3059" builtinId="8" hidden="1"/>
    <cellStyle name="Hyperlink" xfId="3061" builtinId="8" hidden="1"/>
    <cellStyle name="Hyperlink" xfId="3063" builtinId="8" hidden="1"/>
    <cellStyle name="Hyperlink" xfId="3065" builtinId="8" hidden="1"/>
    <cellStyle name="Hyperlink" xfId="3067" builtinId="8" hidden="1"/>
    <cellStyle name="Hyperlink" xfId="3069" builtinId="8" hidden="1"/>
    <cellStyle name="Hyperlink" xfId="3071" builtinId="8" hidden="1"/>
    <cellStyle name="Hyperlink" xfId="3073" builtinId="8" hidden="1"/>
    <cellStyle name="Hyperlink" xfId="3075" builtinId="8" hidden="1"/>
    <cellStyle name="Hyperlink" xfId="3077" builtinId="8" hidden="1"/>
    <cellStyle name="Hyperlink" xfId="3079" builtinId="8" hidden="1"/>
    <cellStyle name="Hyperlink" xfId="3081" builtinId="8" hidden="1"/>
    <cellStyle name="Hyperlink" xfId="3083" builtinId="8" hidden="1"/>
    <cellStyle name="Hyperlink" xfId="3085" builtinId="8" hidden="1"/>
    <cellStyle name="Hyperlink" xfId="3087" builtinId="8" hidden="1"/>
    <cellStyle name="Hyperlink" xfId="3089" builtinId="8" hidden="1"/>
    <cellStyle name="Hyperlink" xfId="3091" builtinId="8" hidden="1"/>
    <cellStyle name="Hyperlink" xfId="3093" builtinId="8" hidden="1"/>
    <cellStyle name="Hyperlink" xfId="3095" builtinId="8" hidden="1"/>
    <cellStyle name="Hyperlink" xfId="3097" builtinId="8" hidden="1"/>
    <cellStyle name="Hyperlink" xfId="3099" builtinId="8" hidden="1"/>
    <cellStyle name="Hyperlink" xfId="3101" builtinId="8" hidden="1"/>
    <cellStyle name="Hyperlink" xfId="3103" builtinId="8" hidden="1"/>
    <cellStyle name="Hyperlink" xfId="3105" builtinId="8" hidden="1"/>
    <cellStyle name="Hyperlink" xfId="3107" builtinId="8" hidden="1"/>
    <cellStyle name="Hyperlink" xfId="3109" builtinId="8" hidden="1"/>
    <cellStyle name="Hyperlink" xfId="3111" builtinId="8" hidden="1"/>
    <cellStyle name="Hyperlink" xfId="3113" builtinId="8" hidden="1"/>
    <cellStyle name="Hyperlink" xfId="3115" builtinId="8" hidden="1"/>
    <cellStyle name="Hyperlink" xfId="3117" builtinId="8" hidden="1"/>
    <cellStyle name="Hyperlink" xfId="3119" builtinId="8" hidden="1"/>
    <cellStyle name="Hyperlink" xfId="3121" builtinId="8" hidden="1"/>
    <cellStyle name="Hyperlink" xfId="3123" builtinId="8" hidden="1"/>
    <cellStyle name="Hyperlink" xfId="3125" builtinId="8" hidden="1"/>
    <cellStyle name="Hyperlink" xfId="3127" builtinId="8" hidden="1"/>
    <cellStyle name="Hyperlink" xfId="3129" builtinId="8" hidden="1"/>
    <cellStyle name="Hyperlink" xfId="3131" builtinId="8" hidden="1"/>
    <cellStyle name="Hyperlink" xfId="3133" builtinId="8" hidden="1"/>
    <cellStyle name="Hyperlink" xfId="3135" builtinId="8" hidden="1"/>
    <cellStyle name="Hyperlink" xfId="3137" builtinId="8" hidden="1"/>
    <cellStyle name="Hyperlink" xfId="3139" builtinId="8" hidden="1"/>
    <cellStyle name="Hyperlink" xfId="3141" builtinId="8" hidden="1"/>
    <cellStyle name="Hyperlink" xfId="3143" builtinId="8" hidden="1"/>
    <cellStyle name="Hyperlink" xfId="3145" builtinId="8" hidden="1"/>
    <cellStyle name="Hyperlink" xfId="3147" builtinId="8" hidden="1"/>
    <cellStyle name="Hyperlink" xfId="3149" builtinId="8" hidden="1"/>
    <cellStyle name="Hyperlink" xfId="3151" builtinId="8" hidden="1"/>
    <cellStyle name="Hyperlink" xfId="3153" builtinId="8" hidden="1"/>
    <cellStyle name="Hyperlink" xfId="3155" builtinId="8" hidden="1"/>
    <cellStyle name="Hyperlink" xfId="3157" builtinId="8" hidden="1"/>
    <cellStyle name="Hyperlink" xfId="3159" builtinId="8" hidden="1"/>
    <cellStyle name="Hyperlink" xfId="3161" builtinId="8" hidden="1"/>
    <cellStyle name="Hyperlink" xfId="3163" builtinId="8" hidden="1"/>
    <cellStyle name="Hyperlink" xfId="3165" builtinId="8" hidden="1"/>
    <cellStyle name="Hyperlink" xfId="3167" builtinId="8" hidden="1"/>
    <cellStyle name="Hyperlink" xfId="3169" builtinId="8" hidden="1"/>
    <cellStyle name="Hyperlink" xfId="3171" builtinId="8" hidden="1"/>
    <cellStyle name="Hyperlink" xfId="3173" builtinId="8" hidden="1"/>
    <cellStyle name="Hyperlink" xfId="3175" builtinId="8" hidden="1"/>
    <cellStyle name="Hyperlink" xfId="3177" builtinId="8" hidden="1"/>
    <cellStyle name="Hyperlink" xfId="3179" builtinId="8" hidden="1"/>
    <cellStyle name="Hyperlink" xfId="3181" builtinId="8" hidden="1"/>
    <cellStyle name="Hyperlink" xfId="3183" builtinId="8" hidden="1"/>
    <cellStyle name="Hyperlink" xfId="3185" builtinId="8" hidden="1"/>
    <cellStyle name="Hyperlink" xfId="3187" builtinId="8" hidden="1"/>
    <cellStyle name="Hyperlink" xfId="3189" builtinId="8" hidden="1"/>
    <cellStyle name="Hyperlink" xfId="3191" builtinId="8" hidden="1"/>
    <cellStyle name="Hyperlink" xfId="3193" builtinId="8" hidden="1"/>
    <cellStyle name="Hyperlink" xfId="3195" builtinId="8" hidden="1"/>
    <cellStyle name="Hyperlink" xfId="3197" builtinId="8" hidden="1"/>
    <cellStyle name="Hyperlink" xfId="3199" builtinId="8" hidden="1"/>
    <cellStyle name="Hyperlink" xfId="3201" builtinId="8" hidden="1"/>
    <cellStyle name="Hyperlink" xfId="3203" builtinId="8" hidden="1"/>
    <cellStyle name="Hyperlink" xfId="3205" builtinId="8" hidden="1"/>
    <cellStyle name="Hyperlink" xfId="3207" builtinId="8" hidden="1"/>
    <cellStyle name="Hyperlink" xfId="3209" builtinId="8" hidden="1"/>
    <cellStyle name="Hyperlink" xfId="3211" builtinId="8" hidden="1"/>
    <cellStyle name="Hyperlink" xfId="3213" builtinId="8" hidden="1"/>
    <cellStyle name="Hyperlink" xfId="3215" builtinId="8" hidden="1"/>
    <cellStyle name="Hyperlink" xfId="3217" builtinId="8" hidden="1"/>
    <cellStyle name="Hyperlink" xfId="3219" builtinId="8" hidden="1"/>
    <cellStyle name="Hyperlink" xfId="3221" builtinId="8" hidden="1"/>
    <cellStyle name="Hyperlink" xfId="3223" builtinId="8" hidden="1"/>
    <cellStyle name="Hyperlink" xfId="3225" builtinId="8" hidden="1"/>
    <cellStyle name="Hyperlink" xfId="3227" builtinId="8" hidden="1"/>
    <cellStyle name="Hyperlink" xfId="3229" builtinId="8" hidden="1"/>
    <cellStyle name="Hyperlink" xfId="3231" builtinId="8" hidden="1"/>
    <cellStyle name="Hyperlink" xfId="3233" builtinId="8" hidden="1"/>
    <cellStyle name="Hyperlink" xfId="3235" builtinId="8" hidden="1"/>
    <cellStyle name="Hyperlink" xfId="3237" builtinId="8" hidden="1"/>
    <cellStyle name="Hyperlink" xfId="3239" builtinId="8" hidden="1"/>
    <cellStyle name="Hyperlink" xfId="3241" builtinId="8" hidden="1"/>
    <cellStyle name="Hyperlink" xfId="3243" builtinId="8" hidden="1"/>
    <cellStyle name="Hyperlink" xfId="3245" builtinId="8" hidden="1"/>
    <cellStyle name="Hyperlink" xfId="3247" builtinId="8" hidden="1"/>
    <cellStyle name="Hyperlink" xfId="3249" builtinId="8" hidden="1"/>
    <cellStyle name="Hyperlink" xfId="3251" builtinId="8" hidden="1"/>
    <cellStyle name="Hyperlink" xfId="3253" builtinId="8" hidden="1"/>
    <cellStyle name="Hyperlink" xfId="3255" builtinId="8" hidden="1"/>
    <cellStyle name="Hyperlink" xfId="3257" builtinId="8" hidden="1"/>
    <cellStyle name="Hyperlink" xfId="3259" builtinId="8" hidden="1"/>
    <cellStyle name="Hyperlink" xfId="3261" builtinId="8" hidden="1"/>
    <cellStyle name="Hyperlink" xfId="3263" builtinId="8" hidden="1"/>
    <cellStyle name="Hyperlink" xfId="3265" builtinId="8" hidden="1"/>
    <cellStyle name="Hyperlink" xfId="3267" builtinId="8" hidden="1"/>
    <cellStyle name="Hyperlink" xfId="3269" builtinId="8" hidden="1"/>
    <cellStyle name="Hyperlink" xfId="3271" builtinId="8" hidden="1"/>
    <cellStyle name="Hyperlink" xfId="3273" builtinId="8" hidden="1"/>
    <cellStyle name="Hyperlink" xfId="3275" builtinId="8" hidden="1"/>
    <cellStyle name="Hyperlink" xfId="3277" builtinId="8" hidden="1"/>
    <cellStyle name="Hyperlink" xfId="3279" builtinId="8" hidden="1"/>
    <cellStyle name="Hyperlink" xfId="3281" builtinId="8" hidden="1"/>
    <cellStyle name="Hyperlink" xfId="3283" builtinId="8" hidden="1"/>
    <cellStyle name="Hyperlink" xfId="3285" builtinId="8" hidden="1"/>
    <cellStyle name="Hyperlink" xfId="3287" builtinId="8" hidden="1"/>
    <cellStyle name="Hyperlink" xfId="3289" builtinId="8" hidden="1"/>
    <cellStyle name="Hyperlink" xfId="3291" builtinId="8" hidden="1"/>
    <cellStyle name="Hyperlink" xfId="3293" builtinId="8" hidden="1"/>
    <cellStyle name="Hyperlink" xfId="3295" builtinId="8" hidden="1"/>
    <cellStyle name="Hyperlink" xfId="3297" builtinId="8" hidden="1"/>
    <cellStyle name="Hyperlink" xfId="3299" builtinId="8" hidden="1"/>
    <cellStyle name="Hyperlink" xfId="3301" builtinId="8" hidden="1"/>
    <cellStyle name="Hyperlink" xfId="3303" builtinId="8" hidden="1"/>
    <cellStyle name="Hyperlink" xfId="3305" builtinId="8" hidden="1"/>
    <cellStyle name="Hyperlink" xfId="3307" builtinId="8" hidden="1"/>
    <cellStyle name="Hyperlink" xfId="3309" builtinId="8" hidden="1"/>
    <cellStyle name="Hyperlink" xfId="3311" builtinId="8" hidden="1"/>
    <cellStyle name="Hyperlink" xfId="3313" builtinId="8" hidden="1"/>
    <cellStyle name="Hyperlink" xfId="3315" builtinId="8" hidden="1"/>
    <cellStyle name="Hyperlink" xfId="3317" builtinId="8" hidden="1"/>
    <cellStyle name="Hyperlink" xfId="3319" builtinId="8" hidden="1"/>
    <cellStyle name="Hyperlink" xfId="3321" builtinId="8" hidden="1"/>
    <cellStyle name="Hyperlink" xfId="3323" builtinId="8" hidden="1"/>
    <cellStyle name="Hyperlink" xfId="3325" builtinId="8" hidden="1"/>
    <cellStyle name="Hyperlink" xfId="3327" builtinId="8" hidden="1"/>
    <cellStyle name="Hyperlink" xfId="3329" builtinId="8" hidden="1"/>
    <cellStyle name="Hyperlink" xfId="3331" builtinId="8" hidden="1"/>
    <cellStyle name="Hyperlink" xfId="3333" builtinId="8" hidden="1"/>
    <cellStyle name="Hyperlink" xfId="3335" builtinId="8" hidden="1"/>
    <cellStyle name="Hyperlink" xfId="3337" builtinId="8" hidden="1"/>
    <cellStyle name="Hyperlink" xfId="3339" builtinId="8" hidden="1"/>
    <cellStyle name="Hyperlink" xfId="3341" builtinId="8" hidden="1"/>
    <cellStyle name="Hyperlink" xfId="3343" builtinId="8" hidden="1"/>
    <cellStyle name="Hyperlink" xfId="3345" builtinId="8" hidden="1"/>
    <cellStyle name="Hyperlink" xfId="3347" builtinId="8" hidden="1"/>
    <cellStyle name="Hyperlink" xfId="3349" builtinId="8" hidden="1"/>
    <cellStyle name="Hyperlink" xfId="3351" builtinId="8" hidden="1"/>
    <cellStyle name="Hyperlink" xfId="3353" builtinId="8" hidden="1"/>
    <cellStyle name="Hyperlink" xfId="3355" builtinId="8" hidden="1"/>
    <cellStyle name="Hyperlink" xfId="3357" builtinId="8" hidden="1"/>
    <cellStyle name="Hyperlink" xfId="3359" builtinId="8" hidden="1"/>
    <cellStyle name="Hyperlink" xfId="3361" builtinId="8" hidden="1"/>
    <cellStyle name="Hyperlink" xfId="3363" builtinId="8" hidden="1"/>
    <cellStyle name="Hyperlink" xfId="3365" builtinId="8" hidden="1"/>
    <cellStyle name="Hyperlink" xfId="3367" builtinId="8" hidden="1"/>
    <cellStyle name="Hyperlink" xfId="3369" builtinId="8" hidden="1"/>
    <cellStyle name="Hyperlink" xfId="3371" builtinId="8" hidden="1"/>
    <cellStyle name="Hyperlink" xfId="3373" builtinId="8" hidden="1"/>
    <cellStyle name="Hyperlink" xfId="3375" builtinId="8" hidden="1"/>
    <cellStyle name="Hyperlink" xfId="3377" builtinId="8" hidden="1"/>
    <cellStyle name="Hyperlink" xfId="3379" builtinId="8" hidden="1"/>
    <cellStyle name="Hyperlink" xfId="3381" builtinId="8" hidden="1"/>
    <cellStyle name="Hyperlink" xfId="3383" builtinId="8" hidden="1"/>
    <cellStyle name="Hyperlink" xfId="3385" builtinId="8" hidden="1"/>
    <cellStyle name="Hyperlink" xfId="3387" builtinId="8" hidden="1"/>
    <cellStyle name="Hyperlink" xfId="3389" builtinId="8" hidden="1"/>
    <cellStyle name="Hyperlink" xfId="3391" builtinId="8" hidden="1"/>
    <cellStyle name="Hyperlink" xfId="3393" builtinId="8" hidden="1"/>
    <cellStyle name="Hyperlink" xfId="3395" builtinId="8" hidden="1"/>
    <cellStyle name="Hyperlink" xfId="3397" builtinId="8" hidden="1"/>
    <cellStyle name="Hyperlink" xfId="3399" builtinId="8" hidden="1"/>
    <cellStyle name="Hyperlink" xfId="3401" builtinId="8" hidden="1"/>
    <cellStyle name="Hyperlink" xfId="3403" builtinId="8" hidden="1"/>
    <cellStyle name="Hyperlink" xfId="3405" builtinId="8" hidden="1"/>
    <cellStyle name="Hyperlink" xfId="3407" builtinId="8" hidden="1"/>
    <cellStyle name="Hyperlink" xfId="3409" builtinId="8" hidden="1"/>
    <cellStyle name="Hyperlink" xfId="3411" builtinId="8" hidden="1"/>
    <cellStyle name="Hyperlink" xfId="3413" builtinId="8" hidden="1"/>
    <cellStyle name="Hyperlink" xfId="3415" builtinId="8" hidden="1"/>
    <cellStyle name="Hyperlink" xfId="3417" builtinId="8" hidden="1"/>
    <cellStyle name="Hyperlink" xfId="3419" builtinId="8" hidden="1"/>
    <cellStyle name="Hyperlink" xfId="3421" builtinId="8" hidden="1"/>
    <cellStyle name="Hyperlink" xfId="3423" builtinId="8" hidden="1"/>
    <cellStyle name="Hyperlink" xfId="3425" builtinId="8" hidden="1"/>
    <cellStyle name="Hyperlink" xfId="3427" builtinId="8" hidden="1"/>
    <cellStyle name="Hyperlink" xfId="3429" builtinId="8" hidden="1"/>
    <cellStyle name="Hyperlink" xfId="3431" builtinId="8" hidden="1"/>
    <cellStyle name="Hyperlink" xfId="3433" builtinId="8" hidden="1"/>
    <cellStyle name="Hyperlink" xfId="3435" builtinId="8" hidden="1"/>
    <cellStyle name="Hyperlink" xfId="3437" builtinId="8" hidden="1"/>
    <cellStyle name="Hyperlink" xfId="3439" builtinId="8" hidden="1"/>
    <cellStyle name="Hyperlink" xfId="3441" builtinId="8" hidden="1"/>
    <cellStyle name="Hyperlink" xfId="3443" builtinId="8" hidden="1"/>
    <cellStyle name="Hyperlink" xfId="3445" builtinId="8" hidden="1"/>
    <cellStyle name="Hyperlink" xfId="3447" builtinId="8" hidden="1"/>
    <cellStyle name="Hyperlink" xfId="3449" builtinId="8" hidden="1"/>
    <cellStyle name="Hyperlink" xfId="3451" builtinId="8" hidden="1"/>
    <cellStyle name="Hyperlink" xfId="3453" builtinId="8" hidden="1"/>
    <cellStyle name="Hyperlink" xfId="3455" builtinId="8" hidden="1"/>
    <cellStyle name="Hyperlink" xfId="3457" builtinId="8" hidden="1"/>
    <cellStyle name="Hyperlink" xfId="3459" builtinId="8" hidden="1"/>
    <cellStyle name="Hyperlink" xfId="3461" builtinId="8" hidden="1"/>
    <cellStyle name="Hyperlink" xfId="3463" builtinId="8" hidden="1"/>
    <cellStyle name="Hyperlink" xfId="3465" builtinId="8" hidden="1"/>
    <cellStyle name="Hyperlink" xfId="3467" builtinId="8" hidden="1"/>
    <cellStyle name="Hyperlink" xfId="3469" builtinId="8" hidden="1"/>
    <cellStyle name="Hyperlink" xfId="3471" builtinId="8" hidden="1"/>
    <cellStyle name="Hyperlink" xfId="3473" builtinId="8" hidden="1"/>
    <cellStyle name="Hyperlink" xfId="3475" builtinId="8" hidden="1"/>
    <cellStyle name="Hyperlink" xfId="3477" builtinId="8" hidden="1"/>
    <cellStyle name="Hyperlink" xfId="3479" builtinId="8" hidden="1"/>
    <cellStyle name="Hyperlink" xfId="3481" builtinId="8" hidden="1"/>
    <cellStyle name="Hyperlink" xfId="3483" builtinId="8" hidden="1"/>
    <cellStyle name="Hyperlink" xfId="3485" builtinId="8" hidden="1"/>
    <cellStyle name="Hyperlink" xfId="3487" builtinId="8" hidden="1"/>
    <cellStyle name="Hyperlink" xfId="3489" builtinId="8" hidden="1"/>
    <cellStyle name="Hyperlink" xfId="3491" builtinId="8" hidden="1"/>
    <cellStyle name="Hyperlink" xfId="3493" builtinId="8" hidden="1"/>
    <cellStyle name="Hyperlink" xfId="3495" builtinId="8" hidden="1"/>
    <cellStyle name="Hyperlink" xfId="3497" builtinId="8" hidden="1"/>
    <cellStyle name="Hyperlink" xfId="3499" builtinId="8" hidden="1"/>
    <cellStyle name="Hyperlink" xfId="3501" builtinId="8" hidden="1"/>
    <cellStyle name="Hyperlink" xfId="3503" builtinId="8" hidden="1"/>
    <cellStyle name="Hyperlink" xfId="3505" builtinId="8" hidden="1"/>
    <cellStyle name="Hyperlink" xfId="3507" builtinId="8" hidden="1"/>
    <cellStyle name="Hyperlink" xfId="3509" builtinId="8" hidden="1"/>
    <cellStyle name="Hyperlink" xfId="3511" builtinId="8" hidden="1"/>
    <cellStyle name="Hyperlink" xfId="3513" builtinId="8" hidden="1"/>
    <cellStyle name="Hyperlink" xfId="3515" builtinId="8" hidden="1"/>
    <cellStyle name="Hyperlink" xfId="3517" builtinId="8" hidden="1"/>
    <cellStyle name="Hyperlink" xfId="3519" builtinId="8" hidden="1"/>
    <cellStyle name="Hyperlink" xfId="3521" builtinId="8" hidden="1"/>
    <cellStyle name="Hyperlink" xfId="3523" builtinId="8" hidden="1"/>
    <cellStyle name="Hyperlink" xfId="3525" builtinId="8" hidden="1"/>
    <cellStyle name="Hyperlink" xfId="3527" builtinId="8" hidden="1"/>
    <cellStyle name="Hyperlink" xfId="3529" builtinId="8" hidden="1"/>
    <cellStyle name="Hyperlink" xfId="3531" builtinId="8" hidden="1"/>
    <cellStyle name="Hyperlink" xfId="3533" builtinId="8" hidden="1"/>
    <cellStyle name="Hyperlink" xfId="3535" builtinId="8" hidden="1"/>
    <cellStyle name="Hyperlink" xfId="3537" builtinId="8" hidden="1"/>
    <cellStyle name="Hyperlink" xfId="3539" builtinId="8" hidden="1"/>
    <cellStyle name="Hyperlink" xfId="3541" builtinId="8" hidden="1"/>
    <cellStyle name="Hyperlink" xfId="3543" builtinId="8" hidden="1"/>
    <cellStyle name="Hyperlink" xfId="3545" builtinId="8" hidden="1"/>
    <cellStyle name="Hyperlink" xfId="3547" builtinId="8" hidden="1"/>
    <cellStyle name="Hyperlink" xfId="3549" builtinId="8" hidden="1"/>
    <cellStyle name="Hyperlink" xfId="3551" builtinId="8" hidden="1"/>
    <cellStyle name="Hyperlink" xfId="3553" builtinId="8" hidden="1"/>
    <cellStyle name="Hyperlink" xfId="3555" builtinId="8" hidden="1"/>
    <cellStyle name="Hyperlink" xfId="3557" builtinId="8" hidden="1"/>
    <cellStyle name="Hyperlink" xfId="3559" builtinId="8" hidden="1"/>
    <cellStyle name="Hyperlink" xfId="3561" builtinId="8" hidden="1"/>
    <cellStyle name="Hyperlink" xfId="3563" builtinId="8" hidden="1"/>
    <cellStyle name="Hyperlink" xfId="3565" builtinId="8" hidden="1"/>
    <cellStyle name="Hyperlink" xfId="3567" builtinId="8" hidden="1"/>
    <cellStyle name="Hyperlink" xfId="3569" builtinId="8" hidden="1"/>
    <cellStyle name="Hyperlink" xfId="3571" builtinId="8" hidden="1"/>
    <cellStyle name="Hyperlink" xfId="3573" builtinId="8" hidden="1"/>
    <cellStyle name="Hyperlink" xfId="3575" builtinId="8" hidden="1"/>
    <cellStyle name="Hyperlink" xfId="3577" builtinId="8" hidden="1"/>
    <cellStyle name="Hyperlink" xfId="3579" builtinId="8" hidden="1"/>
    <cellStyle name="Hyperlink" xfId="3581" builtinId="8" hidden="1"/>
    <cellStyle name="Hyperlink" xfId="3583" builtinId="8" hidden="1"/>
    <cellStyle name="Hyperlink" xfId="3585" builtinId="8" hidden="1"/>
    <cellStyle name="Hyperlink" xfId="3587" builtinId="8" hidden="1"/>
    <cellStyle name="Hyperlink" xfId="3589" builtinId="8" hidden="1"/>
    <cellStyle name="Hyperlink" xfId="3591" builtinId="8" hidden="1"/>
    <cellStyle name="Hyperlink" xfId="3593" builtinId="8" hidden="1"/>
    <cellStyle name="Hyperlink" xfId="3595" builtinId="8" hidden="1"/>
    <cellStyle name="Hyperlink" xfId="3597" builtinId="8" hidden="1"/>
    <cellStyle name="Hyperlink" xfId="3599" builtinId="8" hidden="1"/>
    <cellStyle name="Hyperlink" xfId="3601" builtinId="8" hidden="1"/>
    <cellStyle name="Hyperlink" xfId="3603" builtinId="8" hidden="1"/>
    <cellStyle name="Hyperlink" xfId="3605" builtinId="8" hidden="1"/>
    <cellStyle name="Hyperlink" xfId="3607" builtinId="8" hidden="1"/>
    <cellStyle name="Hyperlink" xfId="3609" builtinId="8" hidden="1"/>
    <cellStyle name="Hyperlink" xfId="3611" builtinId="8" hidden="1"/>
    <cellStyle name="Hyperlink" xfId="3613" builtinId="8" hidden="1"/>
    <cellStyle name="Hyperlink" xfId="3615" builtinId="8" hidden="1"/>
    <cellStyle name="Hyperlink" xfId="3617" builtinId="8" hidden="1"/>
    <cellStyle name="Hyperlink" xfId="3619" builtinId="8" hidden="1"/>
    <cellStyle name="Hyperlink" xfId="3621" builtinId="8" hidden="1"/>
    <cellStyle name="Hyperlink" xfId="3623" builtinId="8" hidden="1"/>
    <cellStyle name="Hyperlink" xfId="3625" builtinId="8" hidden="1"/>
    <cellStyle name="Hyperlink" xfId="3627" builtinId="8" hidden="1"/>
    <cellStyle name="Hyperlink" xfId="3629" builtinId="8" hidden="1"/>
    <cellStyle name="Hyperlink" xfId="3631" builtinId="8" hidden="1"/>
    <cellStyle name="Hyperlink" xfId="3633" builtinId="8" hidden="1"/>
    <cellStyle name="Hyperlink" xfId="3635" builtinId="8" hidden="1"/>
    <cellStyle name="Hyperlink" xfId="3637" builtinId="8" hidden="1"/>
    <cellStyle name="Hyperlink" xfId="3639" builtinId="8" hidden="1"/>
    <cellStyle name="Hyperlink" xfId="3641" builtinId="8" hidden="1"/>
    <cellStyle name="Hyperlink" xfId="3643" builtinId="8" hidden="1"/>
    <cellStyle name="Hyperlink" xfId="3645" builtinId="8" hidden="1"/>
    <cellStyle name="Hyperlink" xfId="3647" builtinId="8" hidden="1"/>
    <cellStyle name="Hyperlink" xfId="3649" builtinId="8" hidden="1"/>
    <cellStyle name="Hyperlink" xfId="3651" builtinId="8" hidden="1"/>
    <cellStyle name="Hyperlink" xfId="3653" builtinId="8" hidden="1"/>
    <cellStyle name="Hyperlink" xfId="3655" builtinId="8" hidden="1"/>
    <cellStyle name="Hyperlink" xfId="3657" builtinId="8" hidden="1"/>
    <cellStyle name="Hyperlink" xfId="3659" builtinId="8" hidden="1"/>
    <cellStyle name="Hyperlink" xfId="3661" builtinId="8" hidden="1"/>
    <cellStyle name="Hyperlink" xfId="3663" builtinId="8" hidden="1"/>
    <cellStyle name="Hyperlink" xfId="3665" builtinId="8" hidden="1"/>
    <cellStyle name="Hyperlink" xfId="3667" builtinId="8" hidden="1"/>
    <cellStyle name="Hyperlink" xfId="3669" builtinId="8" hidden="1"/>
    <cellStyle name="Hyperlink" xfId="3671" builtinId="8" hidden="1"/>
    <cellStyle name="Hyperlink" xfId="3673" builtinId="8" hidden="1"/>
    <cellStyle name="Hyperlink" xfId="3675" builtinId="8" hidden="1"/>
    <cellStyle name="Hyperlink" xfId="3677" builtinId="8" hidden="1"/>
    <cellStyle name="Hyperlink" xfId="3679" builtinId="8" hidden="1"/>
    <cellStyle name="Hyperlink" xfId="3681" builtinId="8" hidden="1"/>
    <cellStyle name="Hyperlink" xfId="3683" builtinId="8" hidden="1"/>
    <cellStyle name="Hyperlink" xfId="3685" builtinId="8" hidden="1"/>
    <cellStyle name="Hyperlink" xfId="3687" builtinId="8" hidden="1"/>
    <cellStyle name="Hyperlink" xfId="3689" builtinId="8" hidden="1"/>
    <cellStyle name="Hyperlink" xfId="3691" builtinId="8" hidden="1"/>
    <cellStyle name="Hyperlink" xfId="3693" builtinId="8" hidden="1"/>
    <cellStyle name="Hyperlink" xfId="3695" builtinId="8" hidden="1"/>
    <cellStyle name="Hyperlink" xfId="3697" builtinId="8" hidden="1"/>
    <cellStyle name="Hyperlink" xfId="3699" builtinId="8" hidden="1"/>
    <cellStyle name="Hyperlink" xfId="3701" builtinId="8" hidden="1"/>
    <cellStyle name="Hyperlink" xfId="3703" builtinId="8" hidden="1"/>
    <cellStyle name="Hyperlink" xfId="3705" builtinId="8" hidden="1"/>
    <cellStyle name="Hyperlink" xfId="3707" builtinId="8" hidden="1"/>
    <cellStyle name="Hyperlink" xfId="3709" builtinId="8" hidden="1"/>
    <cellStyle name="Hyperlink" xfId="3711" builtinId="8" hidden="1"/>
    <cellStyle name="Hyperlink" xfId="3713" builtinId="8" hidden="1"/>
    <cellStyle name="Hyperlink" xfId="3715" builtinId="8" hidden="1"/>
    <cellStyle name="Hyperlink" xfId="3717" builtinId="8" hidden="1"/>
    <cellStyle name="Hyperlink" xfId="3719" builtinId="8" hidden="1"/>
    <cellStyle name="Hyperlink" xfId="3721" builtinId="8" hidden="1"/>
    <cellStyle name="Hyperlink" xfId="3723" builtinId="8" hidden="1"/>
    <cellStyle name="Hyperlink" xfId="3725" builtinId="8" hidden="1"/>
    <cellStyle name="Hyperlink" xfId="3727" builtinId="8" hidden="1"/>
    <cellStyle name="Hyperlink" xfId="3729" builtinId="8" hidden="1"/>
    <cellStyle name="Hyperlink" xfId="3731" builtinId="8" hidden="1"/>
    <cellStyle name="Hyperlink" xfId="3733" builtinId="8" hidden="1"/>
    <cellStyle name="Hyperlink" xfId="3735" builtinId="8" hidden="1"/>
    <cellStyle name="Hyperlink" xfId="3737" builtinId="8" hidden="1"/>
    <cellStyle name="Hyperlink" xfId="3739" builtinId="8" hidden="1"/>
    <cellStyle name="Hyperlink" xfId="3741" builtinId="8" hidden="1"/>
    <cellStyle name="Hyperlink" xfId="3743" builtinId="8" hidden="1"/>
    <cellStyle name="Hyperlink" xfId="3745" builtinId="8" hidden="1"/>
    <cellStyle name="Hyperlink" xfId="3747" builtinId="8" hidden="1"/>
    <cellStyle name="Hyperlink" xfId="3749" builtinId="8" hidden="1"/>
    <cellStyle name="Hyperlink" xfId="3751" builtinId="8" hidden="1"/>
    <cellStyle name="Hyperlink" xfId="3753" builtinId="8" hidden="1"/>
    <cellStyle name="Hyperlink" xfId="3755" builtinId="8" hidden="1"/>
    <cellStyle name="Hyperlink" xfId="3757" builtinId="8" hidden="1"/>
    <cellStyle name="Hyperlink" xfId="3759" builtinId="8" hidden="1"/>
    <cellStyle name="Hyperlink" xfId="3761" builtinId="8" hidden="1"/>
    <cellStyle name="Hyperlink" xfId="3763" builtinId="8" hidden="1"/>
    <cellStyle name="Hyperlink" xfId="3765" builtinId="8" hidden="1"/>
    <cellStyle name="Hyperlink" xfId="3767" builtinId="8" hidden="1"/>
    <cellStyle name="Hyperlink" xfId="3769" builtinId="8" hidden="1"/>
    <cellStyle name="Hyperlink" xfId="3771" builtinId="8" hidden="1"/>
    <cellStyle name="Hyperlink" xfId="3773" builtinId="8" hidden="1"/>
    <cellStyle name="Hyperlink" xfId="3775" builtinId="8" hidden="1"/>
    <cellStyle name="Hyperlink" xfId="3777" builtinId="8" hidden="1"/>
    <cellStyle name="Hyperlink" xfId="3779" builtinId="8" hidden="1"/>
    <cellStyle name="Hyperlink" xfId="3781" builtinId="8" hidden="1"/>
    <cellStyle name="Hyperlink" xfId="3783" builtinId="8" hidden="1"/>
    <cellStyle name="Hyperlink" xfId="3785" builtinId="8" hidden="1"/>
    <cellStyle name="Hyperlink" xfId="3787" builtinId="8" hidden="1"/>
    <cellStyle name="Hyperlink" xfId="3789" builtinId="8" hidden="1"/>
    <cellStyle name="Hyperlink" xfId="3791" builtinId="8" hidden="1"/>
    <cellStyle name="Hyperlink" xfId="3793" builtinId="8" hidden="1"/>
    <cellStyle name="Hyperlink" xfId="3795" builtinId="8" hidden="1"/>
    <cellStyle name="Hyperlink" xfId="3797" builtinId="8" hidden="1"/>
    <cellStyle name="Hyperlink" xfId="3799" builtinId="8" hidden="1"/>
    <cellStyle name="Hyperlink" xfId="3801" builtinId="8" hidden="1"/>
    <cellStyle name="Hyperlink" xfId="3803" builtinId="8" hidden="1"/>
    <cellStyle name="Hyperlink" xfId="3805" builtinId="8" hidden="1"/>
    <cellStyle name="Hyperlink" xfId="3807" builtinId="8" hidden="1"/>
    <cellStyle name="Hyperlink" xfId="3809" builtinId="8" hidden="1"/>
    <cellStyle name="Hyperlink" xfId="3811" builtinId="8" hidden="1"/>
    <cellStyle name="Hyperlink" xfId="3813" builtinId="8" hidden="1"/>
    <cellStyle name="Hyperlink" xfId="3815" builtinId="8" hidden="1"/>
    <cellStyle name="Hyperlink" xfId="3817" builtinId="8" hidden="1"/>
    <cellStyle name="Hyperlink" xfId="3819" builtinId="8" hidden="1"/>
    <cellStyle name="Hyperlink" xfId="3821" builtinId="8" hidden="1"/>
    <cellStyle name="Hyperlink" xfId="3823" builtinId="8" hidden="1"/>
    <cellStyle name="Hyperlink" xfId="3825" builtinId="8" hidden="1"/>
    <cellStyle name="Hyperlink" xfId="3827" builtinId="8" hidden="1"/>
    <cellStyle name="Hyperlink" xfId="3829" builtinId="8" hidden="1"/>
    <cellStyle name="Hyperlink" xfId="3831" builtinId="8" hidden="1"/>
    <cellStyle name="Hyperlink" xfId="3833" builtinId="8" hidden="1"/>
    <cellStyle name="Hyperlink" xfId="3835" builtinId="8" hidden="1"/>
    <cellStyle name="Hyperlink" xfId="3837" builtinId="8" hidden="1"/>
    <cellStyle name="Hyperlink" xfId="3839" builtinId="8" hidden="1"/>
    <cellStyle name="Hyperlink" xfId="3841" builtinId="8" hidden="1"/>
    <cellStyle name="Hyperlink" xfId="3843" builtinId="8" hidden="1"/>
    <cellStyle name="Hyperlink" xfId="3845" builtinId="8" hidden="1"/>
    <cellStyle name="Hyperlink" xfId="3847" builtinId="8" hidden="1"/>
    <cellStyle name="Hyperlink" xfId="3849" builtinId="8" hidden="1"/>
    <cellStyle name="Hyperlink" xfId="3851" builtinId="8" hidden="1"/>
    <cellStyle name="Hyperlink" xfId="3853" builtinId="8" hidden="1"/>
    <cellStyle name="Hyperlink" xfId="3855" builtinId="8" hidden="1"/>
    <cellStyle name="Hyperlink" xfId="3857" builtinId="8" hidden="1"/>
    <cellStyle name="Hyperlink" xfId="3859" builtinId="8" hidden="1"/>
    <cellStyle name="Hyperlink" xfId="3861" builtinId="8" hidden="1"/>
    <cellStyle name="Hyperlink" xfId="3863" builtinId="8" hidden="1"/>
    <cellStyle name="Hyperlink" xfId="3865" builtinId="8" hidden="1"/>
    <cellStyle name="Hyperlink" xfId="3867" builtinId="8" hidden="1"/>
    <cellStyle name="Hyperlink" xfId="3869" builtinId="8" hidden="1"/>
    <cellStyle name="Hyperlink" xfId="3871" builtinId="8" hidden="1"/>
    <cellStyle name="Hyperlink" xfId="3873" builtinId="8" hidden="1"/>
    <cellStyle name="Hyperlink" xfId="3875" builtinId="8" hidden="1"/>
    <cellStyle name="Hyperlink" xfId="3877" builtinId="8" hidden="1"/>
    <cellStyle name="Hyperlink" xfId="3879" builtinId="8" hidden="1"/>
    <cellStyle name="Hyperlink" xfId="3881" builtinId="8" hidden="1"/>
    <cellStyle name="Hyperlink" xfId="3883" builtinId="8" hidden="1"/>
    <cellStyle name="Hyperlink" xfId="3885" builtinId="8" hidden="1"/>
    <cellStyle name="Hyperlink" xfId="3887" builtinId="8" hidden="1"/>
    <cellStyle name="Hyperlink" xfId="3889" builtinId="8" hidden="1"/>
    <cellStyle name="Hyperlink" xfId="3891" builtinId="8" hidden="1"/>
    <cellStyle name="Hyperlink" xfId="3893" builtinId="8" hidden="1"/>
    <cellStyle name="Hyperlink" xfId="3895" builtinId="8" hidden="1"/>
    <cellStyle name="Hyperlink" xfId="3897" builtinId="8" hidden="1"/>
    <cellStyle name="Hyperlink" xfId="3899" builtinId="8" hidden="1"/>
    <cellStyle name="Hyperlink" xfId="3901" builtinId="8" hidden="1"/>
    <cellStyle name="Hyperlink" xfId="3903" builtinId="8" hidden="1"/>
    <cellStyle name="Hyperlink" xfId="3905" builtinId="8" hidden="1"/>
    <cellStyle name="Hyperlink" xfId="3907" builtinId="8" hidden="1"/>
    <cellStyle name="Hyperlink" xfId="3909" builtinId="8" hidden="1"/>
    <cellStyle name="Hyperlink" xfId="3911" builtinId="8" hidden="1"/>
    <cellStyle name="Hyperlink" xfId="3913" builtinId="8" hidden="1"/>
    <cellStyle name="Hyperlink" xfId="3915" builtinId="8" hidden="1"/>
    <cellStyle name="Hyperlink" xfId="3917" builtinId="8" hidden="1"/>
    <cellStyle name="Hyperlink" xfId="3919" builtinId="8" hidden="1"/>
    <cellStyle name="Hyperlink" xfId="3921" builtinId="8" hidden="1"/>
    <cellStyle name="Hyperlink" xfId="3923" builtinId="8" hidden="1"/>
    <cellStyle name="Hyperlink" xfId="3925" builtinId="8" hidden="1"/>
    <cellStyle name="Hyperlink" xfId="3927" builtinId="8" hidden="1"/>
    <cellStyle name="Hyperlink" xfId="3929" builtinId="8" hidden="1"/>
    <cellStyle name="Hyperlink" xfId="3931" builtinId="8" hidden="1"/>
    <cellStyle name="Hyperlink" xfId="3933" builtinId="8" hidden="1"/>
    <cellStyle name="Hyperlink" xfId="3935" builtinId="8" hidden="1"/>
    <cellStyle name="Hyperlink" xfId="3937" builtinId="8" hidden="1"/>
    <cellStyle name="Hyperlink" xfId="3939" builtinId="8" hidden="1"/>
    <cellStyle name="Hyperlink" xfId="3941" builtinId="8" hidden="1"/>
    <cellStyle name="Hyperlink" xfId="3943" builtinId="8" hidden="1"/>
    <cellStyle name="Hyperlink" xfId="3945" builtinId="8" hidden="1"/>
    <cellStyle name="Hyperlink" xfId="3947" builtinId="8" hidden="1"/>
    <cellStyle name="Hyperlink" xfId="3949" builtinId="8" hidden="1"/>
    <cellStyle name="Hyperlink" xfId="3951" builtinId="8" hidden="1"/>
    <cellStyle name="Hyperlink" xfId="3953" builtinId="8" hidden="1"/>
    <cellStyle name="Hyperlink" xfId="3955" builtinId="8" hidden="1"/>
    <cellStyle name="Hyperlink" xfId="3957" builtinId="8" hidden="1"/>
    <cellStyle name="Hyperlink" xfId="3959" builtinId="8" hidden="1"/>
    <cellStyle name="Hyperlink" xfId="3961" builtinId="8" hidden="1"/>
    <cellStyle name="Hyperlink" xfId="3963" builtinId="8" hidden="1"/>
    <cellStyle name="Hyperlink" xfId="3965" builtinId="8" hidden="1"/>
    <cellStyle name="Hyperlink" xfId="3967" builtinId="8" hidden="1"/>
    <cellStyle name="Hyperlink" xfId="3969" builtinId="8" hidden="1"/>
    <cellStyle name="Hyperlink" xfId="3971" builtinId="8" hidden="1"/>
    <cellStyle name="Hyperlink" xfId="3973" builtinId="8" hidden="1"/>
    <cellStyle name="Hyperlink" xfId="3975" builtinId="8" hidden="1"/>
    <cellStyle name="Hyperlink" xfId="3977" builtinId="8" hidden="1"/>
    <cellStyle name="Hyperlink" xfId="3979" builtinId="8" hidden="1"/>
    <cellStyle name="Hyperlink" xfId="3981" builtinId="8" hidden="1"/>
    <cellStyle name="Hyperlink" xfId="3983" builtinId="8" hidden="1"/>
    <cellStyle name="Hyperlink" xfId="3985" builtinId="8" hidden="1"/>
    <cellStyle name="Hyperlink" xfId="3987" builtinId="8" hidden="1"/>
    <cellStyle name="Hyperlink" xfId="3989" builtinId="8" hidden="1"/>
    <cellStyle name="Hyperlink" xfId="3991" builtinId="8" hidden="1"/>
    <cellStyle name="Hyperlink" xfId="3993" builtinId="8" hidden="1"/>
    <cellStyle name="Hyperlink" xfId="3995" builtinId="8" hidden="1"/>
    <cellStyle name="Hyperlink" xfId="3997" builtinId="8" hidden="1"/>
    <cellStyle name="Hyperlink" xfId="3999" builtinId="8" hidden="1"/>
    <cellStyle name="Hyperlink" xfId="4001" builtinId="8" hidden="1"/>
    <cellStyle name="Hyperlink" xfId="4003" builtinId="8" hidden="1"/>
    <cellStyle name="Hyperlink" xfId="4005" builtinId="8" hidden="1"/>
    <cellStyle name="Hyperlink" xfId="4007" builtinId="8" hidden="1"/>
    <cellStyle name="Hyperlink" xfId="4009" builtinId="8" hidden="1"/>
    <cellStyle name="Hyperlink" xfId="4011" builtinId="8" hidden="1"/>
    <cellStyle name="Hyperlink" xfId="4013" builtinId="8" hidden="1"/>
    <cellStyle name="Hyperlink" xfId="4015" builtinId="8" hidden="1"/>
    <cellStyle name="Hyperlink" xfId="4017" builtinId="8" hidden="1"/>
    <cellStyle name="Hyperlink" xfId="4019" builtinId="8" hidden="1"/>
    <cellStyle name="Hyperlink" xfId="4021" builtinId="8" hidden="1"/>
    <cellStyle name="Hyperlink" xfId="4023" builtinId="8" hidden="1"/>
    <cellStyle name="Hyperlink" xfId="4025" builtinId="8" hidden="1"/>
    <cellStyle name="Hyperlink" xfId="4027" builtinId="8" hidden="1"/>
    <cellStyle name="Hyperlink" xfId="4029" builtinId="8" hidden="1"/>
    <cellStyle name="Hyperlink" xfId="4031" builtinId="8" hidden="1"/>
    <cellStyle name="Hyperlink" xfId="4033" builtinId="8" hidden="1"/>
    <cellStyle name="Hyperlink" xfId="4035" builtinId="8" hidden="1"/>
    <cellStyle name="Hyperlink" xfId="4037" builtinId="8" hidden="1"/>
    <cellStyle name="Hyperlink" xfId="4039" builtinId="8" hidden="1"/>
    <cellStyle name="Hyperlink" xfId="4041" builtinId="8" hidden="1"/>
    <cellStyle name="Hyperlink" xfId="4043" builtinId="8" hidden="1"/>
    <cellStyle name="Hyperlink" xfId="4045" builtinId="8" hidden="1"/>
    <cellStyle name="Hyperlink" xfId="4047" builtinId="8" hidden="1"/>
    <cellStyle name="Hyperlink" xfId="4049" builtinId="8" hidden="1"/>
    <cellStyle name="Hyperlink" xfId="4051" builtinId="8" hidden="1"/>
    <cellStyle name="Hyperlink" xfId="4053" builtinId="8" hidden="1"/>
    <cellStyle name="Hyperlink" xfId="4055" builtinId="8" hidden="1"/>
    <cellStyle name="Hyperlink" xfId="4057" builtinId="8" hidden="1"/>
    <cellStyle name="Hyperlink" xfId="4059" builtinId="8" hidden="1"/>
    <cellStyle name="Hyperlink" xfId="4061" builtinId="8" hidden="1"/>
    <cellStyle name="Hyperlink" xfId="4063" builtinId="8" hidden="1"/>
    <cellStyle name="Hyperlink" xfId="4065" builtinId="8" hidden="1"/>
    <cellStyle name="Hyperlink" xfId="4067" builtinId="8" hidden="1"/>
    <cellStyle name="Hyperlink" xfId="4069" builtinId="8" hidden="1"/>
    <cellStyle name="Hyperlink" xfId="4071" builtinId="8" hidden="1"/>
    <cellStyle name="Hyperlink" xfId="4073" builtinId="8" hidden="1"/>
    <cellStyle name="Hyperlink" xfId="4075" builtinId="8" hidden="1"/>
    <cellStyle name="Hyperlink" xfId="4077" builtinId="8" hidden="1"/>
    <cellStyle name="Hyperlink" xfId="4079" builtinId="8" hidden="1"/>
    <cellStyle name="Hyperlink" xfId="4081" builtinId="8" hidden="1"/>
    <cellStyle name="Hyperlink" xfId="4083" builtinId="8" hidden="1"/>
    <cellStyle name="Hyperlink" xfId="4085" builtinId="8" hidden="1"/>
    <cellStyle name="Hyperlink" xfId="4087" builtinId="8" hidden="1"/>
    <cellStyle name="Hyperlink" xfId="4089" builtinId="8" hidden="1"/>
    <cellStyle name="Hyperlink" xfId="4091" builtinId="8" hidden="1"/>
    <cellStyle name="Hyperlink" xfId="4093" builtinId="8" hidden="1"/>
    <cellStyle name="Hyperlink" xfId="4095" builtinId="8" hidden="1"/>
    <cellStyle name="Hyperlink" xfId="4097" builtinId="8" hidden="1"/>
    <cellStyle name="Hyperlink" xfId="4099" builtinId="8" hidden="1"/>
    <cellStyle name="Hyperlink" xfId="4101" builtinId="8" hidden="1"/>
    <cellStyle name="Hyperlink" xfId="4103" builtinId="8" hidden="1"/>
    <cellStyle name="Hyperlink" xfId="4105" builtinId="8" hidden="1"/>
    <cellStyle name="Hyperlink" xfId="4107" builtinId="8" hidden="1"/>
    <cellStyle name="Hyperlink" xfId="4109" builtinId="8" hidden="1"/>
    <cellStyle name="Hyperlink" xfId="4111" builtinId="8" hidden="1"/>
    <cellStyle name="Hyperlink" xfId="4113" builtinId="8" hidden="1"/>
    <cellStyle name="Hyperlink" xfId="4115" builtinId="8" hidden="1"/>
    <cellStyle name="Hyperlink" xfId="4117" builtinId="8" hidden="1"/>
    <cellStyle name="Hyperlink" xfId="4119" builtinId="8" hidden="1"/>
    <cellStyle name="Hyperlink" xfId="4121" builtinId="8" hidden="1"/>
    <cellStyle name="Hyperlink" xfId="4123" builtinId="8" hidden="1"/>
    <cellStyle name="Hyperlink" xfId="4125" builtinId="8" hidden="1"/>
    <cellStyle name="Hyperlink" xfId="4127" builtinId="8" hidden="1"/>
    <cellStyle name="Hyperlink" xfId="4129" builtinId="8" hidden="1"/>
    <cellStyle name="Hyperlink" xfId="4131" builtinId="8" hidden="1"/>
    <cellStyle name="Hyperlink" xfId="4133" builtinId="8" hidden="1"/>
    <cellStyle name="Hyperlink" xfId="4135" builtinId="8" hidden="1"/>
    <cellStyle name="Hyperlink" xfId="4137" builtinId="8" hidden="1"/>
    <cellStyle name="Hyperlink" xfId="4139" builtinId="8" hidden="1"/>
    <cellStyle name="Hyperlink" xfId="4141" builtinId="8" hidden="1"/>
    <cellStyle name="Hyperlink" xfId="4143" builtinId="8" hidden="1"/>
    <cellStyle name="Hyperlink" xfId="4145" builtinId="8" hidden="1"/>
    <cellStyle name="Hyperlink" xfId="4147" builtinId="8" hidden="1"/>
    <cellStyle name="Hyperlink" xfId="4149" builtinId="8" hidden="1"/>
    <cellStyle name="Hyperlink" xfId="4151" builtinId="8" hidden="1"/>
    <cellStyle name="Hyperlink" xfId="4153" builtinId="8" hidden="1"/>
    <cellStyle name="Hyperlink" xfId="4155" builtinId="8" hidden="1"/>
    <cellStyle name="Hyperlink" xfId="4157" builtinId="8" hidden="1"/>
    <cellStyle name="Hyperlink" xfId="4159" builtinId="8" hidden="1"/>
    <cellStyle name="Hyperlink" xfId="4161" builtinId="8" hidden="1"/>
    <cellStyle name="Hyperlink" xfId="4163" builtinId="8" hidden="1"/>
    <cellStyle name="Hyperlink" xfId="4165" builtinId="8" hidden="1"/>
    <cellStyle name="Hyperlink" xfId="4167" builtinId="8" hidden="1"/>
    <cellStyle name="Hyperlink" xfId="4169" builtinId="8" hidden="1"/>
    <cellStyle name="Hyperlink" xfId="4171" builtinId="8" hidden="1"/>
    <cellStyle name="Hyperlink" xfId="4173" builtinId="8" hidden="1"/>
    <cellStyle name="Hyperlink" xfId="4175" builtinId="8" hidden="1"/>
    <cellStyle name="Hyperlink" xfId="4177" builtinId="8" hidden="1"/>
    <cellStyle name="Hyperlink" xfId="4179" builtinId="8" hidden="1"/>
    <cellStyle name="Hyperlink" xfId="4181" builtinId="8" hidden="1"/>
    <cellStyle name="Hyperlink" xfId="4183" builtinId="8" hidden="1"/>
    <cellStyle name="Hyperlink" xfId="4185" builtinId="8" hidden="1"/>
    <cellStyle name="Hyperlink" xfId="4187" builtinId="8" hidden="1"/>
    <cellStyle name="Hyperlink" xfId="4189" builtinId="8" hidden="1"/>
    <cellStyle name="Hyperlink" xfId="4191" builtinId="8" hidden="1"/>
    <cellStyle name="Hyperlink" xfId="4193" builtinId="8" hidden="1"/>
    <cellStyle name="Hyperlink" xfId="4195" builtinId="8" hidden="1"/>
    <cellStyle name="Hyperlink" xfId="4197" builtinId="8" hidden="1"/>
    <cellStyle name="Hyperlink" xfId="4199" builtinId="8" hidden="1"/>
    <cellStyle name="Hyperlink" xfId="4201" builtinId="8" hidden="1"/>
    <cellStyle name="Hyperlink" xfId="4203" builtinId="8" hidden="1"/>
    <cellStyle name="Hyperlink" xfId="4205" builtinId="8" hidden="1"/>
    <cellStyle name="Hyperlink" xfId="4207" builtinId="8" hidden="1"/>
    <cellStyle name="Hyperlink" xfId="4209" builtinId="8" hidden="1"/>
    <cellStyle name="Hyperlink" xfId="4211" builtinId="8" hidden="1"/>
    <cellStyle name="Hyperlink" xfId="4213" builtinId="8" hidden="1"/>
    <cellStyle name="Hyperlink" xfId="4215" builtinId="8" hidden="1"/>
    <cellStyle name="Hyperlink" xfId="4217" builtinId="8" hidden="1"/>
    <cellStyle name="Hyperlink" xfId="4219" builtinId="8" hidden="1"/>
    <cellStyle name="Hyperlink" xfId="4221" builtinId="8" hidden="1"/>
    <cellStyle name="Hyperlink" xfId="4223" builtinId="8" hidden="1"/>
    <cellStyle name="Hyperlink" xfId="4225" builtinId="8" hidden="1"/>
    <cellStyle name="Hyperlink" xfId="4227" builtinId="8" hidden="1"/>
    <cellStyle name="Hyperlink" xfId="4229" builtinId="8" hidden="1"/>
    <cellStyle name="Hyperlink" xfId="4231" builtinId="8" hidden="1"/>
    <cellStyle name="Hyperlink" xfId="4233" builtinId="8" hidden="1"/>
    <cellStyle name="Hyperlink" xfId="4235" builtinId="8" hidden="1"/>
    <cellStyle name="Hyperlink" xfId="4237" builtinId="8" hidden="1"/>
    <cellStyle name="Hyperlink" xfId="4239" builtinId="8" hidden="1"/>
    <cellStyle name="Hyperlink" xfId="4241" builtinId="8" hidden="1"/>
    <cellStyle name="Hyperlink" xfId="4243" builtinId="8" hidden="1"/>
    <cellStyle name="Hyperlink" xfId="4245" builtinId="8" hidden="1"/>
    <cellStyle name="Hyperlink" xfId="4247" builtinId="8" hidden="1"/>
    <cellStyle name="Hyperlink" xfId="4249" builtinId="8" hidden="1"/>
    <cellStyle name="Hyperlink" xfId="4251" builtinId="8" hidden="1"/>
    <cellStyle name="Hyperlink" xfId="4253" builtinId="8" hidden="1"/>
    <cellStyle name="Hyperlink" xfId="4255" builtinId="8" hidden="1"/>
    <cellStyle name="Hyperlink" xfId="4257" builtinId="8" hidden="1"/>
    <cellStyle name="Hyperlink" xfId="4259" builtinId="8" hidden="1"/>
    <cellStyle name="Hyperlink" xfId="4261" builtinId="8" hidden="1"/>
    <cellStyle name="Hyperlink" xfId="4263" builtinId="8" hidden="1"/>
    <cellStyle name="Hyperlink" xfId="4265" builtinId="8" hidden="1"/>
    <cellStyle name="Hyperlink" xfId="4267" builtinId="8" hidden="1"/>
    <cellStyle name="Hyperlink" xfId="4269" builtinId="8" hidden="1"/>
    <cellStyle name="Hyperlink" xfId="4271" builtinId="8" hidden="1"/>
    <cellStyle name="Hyperlink" xfId="4273" builtinId="8" hidden="1"/>
    <cellStyle name="Hyperlink" xfId="4275" builtinId="8" hidden="1"/>
    <cellStyle name="Hyperlink" xfId="4277" builtinId="8" hidden="1"/>
    <cellStyle name="Hyperlink" xfId="4279" builtinId="8" hidden="1"/>
    <cellStyle name="Hyperlink" xfId="4281" builtinId="8" hidden="1"/>
    <cellStyle name="Hyperlink" xfId="4283" builtinId="8" hidden="1"/>
    <cellStyle name="Hyperlink" xfId="4285" builtinId="8" hidden="1"/>
    <cellStyle name="Hyperlink" xfId="4287" builtinId="8" hidden="1"/>
    <cellStyle name="Hyperlink" xfId="4289" builtinId="8" hidden="1"/>
    <cellStyle name="Hyperlink" xfId="4291" builtinId="8" hidden="1"/>
    <cellStyle name="Hyperlink" xfId="4293" builtinId="8" hidden="1"/>
    <cellStyle name="Hyperlink" xfId="4295" builtinId="8" hidden="1"/>
    <cellStyle name="Hyperlink" xfId="4297" builtinId="8" hidden="1"/>
    <cellStyle name="Hyperlink" xfId="4299" builtinId="8" hidden="1"/>
    <cellStyle name="Hyperlink" xfId="4301" builtinId="8" hidden="1"/>
    <cellStyle name="Hyperlink" xfId="4303" builtinId="8" hidden="1"/>
    <cellStyle name="Hyperlink" xfId="4305" builtinId="8" hidden="1"/>
    <cellStyle name="Hyperlink" xfId="4307" builtinId="8" hidden="1"/>
    <cellStyle name="Hyperlink" xfId="4309" builtinId="8" hidden="1"/>
    <cellStyle name="Hyperlink" xfId="4311" builtinId="8" hidden="1"/>
    <cellStyle name="Hyperlink" xfId="4313" builtinId="8" hidden="1"/>
    <cellStyle name="Hyperlink" xfId="4315" builtinId="8" hidden="1"/>
    <cellStyle name="Hyperlink" xfId="4317" builtinId="8" hidden="1"/>
    <cellStyle name="Hyperlink" xfId="4319" builtinId="8" hidden="1"/>
    <cellStyle name="Hyperlink" xfId="4321" builtinId="8" hidden="1"/>
    <cellStyle name="Hyperlink" xfId="4323" builtinId="8" hidden="1"/>
    <cellStyle name="Hyperlink" xfId="4325" builtinId="8" hidden="1"/>
    <cellStyle name="Hyperlink" xfId="4327" builtinId="8" hidden="1"/>
    <cellStyle name="Hyperlink" xfId="4329" builtinId="8" hidden="1"/>
    <cellStyle name="Hyperlink" xfId="4331" builtinId="8" hidden="1"/>
    <cellStyle name="Hyperlink" xfId="4333" builtinId="8" hidden="1"/>
    <cellStyle name="Hyperlink" xfId="4335" builtinId="8" hidden="1"/>
    <cellStyle name="Hyperlink" xfId="4337" builtinId="8" hidden="1"/>
    <cellStyle name="Hyperlink" xfId="4339" builtinId="8" hidden="1"/>
    <cellStyle name="Hyperlink" xfId="4341" builtinId="8" hidden="1"/>
    <cellStyle name="Hyperlink" xfId="4343" builtinId="8" hidden="1"/>
    <cellStyle name="Hyperlink" xfId="4345" builtinId="8" hidden="1"/>
    <cellStyle name="Hyperlink" xfId="4347" builtinId="8" hidden="1"/>
    <cellStyle name="Hyperlink" xfId="4349" builtinId="8" hidden="1"/>
    <cellStyle name="Hyperlink" xfId="4351" builtinId="8" hidden="1"/>
    <cellStyle name="Hyperlink" xfId="4353" builtinId="8" hidden="1"/>
    <cellStyle name="Hyperlink" xfId="4355" builtinId="8" hidden="1"/>
    <cellStyle name="Hyperlink" xfId="4357" builtinId="8" hidden="1"/>
    <cellStyle name="Hyperlink" xfId="4359" builtinId="8" hidden="1"/>
    <cellStyle name="Hyperlink" xfId="4361" builtinId="8" hidden="1"/>
    <cellStyle name="Hyperlink" xfId="4363" builtinId="8" hidden="1"/>
    <cellStyle name="Hyperlink" xfId="4365" builtinId="8" hidden="1"/>
    <cellStyle name="Hyperlink" xfId="4367" builtinId="8" hidden="1"/>
    <cellStyle name="Hyperlink" xfId="4369" builtinId="8" hidden="1"/>
    <cellStyle name="Hyperlink" xfId="4371" builtinId="8" hidden="1"/>
    <cellStyle name="Hyperlink" xfId="4373" builtinId="8" hidden="1"/>
    <cellStyle name="Hyperlink" xfId="4375" builtinId="8" hidden="1"/>
    <cellStyle name="Hyperlink" xfId="4377" builtinId="8" hidden="1"/>
    <cellStyle name="Hyperlink" xfId="4379" builtinId="8" hidden="1"/>
    <cellStyle name="Hyperlink" xfId="4381" builtinId="8" hidden="1"/>
    <cellStyle name="Hyperlink" xfId="4383" builtinId="8" hidden="1"/>
    <cellStyle name="Hyperlink" xfId="4385" builtinId="8" hidden="1"/>
    <cellStyle name="Hyperlink" xfId="4387" builtinId="8" hidden="1"/>
    <cellStyle name="Hyperlink" xfId="4389" builtinId="8" hidden="1"/>
    <cellStyle name="Hyperlink" xfId="4391" builtinId="8" hidden="1"/>
    <cellStyle name="Hyperlink" xfId="4393" builtinId="8" hidden="1"/>
    <cellStyle name="Hyperlink" xfId="4395" builtinId="8" hidden="1"/>
    <cellStyle name="Hyperlink" xfId="4397" builtinId="8" hidden="1"/>
    <cellStyle name="Hyperlink" xfId="4399" builtinId="8" hidden="1"/>
    <cellStyle name="Hyperlink" xfId="4401" builtinId="8" hidden="1"/>
    <cellStyle name="Hyperlink" xfId="4403" builtinId="8" hidden="1"/>
    <cellStyle name="Hyperlink" xfId="4405" builtinId="8" hidden="1"/>
    <cellStyle name="Hyperlink" xfId="4407" builtinId="8" hidden="1"/>
    <cellStyle name="Hyperlink" xfId="4409" builtinId="8" hidden="1"/>
    <cellStyle name="Hyperlink" xfId="4411" builtinId="8" hidden="1"/>
    <cellStyle name="Hyperlink" xfId="4413" builtinId="8" hidden="1"/>
    <cellStyle name="Hyperlink" xfId="4415" builtinId="8" hidden="1"/>
    <cellStyle name="Hyperlink" xfId="4417" builtinId="8" hidden="1"/>
    <cellStyle name="Hyperlink" xfId="4419" builtinId="8" hidden="1"/>
    <cellStyle name="Hyperlink" xfId="4421" builtinId="8" hidden="1"/>
    <cellStyle name="Hyperlink" xfId="4423" builtinId="8" hidden="1"/>
    <cellStyle name="Hyperlink" xfId="4425" builtinId="8" hidden="1"/>
    <cellStyle name="Hyperlink" xfId="4427" builtinId="8" hidden="1"/>
    <cellStyle name="Hyperlink" xfId="4429" builtinId="8" hidden="1"/>
    <cellStyle name="Hyperlink" xfId="4431" builtinId="8" hidden="1"/>
    <cellStyle name="Hyperlink" xfId="4433" builtinId="8" hidden="1"/>
    <cellStyle name="Hyperlink" xfId="4435" builtinId="8" hidden="1"/>
    <cellStyle name="Hyperlink" xfId="4437" builtinId="8" hidden="1"/>
    <cellStyle name="Hyperlink" xfId="4439" builtinId="8" hidden="1"/>
    <cellStyle name="Hyperlink" xfId="4441" builtinId="8" hidden="1"/>
    <cellStyle name="Hyperlink" xfId="4443" builtinId="8" hidden="1"/>
    <cellStyle name="Hyperlink" xfId="4445" builtinId="8" hidden="1"/>
    <cellStyle name="Hyperlink" xfId="4447" builtinId="8" hidden="1"/>
    <cellStyle name="Hyperlink" xfId="4449" builtinId="8" hidden="1"/>
    <cellStyle name="Hyperlink" xfId="4451" builtinId="8" hidden="1"/>
    <cellStyle name="Hyperlink" xfId="4453" builtinId="8" hidden="1"/>
    <cellStyle name="Hyperlink" xfId="4455" builtinId="8" hidden="1"/>
    <cellStyle name="Hyperlink" xfId="4457" builtinId="8" hidden="1"/>
    <cellStyle name="Hyperlink" xfId="4459" builtinId="8" hidden="1"/>
    <cellStyle name="Hyperlink" xfId="4461" builtinId="8" hidden="1"/>
    <cellStyle name="Hyperlink" xfId="4463" builtinId="8" hidden="1"/>
    <cellStyle name="Hyperlink" xfId="4465" builtinId="8" hidden="1"/>
    <cellStyle name="Hyperlink" xfId="4467" builtinId="8" hidden="1"/>
    <cellStyle name="Hyperlink" xfId="4469" builtinId="8" hidden="1"/>
    <cellStyle name="Hyperlink" xfId="4471" builtinId="8" hidden="1"/>
    <cellStyle name="Hyperlink" xfId="4473" builtinId="8" hidden="1"/>
    <cellStyle name="Hyperlink" xfId="4475" builtinId="8" hidden="1"/>
    <cellStyle name="Hyperlink" xfId="4477" builtinId="8" hidden="1"/>
    <cellStyle name="Hyperlink" xfId="4479" builtinId="8" hidden="1"/>
    <cellStyle name="Hyperlink" xfId="4481" builtinId="8" hidden="1"/>
    <cellStyle name="Hyperlink" xfId="4483" builtinId="8" hidden="1"/>
    <cellStyle name="Hyperlink" xfId="4485" builtinId="8" hidden="1"/>
    <cellStyle name="Hyperlink" xfId="4487" builtinId="8" hidden="1"/>
    <cellStyle name="Hyperlink" xfId="4489" builtinId="8" hidden="1"/>
    <cellStyle name="Hyperlink" xfId="4491" builtinId="8" hidden="1"/>
    <cellStyle name="Hyperlink" xfId="4493" builtinId="8" hidden="1"/>
    <cellStyle name="Hyperlink" xfId="4495" builtinId="8" hidden="1"/>
    <cellStyle name="Hyperlink" xfId="4497" builtinId="8" hidden="1"/>
    <cellStyle name="Hyperlink" xfId="4499" builtinId="8" hidden="1"/>
    <cellStyle name="Hyperlink" xfId="4501" builtinId="8" hidden="1"/>
    <cellStyle name="Hyperlink" xfId="4503" builtinId="8" hidden="1"/>
    <cellStyle name="Hyperlink" xfId="4505" builtinId="8" hidden="1"/>
    <cellStyle name="Hyperlink" xfId="4507" builtinId="8" hidden="1"/>
    <cellStyle name="Hyperlink" xfId="4509" builtinId="8" hidden="1"/>
    <cellStyle name="Hyperlink" xfId="4511" builtinId="8" hidden="1"/>
    <cellStyle name="Hyperlink" xfId="4513" builtinId="8" hidden="1"/>
    <cellStyle name="Hyperlink" xfId="4515" builtinId="8" hidden="1"/>
    <cellStyle name="Hyperlink" xfId="4517" builtinId="8" hidden="1"/>
    <cellStyle name="Hyperlink" xfId="4519" builtinId="8" hidden="1"/>
    <cellStyle name="Hyperlink" xfId="4521" builtinId="8" hidden="1"/>
    <cellStyle name="Hyperlink" xfId="4523" builtinId="8" hidden="1"/>
    <cellStyle name="Hyperlink" xfId="4525" builtinId="8" hidden="1"/>
    <cellStyle name="Hyperlink" xfId="4527" builtinId="8" hidden="1"/>
    <cellStyle name="Hyperlink" xfId="4529" builtinId="8" hidden="1"/>
    <cellStyle name="Hyperlink" xfId="4531" builtinId="8" hidden="1"/>
    <cellStyle name="Hyperlink" xfId="4533" builtinId="8" hidden="1"/>
    <cellStyle name="Hyperlink" xfId="4535" builtinId="8" hidden="1"/>
    <cellStyle name="Hyperlink" xfId="4537" builtinId="8" hidden="1"/>
    <cellStyle name="Hyperlink" xfId="4539" builtinId="8" hidden="1"/>
    <cellStyle name="Hyperlink" xfId="4541" builtinId="8" hidden="1"/>
    <cellStyle name="Hyperlink" xfId="4543" builtinId="8" hidden="1"/>
    <cellStyle name="Hyperlink" xfId="4545" builtinId="8" hidden="1"/>
    <cellStyle name="Hyperlink" xfId="4547" builtinId="8" hidden="1"/>
    <cellStyle name="Hyperlink" xfId="4549" builtinId="8" hidden="1"/>
    <cellStyle name="Hyperlink" xfId="4551" builtinId="8" hidden="1"/>
    <cellStyle name="Hyperlink" xfId="4553" builtinId="8" hidden="1"/>
    <cellStyle name="Hyperlink" xfId="4555" builtinId="8" hidden="1"/>
    <cellStyle name="Hyperlink" xfId="4557" builtinId="8" hidden="1"/>
    <cellStyle name="Hyperlink" xfId="4559" builtinId="8" hidden="1"/>
    <cellStyle name="Hyperlink" xfId="4561" builtinId="8" hidden="1"/>
    <cellStyle name="Hyperlink" xfId="4563" builtinId="8" hidden="1"/>
    <cellStyle name="Hyperlink" xfId="4565" builtinId="8" hidden="1"/>
    <cellStyle name="Hyperlink" xfId="4567" builtinId="8" hidden="1"/>
    <cellStyle name="Hyperlink" xfId="4569" builtinId="8" hidden="1"/>
    <cellStyle name="Hyperlink" xfId="4571" builtinId="8" hidden="1"/>
    <cellStyle name="Hyperlink" xfId="4573" builtinId="8" hidden="1"/>
    <cellStyle name="Hyperlink" xfId="4575" builtinId="8" hidden="1"/>
    <cellStyle name="Hyperlink" xfId="4577" builtinId="8" hidden="1"/>
    <cellStyle name="Hyperlink" xfId="4579" builtinId="8" hidden="1"/>
    <cellStyle name="Hyperlink" xfId="4581" builtinId="8" hidden="1"/>
    <cellStyle name="Hyperlink" xfId="4583" builtinId="8" hidden="1"/>
    <cellStyle name="Hyperlink" xfId="4585" builtinId="8" hidden="1"/>
    <cellStyle name="Hyperlink" xfId="4587" builtinId="8" hidden="1"/>
    <cellStyle name="Hyperlink" xfId="4589" builtinId="8" hidden="1"/>
    <cellStyle name="Hyperlink" xfId="4591" builtinId="8" hidden="1"/>
    <cellStyle name="Hyperlink" xfId="4593" builtinId="8" hidden="1"/>
    <cellStyle name="Hyperlink" xfId="4595" builtinId="8" hidden="1"/>
    <cellStyle name="Hyperlink" xfId="4597" builtinId="8" hidden="1"/>
    <cellStyle name="Hyperlink" xfId="4599" builtinId="8" hidden="1"/>
    <cellStyle name="Hyperlink" xfId="4601" builtinId="8" hidden="1"/>
    <cellStyle name="Hyperlink" xfId="4603" builtinId="8" hidden="1"/>
    <cellStyle name="Hyperlink" xfId="4605" builtinId="8" hidden="1"/>
    <cellStyle name="Hyperlink" xfId="4607" builtinId="8" hidden="1"/>
    <cellStyle name="Hyperlink" xfId="4609" builtinId="8" hidden="1"/>
    <cellStyle name="Hyperlink" xfId="4611" builtinId="8" hidden="1"/>
    <cellStyle name="Hyperlink" xfId="4613" builtinId="8" hidden="1"/>
    <cellStyle name="Hyperlink" xfId="4615" builtinId="8" hidden="1"/>
    <cellStyle name="Hyperlink" xfId="4617" builtinId="8" hidden="1"/>
    <cellStyle name="Hyperlink" xfId="4619" builtinId="8" hidden="1"/>
    <cellStyle name="Hyperlink" xfId="4621" builtinId="8" hidden="1"/>
    <cellStyle name="Hyperlink" xfId="4623" builtinId="8" hidden="1"/>
    <cellStyle name="Hyperlink" xfId="4625" builtinId="8" hidden="1"/>
    <cellStyle name="Hyperlink" xfId="4627" builtinId="8" hidden="1"/>
    <cellStyle name="Hyperlink" xfId="4629" builtinId="8" hidden="1"/>
    <cellStyle name="Hyperlink" xfId="4631" builtinId="8" hidden="1"/>
    <cellStyle name="Hyperlink" xfId="4633" builtinId="8" hidden="1"/>
    <cellStyle name="Hyperlink" xfId="4635" builtinId="8" hidden="1"/>
    <cellStyle name="Hyperlink" xfId="4637" builtinId="8" hidden="1"/>
    <cellStyle name="Hyperlink" xfId="4639" builtinId="8" hidden="1"/>
    <cellStyle name="Hyperlink" xfId="4641" builtinId="8" hidden="1"/>
    <cellStyle name="Hyperlink" xfId="4643" builtinId="8" hidden="1"/>
    <cellStyle name="Hyperlink" xfId="4645" builtinId="8" hidden="1"/>
    <cellStyle name="Hyperlink" xfId="4647" builtinId="8" hidden="1"/>
    <cellStyle name="Hyperlink" xfId="4649" builtinId="8" hidden="1"/>
    <cellStyle name="Hyperlink" xfId="4651" builtinId="8" hidden="1"/>
    <cellStyle name="Hyperlink" xfId="4653" builtinId="8" hidden="1"/>
    <cellStyle name="Hyperlink" xfId="4655" builtinId="8" hidden="1"/>
    <cellStyle name="Hyperlink" xfId="4657" builtinId="8" hidden="1"/>
    <cellStyle name="Hyperlink" xfId="4659" builtinId="8" hidden="1"/>
    <cellStyle name="Hyperlink" xfId="4661" builtinId="8" hidden="1"/>
    <cellStyle name="Hyperlink" xfId="4663" builtinId="8" hidden="1"/>
    <cellStyle name="Hyperlink" xfId="4665" builtinId="8" hidden="1"/>
    <cellStyle name="Hyperlink" xfId="4667" builtinId="8" hidden="1"/>
    <cellStyle name="Hyperlink" xfId="4669" builtinId="8" hidden="1"/>
    <cellStyle name="Hyperlink" xfId="4671" builtinId="8" hidden="1"/>
    <cellStyle name="Hyperlink" xfId="4673" builtinId="8" hidden="1"/>
    <cellStyle name="Hyperlink" xfId="4675" builtinId="8" hidden="1"/>
    <cellStyle name="Hyperlink" xfId="4677" builtinId="8" hidden="1"/>
    <cellStyle name="Hyperlink" xfId="4679" builtinId="8" hidden="1"/>
    <cellStyle name="Hyperlink" xfId="4681" builtinId="8" hidden="1"/>
    <cellStyle name="Hyperlink" xfId="4683" builtinId="8" hidden="1"/>
    <cellStyle name="Hyperlink" xfId="4685" builtinId="8" hidden="1"/>
    <cellStyle name="Hyperlink" xfId="4687" builtinId="8" hidden="1"/>
    <cellStyle name="Hyperlink" xfId="4689" builtinId="8" hidden="1"/>
    <cellStyle name="Hyperlink" xfId="4691" builtinId="8" hidden="1"/>
    <cellStyle name="Hyperlink" xfId="4693" builtinId="8" hidden="1"/>
    <cellStyle name="Hyperlink" xfId="4695" builtinId="8" hidden="1"/>
    <cellStyle name="Hyperlink" xfId="4697" builtinId="8" hidden="1"/>
    <cellStyle name="Hyperlink" xfId="4699" builtinId="8" hidden="1"/>
    <cellStyle name="Hyperlink" xfId="4701" builtinId="8" hidden="1"/>
    <cellStyle name="Hyperlink" xfId="4703" builtinId="8" hidden="1"/>
    <cellStyle name="Hyperlink" xfId="4705" builtinId="8" hidden="1"/>
    <cellStyle name="Hyperlink" xfId="4707" builtinId="8" hidden="1"/>
    <cellStyle name="Hyperlink" xfId="4709" builtinId="8" hidden="1"/>
    <cellStyle name="Hyperlink" xfId="4711" builtinId="8" hidden="1"/>
    <cellStyle name="Hyperlink" xfId="4713" builtinId="8" hidden="1"/>
    <cellStyle name="Hyperlink" xfId="4715" builtinId="8" hidden="1"/>
    <cellStyle name="Hyperlink" xfId="4717" builtinId="8" hidden="1"/>
    <cellStyle name="Hyperlink" xfId="4719" builtinId="8" hidden="1"/>
    <cellStyle name="Hyperlink" xfId="4721" builtinId="8" hidden="1"/>
    <cellStyle name="Hyperlink" xfId="4723" builtinId="8" hidden="1"/>
    <cellStyle name="Hyperlink" xfId="4725" builtinId="8" hidden="1"/>
    <cellStyle name="Hyperlink" xfId="4727" builtinId="8" hidden="1"/>
    <cellStyle name="Hyperlink" xfId="4729" builtinId="8" hidden="1"/>
    <cellStyle name="Hyperlink" xfId="4731" builtinId="8" hidden="1"/>
    <cellStyle name="Hyperlink" xfId="4733" builtinId="8" hidden="1"/>
    <cellStyle name="Hyperlink" xfId="4735" builtinId="8" hidden="1"/>
    <cellStyle name="Hyperlink" xfId="4737" builtinId="8" hidden="1"/>
    <cellStyle name="Hyperlink" xfId="4739" builtinId="8" hidden="1"/>
    <cellStyle name="Hyperlink" xfId="4741" builtinId="8" hidden="1"/>
    <cellStyle name="Hyperlink" xfId="4743" builtinId="8" hidden="1"/>
    <cellStyle name="Hyperlink" xfId="4745" builtinId="8" hidden="1"/>
    <cellStyle name="Hyperlink" xfId="4747" builtinId="8" hidden="1"/>
    <cellStyle name="Hyperlink" xfId="4749" builtinId="8" hidden="1"/>
    <cellStyle name="Hyperlink" xfId="4751" builtinId="8" hidden="1"/>
    <cellStyle name="Hyperlink" xfId="4753" builtinId="8" hidden="1"/>
    <cellStyle name="Hyperlink" xfId="4755" builtinId="8" hidden="1"/>
    <cellStyle name="Hyperlink" xfId="4757" builtinId="8" hidden="1"/>
    <cellStyle name="Hyperlink" xfId="4759" builtinId="8" hidden="1"/>
    <cellStyle name="Hyperlink" xfId="4761" builtinId="8" hidden="1"/>
    <cellStyle name="Hyperlink" xfId="4763" builtinId="8" hidden="1"/>
    <cellStyle name="Hyperlink" xfId="4765" builtinId="8" hidden="1"/>
    <cellStyle name="Hyperlink" xfId="4767" builtinId="8" hidden="1"/>
    <cellStyle name="Hyperlink" xfId="4769" builtinId="8" hidden="1"/>
    <cellStyle name="Hyperlink" xfId="4771" builtinId="8" hidden="1"/>
    <cellStyle name="Hyperlink" xfId="4773" builtinId="8" hidden="1"/>
    <cellStyle name="Hyperlink" xfId="4775" builtinId="8" hidden="1"/>
    <cellStyle name="Hyperlink" xfId="4777" builtinId="8" hidden="1"/>
    <cellStyle name="Hyperlink" xfId="4779" builtinId="8" hidden="1"/>
    <cellStyle name="Hyperlink" xfId="4781" builtinId="8" hidden="1"/>
    <cellStyle name="Hyperlink" xfId="4783" builtinId="8" hidden="1"/>
    <cellStyle name="Hyperlink" xfId="4785" builtinId="8" hidden="1"/>
    <cellStyle name="Hyperlink" xfId="4787" builtinId="8" hidden="1"/>
    <cellStyle name="Hyperlink" xfId="4789" builtinId="8" hidden="1"/>
    <cellStyle name="Hyperlink" xfId="4791" builtinId="8" hidden="1"/>
    <cellStyle name="Hyperlink" xfId="4793" builtinId="8" hidden="1"/>
    <cellStyle name="Hyperlink" xfId="4795" builtinId="8" hidden="1"/>
    <cellStyle name="Hyperlink" xfId="4797" builtinId="8" hidden="1"/>
    <cellStyle name="Hyperlink" xfId="4799" builtinId="8" hidden="1"/>
    <cellStyle name="Hyperlink" xfId="4801" builtinId="8" hidden="1"/>
    <cellStyle name="Hyperlink" xfId="4803" builtinId="8" hidden="1"/>
    <cellStyle name="Hyperlink" xfId="4805" builtinId="8" hidden="1"/>
    <cellStyle name="Hyperlink" xfId="4807" builtinId="8" hidden="1"/>
    <cellStyle name="Hyperlink" xfId="4809" builtinId="8" hidden="1"/>
    <cellStyle name="Hyperlink" xfId="4811" builtinId="8" hidden="1"/>
    <cellStyle name="Hyperlink" xfId="4813" builtinId="8" hidden="1"/>
    <cellStyle name="Hyperlink" xfId="4815" builtinId="8" hidden="1"/>
    <cellStyle name="Hyperlink" xfId="4817" builtinId="8" hidden="1"/>
    <cellStyle name="Hyperlink" xfId="4819" builtinId="8" hidden="1"/>
    <cellStyle name="Hyperlink" xfId="4821" builtinId="8" hidden="1"/>
    <cellStyle name="Hyperlink" xfId="4823" builtinId="8" hidden="1"/>
    <cellStyle name="Hyperlink" xfId="4825" builtinId="8" hidden="1"/>
    <cellStyle name="Hyperlink" xfId="4827" builtinId="8" hidden="1"/>
    <cellStyle name="Hyperlink" xfId="4829" builtinId="8" hidden="1"/>
    <cellStyle name="Hyperlink" xfId="4831" builtinId="8" hidden="1"/>
    <cellStyle name="Hyperlink" xfId="4833" builtinId="8" hidden="1"/>
    <cellStyle name="Hyperlink" xfId="4835" builtinId="8" hidden="1"/>
    <cellStyle name="Hyperlink" xfId="4837" builtinId="8" hidden="1"/>
    <cellStyle name="Hyperlink" xfId="4839" builtinId="8" hidden="1"/>
    <cellStyle name="Hyperlink" xfId="4841" builtinId="8" hidden="1"/>
    <cellStyle name="Hyperlink" xfId="4843" builtinId="8" hidden="1"/>
    <cellStyle name="Hyperlink" xfId="4845" builtinId="8" hidden="1"/>
    <cellStyle name="Hyperlink" xfId="4847" builtinId="8" hidden="1"/>
    <cellStyle name="Hyperlink" xfId="4849" builtinId="8" hidden="1"/>
    <cellStyle name="Hyperlink" xfId="4851" builtinId="8" hidden="1"/>
    <cellStyle name="Hyperlink" xfId="4853" builtinId="8" hidden="1"/>
    <cellStyle name="Hyperlink" xfId="4855" builtinId="8" hidden="1"/>
    <cellStyle name="Hyperlink" xfId="4857" builtinId="8" hidden="1"/>
    <cellStyle name="Hyperlink" xfId="4859" builtinId="8" hidden="1"/>
    <cellStyle name="Hyperlink" xfId="4861" builtinId="8" hidden="1"/>
    <cellStyle name="Hyperlink" xfId="4863" builtinId="8" hidden="1"/>
    <cellStyle name="Hyperlink" xfId="4865" builtinId="8" hidden="1"/>
    <cellStyle name="Hyperlink" xfId="4867" builtinId="8" hidden="1"/>
    <cellStyle name="Hyperlink" xfId="4869" builtinId="8" hidden="1"/>
    <cellStyle name="Hyperlink" xfId="4871" builtinId="8" hidden="1"/>
    <cellStyle name="Hyperlink" xfId="4873" builtinId="8" hidden="1"/>
    <cellStyle name="Hyperlink" xfId="4875" builtinId="8" hidden="1"/>
    <cellStyle name="Hyperlink" xfId="4877" builtinId="8" hidden="1"/>
    <cellStyle name="Hyperlink" xfId="4879" builtinId="8" hidden="1"/>
    <cellStyle name="Hyperlink" xfId="4881" builtinId="8" hidden="1"/>
    <cellStyle name="Hyperlink" xfId="4883" builtinId="8" hidden="1"/>
    <cellStyle name="Hyperlink" xfId="4885" builtinId="8" hidden="1"/>
    <cellStyle name="Hyperlink" xfId="4887" builtinId="8" hidden="1"/>
    <cellStyle name="Hyperlink" xfId="4889" builtinId="8" hidden="1"/>
    <cellStyle name="Hyperlink" xfId="4891" builtinId="8" hidden="1"/>
    <cellStyle name="Hyperlink" xfId="4893" builtinId="8" hidden="1"/>
    <cellStyle name="Hyperlink" xfId="4895" builtinId="8" hidden="1"/>
    <cellStyle name="Hyperlink" xfId="4897" builtinId="8" hidden="1"/>
    <cellStyle name="Hyperlink" xfId="4899" builtinId="8" hidden="1"/>
    <cellStyle name="Hyperlink" xfId="4901" builtinId="8" hidden="1"/>
    <cellStyle name="Hyperlink" xfId="4903" builtinId="8" hidden="1"/>
    <cellStyle name="Hyperlink" xfId="4905" builtinId="8" hidden="1"/>
    <cellStyle name="Hyperlink" xfId="4907" builtinId="8" hidden="1"/>
    <cellStyle name="Hyperlink" xfId="4909" builtinId="8" hidden="1"/>
    <cellStyle name="Hyperlink" xfId="4911" builtinId="8" hidden="1"/>
    <cellStyle name="Hyperlink" xfId="4913" builtinId="8" hidden="1"/>
    <cellStyle name="Hyperlink" xfId="4915" builtinId="8" hidden="1"/>
    <cellStyle name="Hyperlink" xfId="4917" builtinId="8" hidden="1"/>
    <cellStyle name="Hyperlink" xfId="4919" builtinId="8" hidden="1"/>
    <cellStyle name="Hyperlink" xfId="4921" builtinId="8" hidden="1"/>
    <cellStyle name="Hyperlink" xfId="4923" builtinId="8" hidden="1"/>
    <cellStyle name="Hyperlink" xfId="4925" builtinId="8" hidden="1"/>
    <cellStyle name="Hyperlink" xfId="4927" builtinId="8" hidden="1"/>
    <cellStyle name="Hyperlink" xfId="4929" builtinId="8" hidden="1"/>
    <cellStyle name="Hyperlink" xfId="4931" builtinId="8" hidden="1"/>
    <cellStyle name="Hyperlink" xfId="4933" builtinId="8" hidden="1"/>
    <cellStyle name="Hyperlink" xfId="4935" builtinId="8" hidden="1"/>
    <cellStyle name="Hyperlink" xfId="4937" builtinId="8" hidden="1"/>
    <cellStyle name="Hyperlink" xfId="4939" builtinId="8" hidden="1"/>
    <cellStyle name="Hyperlink" xfId="4941" builtinId="8" hidden="1"/>
    <cellStyle name="Hyperlink" xfId="4943" builtinId="8" hidden="1"/>
    <cellStyle name="Hyperlink" xfId="4945" builtinId="8" hidden="1"/>
    <cellStyle name="Hyperlink" xfId="4947" builtinId="8" hidden="1"/>
    <cellStyle name="Hyperlink" xfId="4949" builtinId="8" hidden="1"/>
    <cellStyle name="Hyperlink" xfId="4951" builtinId="8" hidden="1"/>
    <cellStyle name="Hyperlink" xfId="4953" builtinId="8" hidden="1"/>
    <cellStyle name="Hyperlink" xfId="4955" builtinId="8" hidden="1"/>
    <cellStyle name="Hyperlink" xfId="4957" builtinId="8" hidden="1"/>
    <cellStyle name="Hyperlink" xfId="4959" builtinId="8" hidden="1"/>
    <cellStyle name="Hyperlink" xfId="4961" builtinId="8" hidden="1"/>
    <cellStyle name="Hyperlink" xfId="4963" builtinId="8" hidden="1"/>
    <cellStyle name="Hyperlink" xfId="4965" builtinId="8" hidden="1"/>
    <cellStyle name="Hyperlink" xfId="4967" builtinId="8" hidden="1"/>
    <cellStyle name="Hyperlink" xfId="4969" builtinId="8" hidden="1"/>
    <cellStyle name="Hyperlink" xfId="4971" builtinId="8" hidden="1"/>
    <cellStyle name="Hyperlink" xfId="4973" builtinId="8" hidden="1"/>
    <cellStyle name="Hyperlink" xfId="4975" builtinId="8" hidden="1"/>
    <cellStyle name="Hyperlink" xfId="4977" builtinId="8" hidden="1"/>
    <cellStyle name="Hyperlink" xfId="4979" builtinId="8" hidden="1"/>
    <cellStyle name="Hyperlink" xfId="4981" builtinId="8" hidden="1"/>
    <cellStyle name="Hyperlink" xfId="4983" builtinId="8" hidden="1"/>
    <cellStyle name="Hyperlink" xfId="4985" builtinId="8" hidden="1"/>
    <cellStyle name="Hyperlink" xfId="4987" builtinId="8" hidden="1"/>
    <cellStyle name="Hyperlink" xfId="4989" builtinId="8" hidden="1"/>
    <cellStyle name="Hyperlink" xfId="4991" builtinId="8" hidden="1"/>
    <cellStyle name="Hyperlink" xfId="4993" builtinId="8" hidden="1"/>
    <cellStyle name="Hyperlink" xfId="4995" builtinId="8" hidden="1"/>
    <cellStyle name="Hyperlink" xfId="4997" builtinId="8" hidden="1"/>
    <cellStyle name="Hyperlink" xfId="4999" builtinId="8" hidden="1"/>
    <cellStyle name="Hyperlink" xfId="5001" builtinId="8" hidden="1"/>
    <cellStyle name="Hyperlink" xfId="5003" builtinId="8" hidden="1"/>
    <cellStyle name="Hyperlink" xfId="5005" builtinId="8" hidden="1"/>
    <cellStyle name="Hyperlink" xfId="5007" builtinId="8" hidden="1"/>
    <cellStyle name="Hyperlink" xfId="5009" builtinId="8" hidden="1"/>
    <cellStyle name="Hyperlink" xfId="5011" builtinId="8" hidden="1"/>
    <cellStyle name="Hyperlink" xfId="5013" builtinId="8" hidden="1"/>
    <cellStyle name="Hyperlink" xfId="5015" builtinId="8" hidden="1"/>
    <cellStyle name="Hyperlink" xfId="5017" builtinId="8" hidden="1"/>
    <cellStyle name="Hyperlink" xfId="5019" builtinId="8" hidden="1"/>
    <cellStyle name="Hyperlink" xfId="5021" builtinId="8" hidden="1"/>
    <cellStyle name="Hyperlink" xfId="5023" builtinId="8" hidden="1"/>
    <cellStyle name="Hyperlink" xfId="5025" builtinId="8" hidden="1"/>
    <cellStyle name="Hyperlink" xfId="5027" builtinId="8" hidden="1"/>
    <cellStyle name="Hyperlink" xfId="5029" builtinId="8" hidden="1"/>
    <cellStyle name="Hyperlink" xfId="5031" builtinId="8" hidden="1"/>
    <cellStyle name="Hyperlink" xfId="5033" builtinId="8" hidden="1"/>
    <cellStyle name="Hyperlink" xfId="5035" builtinId="8" hidden="1"/>
    <cellStyle name="Hyperlink" xfId="5037" builtinId="8" hidden="1"/>
    <cellStyle name="Hyperlink" xfId="5039" builtinId="8" hidden="1"/>
    <cellStyle name="Hyperlink" xfId="5041" builtinId="8" hidden="1"/>
    <cellStyle name="Hyperlink" xfId="5043" builtinId="8" hidden="1"/>
    <cellStyle name="Hyperlink" xfId="5045" builtinId="8" hidden="1"/>
    <cellStyle name="Hyperlink" xfId="5047" builtinId="8" hidden="1"/>
    <cellStyle name="Hyperlink" xfId="5049" builtinId="8" hidden="1"/>
    <cellStyle name="Hyperlink" xfId="5051" builtinId="8" hidden="1"/>
    <cellStyle name="Hyperlink" xfId="5053" builtinId="8" hidden="1"/>
    <cellStyle name="Hyperlink" xfId="5055" builtinId="8" hidden="1"/>
    <cellStyle name="Hyperlink" xfId="5057" builtinId="8" hidden="1"/>
    <cellStyle name="Hyperlink" xfId="5059" builtinId="8" hidden="1"/>
    <cellStyle name="Hyperlink" xfId="5061" builtinId="8" hidden="1"/>
    <cellStyle name="Hyperlink" xfId="5063" builtinId="8" hidden="1"/>
    <cellStyle name="Hyperlink" xfId="5065" builtinId="8" hidden="1"/>
    <cellStyle name="Hyperlink" xfId="5067" builtinId="8" hidden="1"/>
    <cellStyle name="Hyperlink" xfId="5069" builtinId="8" hidden="1"/>
    <cellStyle name="Hyperlink" xfId="5071" builtinId="8" hidden="1"/>
    <cellStyle name="Hyperlink" xfId="5073" builtinId="8" hidden="1"/>
    <cellStyle name="Hyperlink" xfId="5075" builtinId="8" hidden="1"/>
    <cellStyle name="Hyperlink" xfId="5077" builtinId="8" hidden="1"/>
    <cellStyle name="Hyperlink" xfId="5079" builtinId="8" hidden="1"/>
    <cellStyle name="Hyperlink" xfId="5081" builtinId="8" hidden="1"/>
    <cellStyle name="Hyperlink" xfId="5083" builtinId="8" hidden="1"/>
    <cellStyle name="Hyperlink" xfId="5085" builtinId="8" hidden="1"/>
    <cellStyle name="Hyperlink" xfId="5087" builtinId="8" hidden="1"/>
    <cellStyle name="Hyperlink" xfId="5089" builtinId="8" hidden="1"/>
    <cellStyle name="Hyperlink" xfId="5091" builtinId="8" hidden="1"/>
    <cellStyle name="Hyperlink" xfId="5093" builtinId="8" hidden="1"/>
    <cellStyle name="Hyperlink" xfId="5095" builtinId="8" hidden="1"/>
    <cellStyle name="Hyperlink" xfId="5097" builtinId="8" hidden="1"/>
    <cellStyle name="Hyperlink" xfId="5099" builtinId="8" hidden="1"/>
    <cellStyle name="Hyperlink" xfId="5101" builtinId="8" hidden="1"/>
    <cellStyle name="Hyperlink" xfId="5103" builtinId="8" hidden="1"/>
    <cellStyle name="Hyperlink" xfId="5105" builtinId="8" hidden="1"/>
    <cellStyle name="Hyperlink" xfId="5107" builtinId="8" hidden="1"/>
    <cellStyle name="Hyperlink" xfId="5109" builtinId="8" hidden="1"/>
    <cellStyle name="Hyperlink" xfId="5111" builtinId="8" hidden="1"/>
    <cellStyle name="Hyperlink" xfId="5113" builtinId="8" hidden="1"/>
    <cellStyle name="Hyperlink" xfId="5115" builtinId="8" hidden="1"/>
    <cellStyle name="Hyperlink" xfId="5117" builtinId="8" hidden="1"/>
    <cellStyle name="Hyperlink" xfId="5119" builtinId="8" hidden="1"/>
    <cellStyle name="Hyperlink" xfId="5121" builtinId="8" hidden="1"/>
    <cellStyle name="Hyperlink" xfId="5123" builtinId="8" hidden="1"/>
    <cellStyle name="Hyperlink" xfId="5125" builtinId="8" hidden="1"/>
    <cellStyle name="Hyperlink" xfId="5127" builtinId="8" hidden="1"/>
    <cellStyle name="Hyperlink" xfId="5129" builtinId="8" hidden="1"/>
    <cellStyle name="Hyperlink" xfId="5131" builtinId="8" hidden="1"/>
    <cellStyle name="Hyperlink" xfId="5133" builtinId="8" hidden="1"/>
    <cellStyle name="Hyperlink" xfId="5135" builtinId="8" hidden="1"/>
    <cellStyle name="Hyperlink" xfId="5137" builtinId="8" hidden="1"/>
    <cellStyle name="Hyperlink" xfId="5139" builtinId="8" hidden="1"/>
    <cellStyle name="Hyperlink" xfId="5141" builtinId="8" hidden="1"/>
    <cellStyle name="Hyperlink" xfId="5143" builtinId="8" hidden="1"/>
    <cellStyle name="Hyperlink" xfId="5145" builtinId="8" hidden="1"/>
    <cellStyle name="Hyperlink" xfId="5147" builtinId="8" hidden="1"/>
    <cellStyle name="Hyperlink" xfId="5149" builtinId="8" hidden="1"/>
    <cellStyle name="Hyperlink" xfId="5151" builtinId="8" hidden="1"/>
    <cellStyle name="Hyperlink" xfId="5153" builtinId="8" hidden="1"/>
    <cellStyle name="Hyperlink" xfId="5155" builtinId="8" hidden="1"/>
    <cellStyle name="Hyperlink" xfId="5157" builtinId="8" hidden="1"/>
    <cellStyle name="Hyperlink" xfId="5159" builtinId="8" hidden="1"/>
    <cellStyle name="Hyperlink" xfId="5161" builtinId="8" hidden="1"/>
    <cellStyle name="Hyperlink" xfId="5163" builtinId="8" hidden="1"/>
    <cellStyle name="Hyperlink" xfId="5165" builtinId="8" hidden="1"/>
    <cellStyle name="Hyperlink" xfId="5167" builtinId="8" hidden="1"/>
    <cellStyle name="Hyperlink" xfId="5169" builtinId="8" hidden="1"/>
    <cellStyle name="Hyperlink" xfId="5171" builtinId="8" hidden="1"/>
    <cellStyle name="Hyperlink" xfId="5173" builtinId="8" hidden="1"/>
    <cellStyle name="Hyperlink" xfId="5175" builtinId="8" hidden="1"/>
    <cellStyle name="Hyperlink" xfId="5177" builtinId="8" hidden="1"/>
    <cellStyle name="Hyperlink" xfId="5179" builtinId="8" hidden="1"/>
    <cellStyle name="Hyperlink" xfId="5181" builtinId="8" hidden="1"/>
    <cellStyle name="Hyperlink" xfId="5183" builtinId="8" hidden="1"/>
    <cellStyle name="Hyperlink" xfId="5185" builtinId="8" hidden="1"/>
    <cellStyle name="Hyperlink" xfId="5187" builtinId="8" hidden="1"/>
    <cellStyle name="Hyperlink" xfId="5189" builtinId="8" hidden="1"/>
    <cellStyle name="Hyperlink" xfId="5191" builtinId="8" hidden="1"/>
    <cellStyle name="Hyperlink" xfId="5193" builtinId="8" hidden="1"/>
    <cellStyle name="Hyperlink" xfId="5195" builtinId="8" hidden="1"/>
    <cellStyle name="Hyperlink" xfId="5197" builtinId="8" hidden="1"/>
    <cellStyle name="Hyperlink" xfId="5199" builtinId="8" hidden="1"/>
    <cellStyle name="Hyperlink" xfId="5201" builtinId="8" hidden="1"/>
    <cellStyle name="Hyperlink" xfId="5203" builtinId="8" hidden="1"/>
    <cellStyle name="Hyperlink" xfId="5205" builtinId="8" hidden="1"/>
    <cellStyle name="Hyperlink" xfId="5207" builtinId="8" hidden="1"/>
    <cellStyle name="Hyperlink" xfId="5209" builtinId="8" hidden="1"/>
    <cellStyle name="Hyperlink" xfId="5211" builtinId="8" hidden="1"/>
    <cellStyle name="Hyperlink" xfId="5213" builtinId="8" hidden="1"/>
    <cellStyle name="Hyperlink" xfId="5215" builtinId="8" hidden="1"/>
    <cellStyle name="Hyperlink" xfId="5217" builtinId="8" hidden="1"/>
    <cellStyle name="Hyperlink" xfId="5219" builtinId="8" hidden="1"/>
    <cellStyle name="Hyperlink" xfId="5221" builtinId="8" hidden="1"/>
    <cellStyle name="Hyperlink" xfId="5223" builtinId="8" hidden="1"/>
    <cellStyle name="Hyperlink" xfId="5225" builtinId="8" hidden="1"/>
    <cellStyle name="Hyperlink" xfId="5227" builtinId="8" hidden="1"/>
    <cellStyle name="Hyperlink" xfId="5229" builtinId="8" hidden="1"/>
    <cellStyle name="Hyperlink" xfId="5231" builtinId="8" hidden="1"/>
    <cellStyle name="Hyperlink" xfId="5233" builtinId="8" hidden="1"/>
    <cellStyle name="Hyperlink" xfId="5235" builtinId="8" hidden="1"/>
    <cellStyle name="Hyperlink" xfId="5237" builtinId="8" hidden="1"/>
    <cellStyle name="Hyperlink" xfId="5239" builtinId="8" hidden="1"/>
    <cellStyle name="Hyperlink" xfId="5241" builtinId="8" hidden="1"/>
    <cellStyle name="Hyperlink" xfId="5243" builtinId="8" hidden="1"/>
    <cellStyle name="Hyperlink" xfId="5245" builtinId="8" hidden="1"/>
    <cellStyle name="Hyperlink" xfId="5247" builtinId="8" hidden="1"/>
    <cellStyle name="Hyperlink" xfId="5249" builtinId="8" hidden="1"/>
    <cellStyle name="Hyperlink" xfId="5251" builtinId="8" hidden="1"/>
    <cellStyle name="Hyperlink" xfId="5253" builtinId="8" hidden="1"/>
    <cellStyle name="Hyperlink" xfId="5255" builtinId="8" hidden="1"/>
    <cellStyle name="Hyperlink" xfId="5257" builtinId="8" hidden="1"/>
    <cellStyle name="Hyperlink" xfId="5259" builtinId="8" hidden="1"/>
    <cellStyle name="Hyperlink" xfId="5261" builtinId="8" hidden="1"/>
    <cellStyle name="Hyperlink" xfId="5263" builtinId="8" hidden="1"/>
    <cellStyle name="Hyperlink" xfId="5265" builtinId="8" hidden="1"/>
    <cellStyle name="Hyperlink" xfId="5267" builtinId="8" hidden="1"/>
    <cellStyle name="Hyperlink" xfId="5269" builtinId="8" hidden="1"/>
    <cellStyle name="Hyperlink" xfId="5271" builtinId="8" hidden="1"/>
    <cellStyle name="Hyperlink" xfId="5273" builtinId="8" hidden="1"/>
    <cellStyle name="Hyperlink" xfId="5275" builtinId="8" hidden="1"/>
    <cellStyle name="Hyperlink" xfId="5277" builtinId="8" hidden="1"/>
    <cellStyle name="Hyperlink" xfId="5279" builtinId="8" hidden="1"/>
    <cellStyle name="Hyperlink" xfId="5281" builtinId="8" hidden="1"/>
    <cellStyle name="Hyperlink" xfId="5283" builtinId="8" hidden="1"/>
    <cellStyle name="Hyperlink" xfId="5285" builtinId="8" hidden="1"/>
    <cellStyle name="Hyperlink" xfId="5287" builtinId="8" hidden="1"/>
    <cellStyle name="Hyperlink" xfId="5289" builtinId="8" hidden="1"/>
    <cellStyle name="Hyperlink" xfId="5291" builtinId="8" hidden="1"/>
    <cellStyle name="Hyperlink" xfId="5293" builtinId="8" hidden="1"/>
    <cellStyle name="Hyperlink" xfId="5295" builtinId="8" hidden="1"/>
    <cellStyle name="Hyperlink" xfId="5297" builtinId="8" hidden="1"/>
    <cellStyle name="Hyperlink" xfId="5299" builtinId="8" hidden="1"/>
    <cellStyle name="Hyperlink" xfId="5301" builtinId="8" hidden="1"/>
    <cellStyle name="Hyperlink" xfId="5303" builtinId="8" hidden="1"/>
    <cellStyle name="Hyperlink" xfId="5305" builtinId="8" hidden="1"/>
    <cellStyle name="Hyperlink" xfId="5307" builtinId="8" hidden="1"/>
    <cellStyle name="Hyperlink" xfId="5309" builtinId="8" hidden="1"/>
    <cellStyle name="Hyperlink" xfId="5311" builtinId="8" hidden="1"/>
    <cellStyle name="Hyperlink" xfId="5313" builtinId="8" hidden="1"/>
    <cellStyle name="Hyperlink" xfId="5315" builtinId="8" hidden="1"/>
    <cellStyle name="Hyperlink" xfId="5317" builtinId="8" hidden="1"/>
    <cellStyle name="Hyperlink" xfId="5319" builtinId="8" hidden="1"/>
    <cellStyle name="Hyperlink" xfId="5321" builtinId="8" hidden="1"/>
    <cellStyle name="Hyperlink" xfId="5323" builtinId="8" hidden="1"/>
    <cellStyle name="Hyperlink" xfId="5325" builtinId="8" hidden="1"/>
    <cellStyle name="Hyperlink" xfId="5327" builtinId="8" hidden="1"/>
    <cellStyle name="Hyperlink" xfId="5329" builtinId="8" hidden="1"/>
    <cellStyle name="Hyperlink" xfId="5331" builtinId="8" hidden="1"/>
    <cellStyle name="Hyperlink" xfId="5333" builtinId="8" hidden="1"/>
    <cellStyle name="Hyperlink" xfId="5335" builtinId="8" hidden="1"/>
    <cellStyle name="Hyperlink" xfId="5337" builtinId="8" hidden="1"/>
    <cellStyle name="Hyperlink" xfId="5339" builtinId="8" hidden="1"/>
    <cellStyle name="Hyperlink" xfId="5341" builtinId="8" hidden="1"/>
    <cellStyle name="Hyperlink" xfId="5343" builtinId="8" hidden="1"/>
    <cellStyle name="Hyperlink" xfId="5345" builtinId="8" hidden="1"/>
    <cellStyle name="Hyperlink" xfId="5347" builtinId="8" hidden="1"/>
    <cellStyle name="Hyperlink" xfId="5349" builtinId="8" hidden="1"/>
    <cellStyle name="Hyperlink" xfId="5351" builtinId="8" hidden="1"/>
    <cellStyle name="Hyperlink" xfId="5353" builtinId="8" hidden="1"/>
    <cellStyle name="Hyperlink" xfId="5355" builtinId="8" hidden="1"/>
    <cellStyle name="Hyperlink" xfId="5357" builtinId="8" hidden="1"/>
    <cellStyle name="Hyperlink" xfId="5359" builtinId="8" hidden="1"/>
    <cellStyle name="Hyperlink" xfId="5361" builtinId="8" hidden="1"/>
    <cellStyle name="Hyperlink" xfId="5363" builtinId="8" hidden="1"/>
    <cellStyle name="Hyperlink" xfId="5365" builtinId="8" hidden="1"/>
    <cellStyle name="Hyperlink" xfId="5367" builtinId="8" hidden="1"/>
    <cellStyle name="Hyperlink" xfId="5369" builtinId="8" hidden="1"/>
    <cellStyle name="Hyperlink" xfId="5371" builtinId="8" hidden="1"/>
    <cellStyle name="Hyperlink" xfId="5373" builtinId="8" hidden="1"/>
    <cellStyle name="Hyperlink" xfId="5375" builtinId="8" hidden="1"/>
    <cellStyle name="Hyperlink" xfId="5377" builtinId="8" hidden="1"/>
    <cellStyle name="Hyperlink" xfId="5379" builtinId="8" hidden="1"/>
    <cellStyle name="Hyperlink" xfId="5381" builtinId="8" hidden="1"/>
    <cellStyle name="Hyperlink" xfId="5383" builtinId="8" hidden="1"/>
    <cellStyle name="Hyperlink" xfId="5385" builtinId="8" hidden="1"/>
    <cellStyle name="Hyperlink" xfId="5387" builtinId="8" hidden="1"/>
    <cellStyle name="Hyperlink" xfId="5389" builtinId="8" hidden="1"/>
    <cellStyle name="Hyperlink" xfId="5391" builtinId="8" hidden="1"/>
    <cellStyle name="Hyperlink" xfId="5393" builtinId="8" hidden="1"/>
    <cellStyle name="Hyperlink" xfId="5395" builtinId="8" hidden="1"/>
    <cellStyle name="Hyperlink" xfId="5397" builtinId="8" hidden="1"/>
    <cellStyle name="Hyperlink" xfId="5399" builtinId="8" hidden="1"/>
    <cellStyle name="Hyperlink" xfId="5401" builtinId="8" hidden="1"/>
    <cellStyle name="Hyperlink" xfId="5403" builtinId="8" hidden="1"/>
    <cellStyle name="Hyperlink" xfId="5405" builtinId="8" hidden="1"/>
    <cellStyle name="Hyperlink" xfId="5407" builtinId="8" hidden="1"/>
    <cellStyle name="Hyperlink" xfId="5409" builtinId="8" hidden="1"/>
    <cellStyle name="Hyperlink" xfId="5411" builtinId="8" hidden="1"/>
    <cellStyle name="Hyperlink" xfId="5413" builtinId="8" hidden="1"/>
    <cellStyle name="Hyperlink" xfId="5415" builtinId="8" hidden="1"/>
    <cellStyle name="Hyperlink" xfId="5417" builtinId="8" hidden="1"/>
    <cellStyle name="Hyperlink" xfId="5419" builtinId="8" hidden="1"/>
    <cellStyle name="Hyperlink" xfId="5421" builtinId="8" hidden="1"/>
    <cellStyle name="Hyperlink" xfId="5423" builtinId="8" hidden="1"/>
    <cellStyle name="Hyperlink" xfId="5425" builtinId="8" hidden="1"/>
    <cellStyle name="Hyperlink" xfId="5427" builtinId="8" hidden="1"/>
    <cellStyle name="Hyperlink" xfId="5429" builtinId="8" hidden="1"/>
    <cellStyle name="Hyperlink" xfId="5431" builtinId="8" hidden="1"/>
    <cellStyle name="Hyperlink" xfId="5433" builtinId="8" hidden="1"/>
    <cellStyle name="Hyperlink" xfId="5435" builtinId="8" hidden="1"/>
    <cellStyle name="Hyperlink" xfId="5437" builtinId="8" hidden="1"/>
    <cellStyle name="Hyperlink" xfId="5439" builtinId="8" hidden="1"/>
    <cellStyle name="Hyperlink" xfId="5441" builtinId="8" hidden="1"/>
    <cellStyle name="Hyperlink" xfId="5443" builtinId="8" hidden="1"/>
    <cellStyle name="Hyperlink" xfId="5445" builtinId="8" hidden="1"/>
    <cellStyle name="Hyperlink" xfId="5447" builtinId="8" hidden="1"/>
    <cellStyle name="Hyperlink" xfId="5449" builtinId="8" hidden="1"/>
    <cellStyle name="Hyperlink" xfId="5451" builtinId="8" hidden="1"/>
    <cellStyle name="Hyperlink" xfId="5453" builtinId="8" hidden="1"/>
    <cellStyle name="Hyperlink" xfId="5455" builtinId="8" hidden="1"/>
    <cellStyle name="Hyperlink" xfId="5457" builtinId="8" hidden="1"/>
    <cellStyle name="Hyperlink" xfId="5459" builtinId="8" hidden="1"/>
    <cellStyle name="Hyperlink" xfId="5461" builtinId="8" hidden="1"/>
    <cellStyle name="Hyperlink" xfId="5463" builtinId="8" hidden="1"/>
    <cellStyle name="Hyperlink" xfId="5465" builtinId="8" hidden="1"/>
    <cellStyle name="Hyperlink" xfId="5467" builtinId="8" hidden="1"/>
    <cellStyle name="Hyperlink" xfId="5469" builtinId="8" hidden="1"/>
    <cellStyle name="Hyperlink" xfId="5471" builtinId="8" hidden="1"/>
    <cellStyle name="Hyperlink" xfId="5473" builtinId="8" hidden="1"/>
    <cellStyle name="Hyperlink" xfId="5475" builtinId="8" hidden="1"/>
    <cellStyle name="Hyperlink" xfId="5477" builtinId="8" hidden="1"/>
    <cellStyle name="Hyperlink" xfId="5479" builtinId="8" hidden="1"/>
    <cellStyle name="Hyperlink" xfId="5481" builtinId="8" hidden="1"/>
    <cellStyle name="Hyperlink" xfId="5483" builtinId="8" hidden="1"/>
    <cellStyle name="Hyperlink" xfId="5485" builtinId="8" hidden="1"/>
    <cellStyle name="Hyperlink" xfId="5487" builtinId="8" hidden="1"/>
    <cellStyle name="Hyperlink" xfId="5489" builtinId="8" hidden="1"/>
    <cellStyle name="Hyperlink" xfId="5491" builtinId="8" hidden="1"/>
    <cellStyle name="Hyperlink" xfId="5493" builtinId="8" hidden="1"/>
    <cellStyle name="Hyperlink" xfId="5495" builtinId="8" hidden="1"/>
    <cellStyle name="Hyperlink" xfId="5497" builtinId="8" hidden="1"/>
    <cellStyle name="Hyperlink" xfId="5499" builtinId="8" hidden="1"/>
    <cellStyle name="Hyperlink" xfId="5501" builtinId="8" hidden="1"/>
    <cellStyle name="Hyperlink" xfId="5503" builtinId="8" hidden="1"/>
    <cellStyle name="Hyperlink" xfId="5505" builtinId="8" hidden="1"/>
    <cellStyle name="Hyperlink" xfId="5507" builtinId="8" hidden="1"/>
    <cellStyle name="Hyperlink" xfId="5509" builtinId="8" hidden="1"/>
    <cellStyle name="Hyperlink" xfId="5511" builtinId="8" hidden="1"/>
    <cellStyle name="Hyperlink" xfId="5513" builtinId="8" hidden="1"/>
    <cellStyle name="Hyperlink" xfId="5515" builtinId="8" hidden="1"/>
    <cellStyle name="Hyperlink" xfId="5517" builtinId="8" hidden="1"/>
    <cellStyle name="Hyperlink" xfId="5519" builtinId="8" hidden="1"/>
    <cellStyle name="Hyperlink" xfId="5521" builtinId="8" hidden="1"/>
    <cellStyle name="Hyperlink" xfId="5523" builtinId="8" hidden="1"/>
    <cellStyle name="Hyperlink" xfId="5525" builtinId="8" hidden="1"/>
    <cellStyle name="Hyperlink" xfId="5527" builtinId="8" hidden="1"/>
    <cellStyle name="Hyperlink" xfId="5529" builtinId="8" hidden="1"/>
    <cellStyle name="Hyperlink" xfId="5531" builtinId="8" hidden="1"/>
    <cellStyle name="Hyperlink" xfId="5533" builtinId="8" hidden="1"/>
    <cellStyle name="Hyperlink" xfId="5535" builtinId="8" hidden="1"/>
    <cellStyle name="Hyperlink" xfId="5537" builtinId="8" hidden="1"/>
    <cellStyle name="Hyperlink" xfId="5539" builtinId="8" hidden="1"/>
    <cellStyle name="Hyperlink" xfId="5541" builtinId="8" hidden="1"/>
    <cellStyle name="Hyperlink" xfId="5543" builtinId="8" hidden="1"/>
    <cellStyle name="Hyperlink" xfId="5545" builtinId="8" hidden="1"/>
    <cellStyle name="Hyperlink" xfId="5547" builtinId="8" hidden="1"/>
    <cellStyle name="Hyperlink" xfId="5549" builtinId="8" hidden="1"/>
    <cellStyle name="Hyperlink" xfId="5551" builtinId="8" hidden="1"/>
    <cellStyle name="Hyperlink" xfId="5553" builtinId="8" hidden="1"/>
    <cellStyle name="Hyperlink" xfId="5555" builtinId="8" hidden="1"/>
    <cellStyle name="Hyperlink" xfId="5557" builtinId="8" hidden="1"/>
    <cellStyle name="Hyperlink" xfId="5559" builtinId="8" hidden="1"/>
    <cellStyle name="Hyperlink" xfId="5561" builtinId="8" hidden="1"/>
    <cellStyle name="Hyperlink" xfId="5563" builtinId="8" hidden="1"/>
    <cellStyle name="Hyperlink" xfId="5565" builtinId="8" hidden="1"/>
    <cellStyle name="Hyperlink" xfId="5567" builtinId="8" hidden="1"/>
    <cellStyle name="Hyperlink" xfId="5569" builtinId="8" hidden="1"/>
    <cellStyle name="Hyperlink" xfId="5571" builtinId="8" hidden="1"/>
    <cellStyle name="Hyperlink" xfId="5573" builtinId="8" hidden="1"/>
    <cellStyle name="Hyperlink" xfId="5575" builtinId="8" hidden="1"/>
    <cellStyle name="Hyperlink" xfId="5577" builtinId="8" hidden="1"/>
    <cellStyle name="Hyperlink" xfId="5579" builtinId="8" hidden="1"/>
    <cellStyle name="Hyperlink" xfId="5581" builtinId="8" hidden="1"/>
    <cellStyle name="Hyperlink" xfId="5583" builtinId="8" hidden="1"/>
    <cellStyle name="Hyperlink" xfId="5585" builtinId="8" hidden="1"/>
    <cellStyle name="Hyperlink" xfId="5587" builtinId="8" hidden="1"/>
    <cellStyle name="Hyperlink" xfId="5589" builtinId="8" hidden="1"/>
    <cellStyle name="Hyperlink" xfId="5591" builtinId="8" hidden="1"/>
    <cellStyle name="Hyperlink" xfId="5593" builtinId="8" hidden="1"/>
    <cellStyle name="Hyperlink" xfId="5595" builtinId="8" hidden="1"/>
    <cellStyle name="Hyperlink" xfId="5597" builtinId="8" hidden="1"/>
    <cellStyle name="Hyperlink" xfId="5599" builtinId="8" hidden="1"/>
    <cellStyle name="Hyperlink" xfId="5601" builtinId="8" hidden="1"/>
    <cellStyle name="Hyperlink" xfId="5603" builtinId="8" hidden="1"/>
    <cellStyle name="Hyperlink" xfId="5605" builtinId="8" hidden="1"/>
    <cellStyle name="Hyperlink" xfId="5607" builtinId="8" hidden="1"/>
    <cellStyle name="Hyperlink" xfId="5609" builtinId="8" hidden="1"/>
    <cellStyle name="Hyperlink" xfId="5611" builtinId="8" hidden="1"/>
    <cellStyle name="Hyperlink" xfId="5613" builtinId="8" hidden="1"/>
    <cellStyle name="Hyperlink" xfId="5615" builtinId="8" hidden="1"/>
    <cellStyle name="Hyperlink" xfId="5617" builtinId="8" hidden="1"/>
    <cellStyle name="Hyperlink" xfId="5619" builtinId="8" hidden="1"/>
    <cellStyle name="Hyperlink" xfId="5621" builtinId="8" hidden="1"/>
    <cellStyle name="Hyperlink" xfId="5623" builtinId="8" hidden="1"/>
    <cellStyle name="Hyperlink" xfId="5625" builtinId="8" hidden="1"/>
    <cellStyle name="Hyperlink" xfId="5627" builtinId="8" hidden="1"/>
    <cellStyle name="Hyperlink" xfId="5629" builtinId="8" hidden="1"/>
    <cellStyle name="Hyperlink" xfId="5631" builtinId="8" hidden="1"/>
    <cellStyle name="Hyperlink" xfId="5633" builtinId="8" hidden="1"/>
    <cellStyle name="Hyperlink" xfId="5635" builtinId="8" hidden="1"/>
    <cellStyle name="Hyperlink" xfId="5637" builtinId="8" hidden="1"/>
    <cellStyle name="Hyperlink" xfId="5639" builtinId="8" hidden="1"/>
    <cellStyle name="Hyperlink" xfId="5641" builtinId="8" hidden="1"/>
    <cellStyle name="Hyperlink" xfId="5643" builtinId="8" hidden="1"/>
    <cellStyle name="Hyperlink" xfId="5645" builtinId="8" hidden="1"/>
    <cellStyle name="Hyperlink" xfId="5647" builtinId="8" hidden="1"/>
    <cellStyle name="Hyperlink" xfId="5649" builtinId="8" hidden="1"/>
    <cellStyle name="Hyperlink" xfId="5651" builtinId="8" hidden="1"/>
    <cellStyle name="Hyperlink" xfId="5653" builtinId="8" hidden="1"/>
    <cellStyle name="Hyperlink" xfId="5655" builtinId="8" hidden="1"/>
    <cellStyle name="Hyperlink" xfId="5657" builtinId="8" hidden="1"/>
    <cellStyle name="Hyperlink" xfId="5659" builtinId="8" hidden="1"/>
    <cellStyle name="Hyperlink" xfId="5661" builtinId="8" hidden="1"/>
    <cellStyle name="Hyperlink" xfId="5663" builtinId="8" hidden="1"/>
    <cellStyle name="Hyperlink" xfId="5665" builtinId="8" hidden="1"/>
    <cellStyle name="Hyperlink" xfId="5667" builtinId="8" hidden="1"/>
    <cellStyle name="Hyperlink" xfId="5669" builtinId="8" hidden="1"/>
    <cellStyle name="Hyperlink" xfId="5671" builtinId="8" hidden="1"/>
    <cellStyle name="Hyperlink" xfId="5673" builtinId="8" hidden="1"/>
    <cellStyle name="Hyperlink" xfId="5675" builtinId="8" hidden="1"/>
    <cellStyle name="Hyperlink" xfId="5677" builtinId="8" hidden="1"/>
    <cellStyle name="Hyperlink" xfId="5679" builtinId="8" hidden="1"/>
    <cellStyle name="Hyperlink" xfId="5681" builtinId="8" hidden="1"/>
    <cellStyle name="Hyperlink" xfId="5683" builtinId="8" hidden="1"/>
    <cellStyle name="Hyperlink" xfId="5685" builtinId="8" hidden="1"/>
    <cellStyle name="Hyperlink" xfId="5687" builtinId="8" hidden="1"/>
    <cellStyle name="Hyperlink" xfId="5689" builtinId="8" hidden="1"/>
    <cellStyle name="Hyperlink" xfId="5691" builtinId="8" hidden="1"/>
    <cellStyle name="Hyperlink" xfId="5693" builtinId="8" hidden="1"/>
    <cellStyle name="Hyperlink" xfId="5695" builtinId="8" hidden="1"/>
    <cellStyle name="Hyperlink" xfId="5697" builtinId="8" hidden="1"/>
    <cellStyle name="Hyperlink" xfId="5699" builtinId="8" hidden="1"/>
    <cellStyle name="Hyperlink" xfId="5701" builtinId="8" hidden="1"/>
    <cellStyle name="Hyperlink" xfId="5703" builtinId="8" hidden="1"/>
    <cellStyle name="Hyperlink" xfId="5705" builtinId="8" hidden="1"/>
    <cellStyle name="Hyperlink" xfId="5707" builtinId="8" hidden="1"/>
    <cellStyle name="Hyperlink" xfId="5709" builtinId="8" hidden="1"/>
    <cellStyle name="Hyperlink" xfId="5711" builtinId="8" hidden="1"/>
    <cellStyle name="Hyperlink" xfId="5713" builtinId="8" hidden="1"/>
    <cellStyle name="Hyperlink" xfId="5715" builtinId="8" hidden="1"/>
    <cellStyle name="Hyperlink" xfId="5717" builtinId="8" hidden="1"/>
    <cellStyle name="Hyperlink" xfId="5719" builtinId="8" hidden="1"/>
    <cellStyle name="Hyperlink" xfId="5721" builtinId="8" hidden="1"/>
    <cellStyle name="Hyperlink" xfId="5723" builtinId="8" hidden="1"/>
    <cellStyle name="Hyperlink" xfId="5725" builtinId="8" hidden="1"/>
    <cellStyle name="Hyperlink" xfId="5727" builtinId="8" hidden="1"/>
    <cellStyle name="Hyperlink" xfId="5729" builtinId="8" hidden="1"/>
    <cellStyle name="Hyperlink" xfId="5731" builtinId="8" hidden="1"/>
    <cellStyle name="Hyperlink" xfId="5733" builtinId="8" hidden="1"/>
    <cellStyle name="Hyperlink" xfId="5735" builtinId="8" hidden="1"/>
    <cellStyle name="Hyperlink" xfId="5737" builtinId="8" hidden="1"/>
    <cellStyle name="Hyperlink" xfId="5739" builtinId="8" hidden="1"/>
    <cellStyle name="Hyperlink" xfId="5741" builtinId="8" hidden="1"/>
    <cellStyle name="Hyperlink" xfId="5743" builtinId="8" hidden="1"/>
    <cellStyle name="Hyperlink" xfId="5745" builtinId="8" hidden="1"/>
    <cellStyle name="Hyperlink" xfId="5747" builtinId="8" hidden="1"/>
    <cellStyle name="Hyperlink" xfId="5749" builtinId="8" hidden="1"/>
    <cellStyle name="Hyperlink" xfId="5751" builtinId="8" hidden="1"/>
    <cellStyle name="Hyperlink" xfId="5753" builtinId="8" hidden="1"/>
    <cellStyle name="Hyperlink" xfId="5755" builtinId="8" hidden="1"/>
    <cellStyle name="Hyperlink" xfId="5757" builtinId="8" hidden="1"/>
    <cellStyle name="Hyperlink" xfId="5759" builtinId="8" hidden="1"/>
    <cellStyle name="Hyperlink" xfId="5761" builtinId="8" hidden="1"/>
    <cellStyle name="Hyperlink" xfId="5763" builtinId="8" hidden="1"/>
    <cellStyle name="Hyperlink" xfId="5765" builtinId="8" hidden="1"/>
    <cellStyle name="Hyperlink" xfId="5767" builtinId="8" hidden="1"/>
    <cellStyle name="Hyperlink" xfId="5769" builtinId="8" hidden="1"/>
    <cellStyle name="Hyperlink" xfId="5771" builtinId="8" hidden="1"/>
    <cellStyle name="Hyperlink" xfId="5773" builtinId="8" hidden="1"/>
    <cellStyle name="Hyperlink" xfId="5775" builtinId="8" hidden="1"/>
    <cellStyle name="Hyperlink" xfId="5777" builtinId="8" hidden="1"/>
    <cellStyle name="Hyperlink" xfId="5779" builtinId="8" hidden="1"/>
    <cellStyle name="Hyperlink" xfId="5781" builtinId="8" hidden="1"/>
    <cellStyle name="Hyperlink" xfId="5783" builtinId="8" hidden="1"/>
    <cellStyle name="Hyperlink" xfId="5785" builtinId="8" hidden="1"/>
    <cellStyle name="Hyperlink" xfId="5787" builtinId="8" hidden="1"/>
    <cellStyle name="Hyperlink" xfId="5789" builtinId="8" hidden="1"/>
    <cellStyle name="Hyperlink" xfId="5791" builtinId="8" hidden="1"/>
    <cellStyle name="Hyperlink" xfId="5793" builtinId="8" hidden="1"/>
    <cellStyle name="Hyperlink" xfId="5795" builtinId="8" hidden="1"/>
    <cellStyle name="Hyperlink" xfId="5797" builtinId="8" hidden="1"/>
    <cellStyle name="Hyperlink" xfId="5799" builtinId="8" hidden="1"/>
    <cellStyle name="Hyperlink" xfId="5801" builtinId="8" hidden="1"/>
    <cellStyle name="Hyperlink" xfId="5803" builtinId="8" hidden="1"/>
    <cellStyle name="Hyperlink" xfId="5805" builtinId="8" hidden="1"/>
    <cellStyle name="Hyperlink" xfId="5807" builtinId="8" hidden="1"/>
    <cellStyle name="Hyperlink" xfId="5809" builtinId="8" hidden="1"/>
    <cellStyle name="Hyperlink" xfId="5811" builtinId="8" hidden="1"/>
    <cellStyle name="Hyperlink" xfId="5813" builtinId="8" hidden="1"/>
    <cellStyle name="Hyperlink" xfId="5815" builtinId="8" hidden="1"/>
    <cellStyle name="Hyperlink" xfId="5817" builtinId="8" hidden="1"/>
    <cellStyle name="Hyperlink" xfId="5819" builtinId="8" hidden="1"/>
    <cellStyle name="Hyperlink" xfId="5821" builtinId="8" hidden="1"/>
    <cellStyle name="Hyperlink" xfId="5823" builtinId="8" hidden="1"/>
    <cellStyle name="Hyperlink" xfId="5825" builtinId="8" hidden="1"/>
    <cellStyle name="Hyperlink" xfId="5827" builtinId="8" hidden="1"/>
    <cellStyle name="Hyperlink" xfId="5829" builtinId="8" hidden="1"/>
    <cellStyle name="Hyperlink" xfId="5831" builtinId="8" hidden="1"/>
    <cellStyle name="Hyperlink" xfId="5833" builtinId="8" hidden="1"/>
    <cellStyle name="Hyperlink" xfId="5835" builtinId="8" hidden="1"/>
    <cellStyle name="Hyperlink" xfId="5837" builtinId="8" hidden="1"/>
    <cellStyle name="Hyperlink" xfId="5839" builtinId="8" hidden="1"/>
    <cellStyle name="Hyperlink" xfId="5841" builtinId="8" hidden="1"/>
    <cellStyle name="Hyperlink" xfId="5843" builtinId="8" hidden="1"/>
    <cellStyle name="Hyperlink" xfId="5845" builtinId="8" hidden="1"/>
    <cellStyle name="Hyperlink" xfId="5847" builtinId="8" hidden="1"/>
    <cellStyle name="Hyperlink" xfId="5849" builtinId="8" hidden="1"/>
    <cellStyle name="Hyperlink" xfId="5851" builtinId="8" hidden="1"/>
    <cellStyle name="Hyperlink" xfId="5853" builtinId="8" hidden="1"/>
    <cellStyle name="Hyperlink" xfId="5855" builtinId="8" hidden="1"/>
    <cellStyle name="Hyperlink" xfId="5857" builtinId="8" hidden="1"/>
    <cellStyle name="Hyperlink" xfId="5859" builtinId="8" hidden="1"/>
    <cellStyle name="Hyperlink" xfId="5861" builtinId="8" hidden="1"/>
    <cellStyle name="Hyperlink" xfId="5863" builtinId="8" hidden="1"/>
    <cellStyle name="Hyperlink" xfId="5865" builtinId="8" hidden="1"/>
    <cellStyle name="Hyperlink" xfId="5867" builtinId="8" hidden="1"/>
    <cellStyle name="Hyperlink" xfId="5869" builtinId="8" hidden="1"/>
    <cellStyle name="Hyperlink" xfId="5871" builtinId="8" hidden="1"/>
    <cellStyle name="Hyperlink" xfId="5873" builtinId="8" hidden="1"/>
    <cellStyle name="Hyperlink" xfId="5875" builtinId="8" hidden="1"/>
    <cellStyle name="Hyperlink" xfId="5877" builtinId="8" hidden="1"/>
    <cellStyle name="Hyperlink" xfId="5879" builtinId="8" hidden="1"/>
    <cellStyle name="Hyperlink" xfId="5881" builtinId="8" hidden="1"/>
    <cellStyle name="Hyperlink" xfId="5883" builtinId="8" hidden="1"/>
    <cellStyle name="Hyperlink" xfId="5885" builtinId="8" hidden="1"/>
    <cellStyle name="Hyperlink" xfId="5887" builtinId="8" hidden="1"/>
    <cellStyle name="Hyperlink" xfId="5889" builtinId="8" hidden="1"/>
    <cellStyle name="Hyperlink" xfId="5891" builtinId="8" hidden="1"/>
    <cellStyle name="Hyperlink" xfId="5893" builtinId="8" hidden="1"/>
    <cellStyle name="Hyperlink" xfId="5895" builtinId="8" hidden="1"/>
    <cellStyle name="Hyperlink" xfId="5897" builtinId="8" hidden="1"/>
    <cellStyle name="Hyperlink" xfId="5899" builtinId="8" hidden="1"/>
    <cellStyle name="Hyperlink" xfId="5901" builtinId="8" hidden="1"/>
    <cellStyle name="Hyperlink" xfId="5903" builtinId="8" hidden="1"/>
    <cellStyle name="Hyperlink" xfId="5905" builtinId="8" hidden="1"/>
    <cellStyle name="Hyperlink" xfId="5907" builtinId="8" hidden="1"/>
    <cellStyle name="Hyperlink" xfId="5909" builtinId="8" hidden="1"/>
    <cellStyle name="Hyperlink" xfId="5911" builtinId="8" hidden="1"/>
    <cellStyle name="Hyperlink" xfId="5913" builtinId="8" hidden="1"/>
    <cellStyle name="Hyperlink" xfId="5915" builtinId="8" hidden="1"/>
    <cellStyle name="Hyperlink" xfId="5917" builtinId="8" hidden="1"/>
    <cellStyle name="Hyperlink" xfId="5919" builtinId="8" hidden="1"/>
    <cellStyle name="Hyperlink" xfId="5921" builtinId="8" hidden="1"/>
    <cellStyle name="Hyperlink" xfId="5923" builtinId="8" hidden="1"/>
    <cellStyle name="Hyperlink" xfId="5925" builtinId="8" hidden="1"/>
    <cellStyle name="Hyperlink" xfId="5927" builtinId="8" hidden="1"/>
    <cellStyle name="Hyperlink" xfId="5929" builtinId="8" hidden="1"/>
    <cellStyle name="Hyperlink" xfId="5931" builtinId="8" hidden="1"/>
    <cellStyle name="Hyperlink" xfId="5933" builtinId="8" hidden="1"/>
    <cellStyle name="Hyperlink" xfId="5935" builtinId="8" hidden="1"/>
    <cellStyle name="Hyperlink" xfId="5937" builtinId="8" hidden="1"/>
    <cellStyle name="Hyperlink" xfId="5939" builtinId="8" hidden="1"/>
    <cellStyle name="Hyperlink" xfId="5941" builtinId="8" hidden="1"/>
    <cellStyle name="Hyperlink" xfId="5943" builtinId="8" hidden="1"/>
    <cellStyle name="Hyperlink" xfId="5945" builtinId="8" hidden="1"/>
    <cellStyle name="Hyperlink" xfId="5947" builtinId="8" hidden="1"/>
    <cellStyle name="Hyperlink" xfId="5949" builtinId="8" hidden="1"/>
    <cellStyle name="Hyperlink" xfId="5951" builtinId="8" hidden="1"/>
    <cellStyle name="Hyperlink" xfId="5953" builtinId="8" hidden="1"/>
    <cellStyle name="Hyperlink" xfId="5955" builtinId="8" hidden="1"/>
    <cellStyle name="Hyperlink" xfId="5957" builtinId="8" hidden="1"/>
    <cellStyle name="Hyperlink" xfId="5959" builtinId="8" hidden="1"/>
    <cellStyle name="Hyperlink" xfId="5961" builtinId="8" hidden="1"/>
    <cellStyle name="Hyperlink" xfId="5963" builtinId="8" hidden="1"/>
    <cellStyle name="Hyperlink" xfId="5965" builtinId="8" hidden="1"/>
    <cellStyle name="Hyperlink" xfId="5967" builtinId="8" hidden="1"/>
    <cellStyle name="Hyperlink" xfId="5969" builtinId="8" hidden="1"/>
    <cellStyle name="Hyperlink" xfId="5971" builtinId="8" hidden="1"/>
    <cellStyle name="Hyperlink" xfId="5973" builtinId="8" hidden="1"/>
    <cellStyle name="Hyperlink" xfId="5975" builtinId="8" hidden="1"/>
    <cellStyle name="Hyperlink" xfId="5977" builtinId="8" hidden="1"/>
    <cellStyle name="Hyperlink" xfId="5979" builtinId="8" hidden="1"/>
    <cellStyle name="Hyperlink" xfId="5981" builtinId="8" hidden="1"/>
    <cellStyle name="Hyperlink" xfId="5983" builtinId="8" hidden="1"/>
    <cellStyle name="Hyperlink" xfId="5985" builtinId="8" hidden="1"/>
    <cellStyle name="Hyperlink" xfId="5987" builtinId="8" hidden="1"/>
    <cellStyle name="Hyperlink" xfId="5989" builtinId="8" hidden="1"/>
    <cellStyle name="Hyperlink" xfId="5991" builtinId="8" hidden="1"/>
    <cellStyle name="Hyperlink" xfId="5993" builtinId="8" hidden="1"/>
    <cellStyle name="Hyperlink" xfId="5995" builtinId="8" hidden="1"/>
    <cellStyle name="Hyperlink" xfId="5997" builtinId="8" hidden="1"/>
    <cellStyle name="Hyperlink" xfId="5999" builtinId="8" hidden="1"/>
    <cellStyle name="Hyperlink" xfId="6001" builtinId="8" hidden="1"/>
    <cellStyle name="Hyperlink" xfId="6003" builtinId="8" hidden="1"/>
    <cellStyle name="Hyperlink" xfId="6005" builtinId="8" hidden="1"/>
    <cellStyle name="Hyperlink" xfId="6007" builtinId="8" hidden="1"/>
    <cellStyle name="Hyperlink" xfId="6009" builtinId="8" hidden="1"/>
    <cellStyle name="Hyperlink" xfId="6011" builtinId="8" hidden="1"/>
    <cellStyle name="Hyperlink" xfId="6013" builtinId="8" hidden="1"/>
    <cellStyle name="Hyperlink" xfId="6015" builtinId="8" hidden="1"/>
    <cellStyle name="Hyperlink" xfId="6017" builtinId="8" hidden="1"/>
    <cellStyle name="Hyperlink" xfId="6019" builtinId="8" hidden="1"/>
    <cellStyle name="Hyperlink" xfId="6021" builtinId="8" hidden="1"/>
    <cellStyle name="Hyperlink" xfId="6023" builtinId="8" hidden="1"/>
    <cellStyle name="Hyperlink" xfId="6025" builtinId="8" hidden="1"/>
    <cellStyle name="Hyperlink" xfId="6027" builtinId="8" hidden="1"/>
    <cellStyle name="Hyperlink" xfId="6029" builtinId="8" hidden="1"/>
    <cellStyle name="Hyperlink" xfId="6031" builtinId="8" hidden="1"/>
    <cellStyle name="Hyperlink" xfId="6033" builtinId="8" hidden="1"/>
    <cellStyle name="Hyperlink" xfId="6035" builtinId="8" hidden="1"/>
    <cellStyle name="Hyperlink" xfId="6037" builtinId="8" hidden="1"/>
    <cellStyle name="Hyperlink" xfId="6039" builtinId="8" hidden="1"/>
    <cellStyle name="Hyperlink" xfId="6041" builtinId="8" hidden="1"/>
    <cellStyle name="Hyperlink" xfId="6043" builtinId="8" hidden="1"/>
    <cellStyle name="Hyperlink" xfId="6045" builtinId="8" hidden="1"/>
    <cellStyle name="Hyperlink" xfId="6047" builtinId="8" hidden="1"/>
    <cellStyle name="Hyperlink" xfId="6049" builtinId="8" hidden="1"/>
    <cellStyle name="Hyperlink" xfId="6051" builtinId="8" hidden="1"/>
    <cellStyle name="Hyperlink" xfId="6053" builtinId="8" hidden="1"/>
    <cellStyle name="Hyperlink" xfId="6055" builtinId="8" hidden="1"/>
    <cellStyle name="Hyperlink" xfId="6057" builtinId="8" hidden="1"/>
    <cellStyle name="Hyperlink" xfId="6059" builtinId="8" hidden="1"/>
    <cellStyle name="Hyperlink" xfId="6061" builtinId="8" hidden="1"/>
    <cellStyle name="Hyperlink" xfId="6063" builtinId="8" hidden="1"/>
    <cellStyle name="Hyperlink" xfId="6065" builtinId="8" hidden="1"/>
    <cellStyle name="Hyperlink" xfId="6067" builtinId="8" hidden="1"/>
    <cellStyle name="Hyperlink" xfId="6069" builtinId="8" hidden="1"/>
    <cellStyle name="Hyperlink" xfId="6071" builtinId="8" hidden="1"/>
    <cellStyle name="Hyperlink" xfId="6073" builtinId="8" hidden="1"/>
    <cellStyle name="Hyperlink" xfId="6075" builtinId="8" hidden="1"/>
    <cellStyle name="Hyperlink" xfId="6077" builtinId="8" hidden="1"/>
    <cellStyle name="Hyperlink" xfId="6079" builtinId="8" hidden="1"/>
    <cellStyle name="Hyperlink" xfId="6081" builtinId="8" hidden="1"/>
    <cellStyle name="Hyperlink" xfId="6083" builtinId="8" hidden="1"/>
    <cellStyle name="Hyperlink" xfId="6085" builtinId="8" hidden="1"/>
    <cellStyle name="Hyperlink" xfId="6087" builtinId="8" hidden="1"/>
    <cellStyle name="Hyperlink" xfId="6089" builtinId="8" hidden="1"/>
    <cellStyle name="Hyperlink" xfId="6091" builtinId="8" hidden="1"/>
    <cellStyle name="Hyperlink" xfId="6093" builtinId="8" hidden="1"/>
    <cellStyle name="Hyperlink" xfId="6095" builtinId="8" hidden="1"/>
    <cellStyle name="Hyperlink" xfId="6097" builtinId="8" hidden="1"/>
    <cellStyle name="Hyperlink" xfId="6099" builtinId="8" hidden="1"/>
    <cellStyle name="Hyperlink" xfId="6101" builtinId="8" hidden="1"/>
    <cellStyle name="Hyperlink" xfId="6103" builtinId="8" hidden="1"/>
    <cellStyle name="Hyperlink" xfId="6105" builtinId="8" hidden="1"/>
    <cellStyle name="Hyperlink" xfId="6107" builtinId="8" hidden="1"/>
    <cellStyle name="Hyperlink" xfId="6109" builtinId="8" hidden="1"/>
    <cellStyle name="Hyperlink" xfId="6111" builtinId="8" hidden="1"/>
    <cellStyle name="Hyperlink" xfId="6113" builtinId="8" hidden="1"/>
    <cellStyle name="Hyperlink" xfId="6115" builtinId="8" hidden="1"/>
    <cellStyle name="Hyperlink" xfId="6117" builtinId="8" hidden="1"/>
    <cellStyle name="Hyperlink" xfId="6119" builtinId="8" hidden="1"/>
    <cellStyle name="Hyperlink" xfId="6121" builtinId="8" hidden="1"/>
    <cellStyle name="Hyperlink" xfId="6123" builtinId="8" hidden="1"/>
    <cellStyle name="Hyperlink" xfId="6125" builtinId="8" hidden="1"/>
    <cellStyle name="Hyperlink" xfId="6127" builtinId="8" hidden="1"/>
    <cellStyle name="Hyperlink" xfId="6129" builtinId="8" hidden="1"/>
    <cellStyle name="Hyperlink" xfId="6131" builtinId="8" hidden="1"/>
    <cellStyle name="Hyperlink" xfId="6133" builtinId="8" hidden="1"/>
    <cellStyle name="Hyperlink" xfId="6135" builtinId="8" hidden="1"/>
    <cellStyle name="Hyperlink" xfId="6137" builtinId="8" hidden="1"/>
    <cellStyle name="Hyperlink" xfId="6139" builtinId="8" hidden="1"/>
    <cellStyle name="Hyperlink" xfId="6141" builtinId="8" hidden="1"/>
    <cellStyle name="Hyperlink" xfId="6143" builtinId="8" hidden="1"/>
    <cellStyle name="Hyperlink" xfId="6145" builtinId="8" hidden="1"/>
    <cellStyle name="Hyperlink" xfId="6147" builtinId="8" hidden="1"/>
    <cellStyle name="Hyperlink" xfId="6149" builtinId="8" hidden="1"/>
    <cellStyle name="Hyperlink" xfId="6151" builtinId="8" hidden="1"/>
    <cellStyle name="Hyperlink" xfId="6153" builtinId="8" hidden="1"/>
    <cellStyle name="Hyperlink" xfId="6155" builtinId="8" hidden="1"/>
    <cellStyle name="Hyperlink" xfId="6157" builtinId="8" hidden="1"/>
    <cellStyle name="Hyperlink" xfId="6159" builtinId="8" hidden="1"/>
    <cellStyle name="Hyperlink" xfId="6161" builtinId="8" hidden="1"/>
    <cellStyle name="Hyperlink" xfId="6163" builtinId="8" hidden="1"/>
    <cellStyle name="Hyperlink" xfId="6165" builtinId="8" hidden="1"/>
    <cellStyle name="Hyperlink" xfId="6167" builtinId="8" hidden="1"/>
    <cellStyle name="Hyperlink" xfId="6169" builtinId="8" hidden="1"/>
    <cellStyle name="Hyperlink" xfId="6171" builtinId="8" hidden="1"/>
    <cellStyle name="Hyperlink" xfId="6173" builtinId="8" hidden="1"/>
    <cellStyle name="Hyperlink" xfId="6175" builtinId="8" hidden="1"/>
    <cellStyle name="Hyperlink" xfId="6177" builtinId="8" hidden="1"/>
    <cellStyle name="Hyperlink" xfId="6179" builtinId="8" hidden="1"/>
    <cellStyle name="Hyperlink" xfId="6181" builtinId="8" hidden="1"/>
    <cellStyle name="Hyperlink" xfId="6183" builtinId="8" hidden="1"/>
    <cellStyle name="Hyperlink" xfId="6185" builtinId="8" hidden="1"/>
    <cellStyle name="Hyperlink" xfId="6187" builtinId="8" hidden="1"/>
    <cellStyle name="Hyperlink" xfId="6189" builtinId="8" hidden="1"/>
    <cellStyle name="Hyperlink" xfId="6191" builtinId="8" hidden="1"/>
    <cellStyle name="Hyperlink" xfId="6193" builtinId="8" hidden="1"/>
    <cellStyle name="Hyperlink" xfId="6195" builtinId="8" hidden="1"/>
    <cellStyle name="Hyperlink" xfId="6197" builtinId="8" hidden="1"/>
    <cellStyle name="Hyperlink" xfId="6199" builtinId="8" hidden="1"/>
    <cellStyle name="Hyperlink" xfId="6201" builtinId="8" hidden="1"/>
    <cellStyle name="Hyperlink" xfId="6203" builtinId="8" hidden="1"/>
    <cellStyle name="Hyperlink" xfId="6205" builtinId="8" hidden="1"/>
    <cellStyle name="Hyperlink" xfId="6207" builtinId="8" hidden="1"/>
    <cellStyle name="Hyperlink" xfId="6209" builtinId="8" hidden="1"/>
    <cellStyle name="Hyperlink" xfId="6211" builtinId="8" hidden="1"/>
    <cellStyle name="Hyperlink" xfId="6213" builtinId="8" hidden="1"/>
    <cellStyle name="Hyperlink" xfId="6215" builtinId="8" hidden="1"/>
    <cellStyle name="Hyperlink" xfId="6217" builtinId="8" hidden="1"/>
    <cellStyle name="Hyperlink" xfId="6219" builtinId="8" hidden="1"/>
    <cellStyle name="Hyperlink" xfId="6221" builtinId="8" hidden="1"/>
    <cellStyle name="Hyperlink" xfId="6223" builtinId="8" hidden="1"/>
    <cellStyle name="Hyperlink" xfId="6225" builtinId="8" hidden="1"/>
    <cellStyle name="Hyperlink" xfId="6227" builtinId="8" hidden="1"/>
    <cellStyle name="Hyperlink" xfId="6229" builtinId="8" hidden="1"/>
    <cellStyle name="Hyperlink" xfId="6231" builtinId="8" hidden="1"/>
    <cellStyle name="Hyperlink" xfId="6233" builtinId="8" hidden="1"/>
    <cellStyle name="Hyperlink" xfId="6235" builtinId="8" hidden="1"/>
    <cellStyle name="Hyperlink" xfId="6237" builtinId="8" hidden="1"/>
    <cellStyle name="Hyperlink" xfId="6239" builtinId="8" hidden="1"/>
    <cellStyle name="Hyperlink" xfId="6241" builtinId="8" hidden="1"/>
    <cellStyle name="Hyperlink" xfId="6243" builtinId="8" hidden="1"/>
    <cellStyle name="Hyperlink" xfId="6245" builtinId="8" hidden="1"/>
    <cellStyle name="Hyperlink" xfId="6247" builtinId="8" hidden="1"/>
    <cellStyle name="Hyperlink" xfId="6249" builtinId="8" hidden="1"/>
    <cellStyle name="Hyperlink" xfId="6251" builtinId="8" hidden="1"/>
    <cellStyle name="Hyperlink" xfId="6253" builtinId="8" hidden="1"/>
    <cellStyle name="Hyperlink" xfId="6255" builtinId="8" hidden="1"/>
    <cellStyle name="Hyperlink" xfId="6257" builtinId="8" hidden="1"/>
    <cellStyle name="Hyperlink" xfId="6259" builtinId="8" hidden="1"/>
    <cellStyle name="Hyperlink" xfId="6261" builtinId="8" hidden="1"/>
    <cellStyle name="Hyperlink" xfId="6263" builtinId="8" hidden="1"/>
    <cellStyle name="Hyperlink" xfId="6265" builtinId="8" hidden="1"/>
    <cellStyle name="Hyperlink" xfId="6267" builtinId="8" hidden="1"/>
    <cellStyle name="Hyperlink" xfId="6269" builtinId="8" hidden="1"/>
    <cellStyle name="Hyperlink" xfId="6271" builtinId="8" hidden="1"/>
    <cellStyle name="Hyperlink" xfId="6273" builtinId="8" hidden="1"/>
    <cellStyle name="Hyperlink" xfId="6275" builtinId="8" hidden="1"/>
    <cellStyle name="Hyperlink" xfId="6277" builtinId="8" hidden="1"/>
    <cellStyle name="Hyperlink" xfId="6279" builtinId="8" hidden="1"/>
    <cellStyle name="Hyperlink" xfId="6281" builtinId="8" hidden="1"/>
    <cellStyle name="Hyperlink" xfId="6283" builtinId="8" hidden="1"/>
    <cellStyle name="Hyperlink" xfId="6285" builtinId="8" hidden="1"/>
    <cellStyle name="Hyperlink" xfId="6287" builtinId="8" hidden="1"/>
    <cellStyle name="Hyperlink" xfId="6289" builtinId="8" hidden="1"/>
    <cellStyle name="Hyperlink" xfId="6291" builtinId="8" hidden="1"/>
    <cellStyle name="Hyperlink" xfId="6293" builtinId="8" hidden="1"/>
    <cellStyle name="Hyperlink" xfId="6295" builtinId="8" hidden="1"/>
    <cellStyle name="Hyperlink" xfId="6297" builtinId="8" hidden="1"/>
    <cellStyle name="Hyperlink" xfId="6299" builtinId="8" hidden="1"/>
    <cellStyle name="Hyperlink" xfId="6301" builtinId="8" hidden="1"/>
    <cellStyle name="Hyperlink" xfId="6303" builtinId="8" hidden="1"/>
    <cellStyle name="Hyperlink" xfId="6305" builtinId="8" hidden="1"/>
    <cellStyle name="Hyperlink" xfId="6307" builtinId="8" hidden="1"/>
    <cellStyle name="Hyperlink" xfId="6309" builtinId="8" hidden="1"/>
    <cellStyle name="Hyperlink" xfId="6311" builtinId="8" hidden="1"/>
    <cellStyle name="Hyperlink" xfId="6313" builtinId="8" hidden="1"/>
    <cellStyle name="Hyperlink" xfId="6315" builtinId="8" hidden="1"/>
    <cellStyle name="Hyperlink" xfId="6317" builtinId="8" hidden="1"/>
    <cellStyle name="Hyperlink" xfId="6319" builtinId="8" hidden="1"/>
    <cellStyle name="Hyperlink" xfId="6321" builtinId="8" hidden="1"/>
    <cellStyle name="Hyperlink" xfId="6323" builtinId="8" hidden="1"/>
    <cellStyle name="Hyperlink" xfId="6325" builtinId="8" hidden="1"/>
    <cellStyle name="Hyperlink" xfId="6327" builtinId="8" hidden="1"/>
    <cellStyle name="Hyperlink" xfId="6329" builtinId="8" hidden="1"/>
    <cellStyle name="Hyperlink" xfId="6331" builtinId="8" hidden="1"/>
    <cellStyle name="Hyperlink" xfId="6333" builtinId="8" hidden="1"/>
    <cellStyle name="Hyperlink" xfId="6335" builtinId="8" hidden="1"/>
    <cellStyle name="Hyperlink" xfId="6337" builtinId="8" hidden="1"/>
    <cellStyle name="Hyperlink" xfId="6339" builtinId="8" hidden="1"/>
    <cellStyle name="Hyperlink" xfId="6341" builtinId="8" hidden="1"/>
    <cellStyle name="Hyperlink" xfId="6343" builtinId="8" hidden="1"/>
    <cellStyle name="Hyperlink" xfId="6345" builtinId="8" hidden="1"/>
    <cellStyle name="Hyperlink" xfId="6347" builtinId="8" hidden="1"/>
    <cellStyle name="Hyperlink" xfId="6349" builtinId="8" hidden="1"/>
    <cellStyle name="Hyperlink" xfId="6351" builtinId="8" hidden="1"/>
    <cellStyle name="Hyperlink" xfId="6353" builtinId="8" hidden="1"/>
    <cellStyle name="Hyperlink" xfId="6355" builtinId="8" hidden="1"/>
    <cellStyle name="Hyperlink" xfId="6357" builtinId="8" hidden="1"/>
    <cellStyle name="Hyperlink" xfId="6359" builtinId="8" hidden="1"/>
    <cellStyle name="Hyperlink" xfId="6361" builtinId="8" hidden="1"/>
    <cellStyle name="Hyperlink" xfId="6363" builtinId="8" hidden="1"/>
    <cellStyle name="Hyperlink" xfId="6365" builtinId="8" hidden="1"/>
    <cellStyle name="Hyperlink" xfId="6367" builtinId="8" hidden="1"/>
    <cellStyle name="Hyperlink" xfId="6369" builtinId="8" hidden="1"/>
    <cellStyle name="Hyperlink" xfId="6371" builtinId="8" hidden="1"/>
    <cellStyle name="Hyperlink" xfId="6373" builtinId="8" hidden="1"/>
    <cellStyle name="Hyperlink" xfId="6375" builtinId="8" hidden="1"/>
    <cellStyle name="Hyperlink" xfId="6377" builtinId="8" hidden="1"/>
    <cellStyle name="Hyperlink" xfId="6379" builtinId="8" hidden="1"/>
    <cellStyle name="Hyperlink" xfId="6381" builtinId="8" hidden="1"/>
    <cellStyle name="Hyperlink" xfId="6383" builtinId="8" hidden="1"/>
    <cellStyle name="Hyperlink" xfId="6385" builtinId="8" hidden="1"/>
    <cellStyle name="Hyperlink" xfId="6387" builtinId="8" hidden="1"/>
    <cellStyle name="Hyperlink" xfId="6389" builtinId="8" hidden="1"/>
    <cellStyle name="Hyperlink" xfId="6391" builtinId="8" hidden="1"/>
    <cellStyle name="Hyperlink" xfId="6393" builtinId="8" hidden="1"/>
    <cellStyle name="Hyperlink" xfId="6395" builtinId="8" hidden="1"/>
    <cellStyle name="Hyperlink" xfId="6397" builtinId="8" hidden="1"/>
    <cellStyle name="Hyperlink" xfId="6399" builtinId="8" hidden="1"/>
    <cellStyle name="Hyperlink" xfId="6401" builtinId="8" hidden="1"/>
    <cellStyle name="Hyperlink" xfId="6403" builtinId="8" hidden="1"/>
    <cellStyle name="Hyperlink" xfId="6405" builtinId="8" hidden="1"/>
    <cellStyle name="Hyperlink" xfId="6407" builtinId="8" hidden="1"/>
    <cellStyle name="Hyperlink" xfId="6409" builtinId="8" hidden="1"/>
    <cellStyle name="Hyperlink" xfId="6411" builtinId="8" hidden="1"/>
    <cellStyle name="Hyperlink" xfId="6413" builtinId="8" hidden="1"/>
    <cellStyle name="Hyperlink" xfId="6415" builtinId="8" hidden="1"/>
    <cellStyle name="Hyperlink" xfId="6417" builtinId="8" hidden="1"/>
    <cellStyle name="Hyperlink" xfId="6419" builtinId="8" hidden="1"/>
    <cellStyle name="Hyperlink" xfId="6421" builtinId="8" hidden="1"/>
    <cellStyle name="Hyperlink" xfId="6423" builtinId="8" hidden="1"/>
    <cellStyle name="Hyperlink" xfId="6425" builtinId="8" hidden="1"/>
    <cellStyle name="Hyperlink" xfId="6427" builtinId="8" hidden="1"/>
    <cellStyle name="Hyperlink" xfId="6429" builtinId="8" hidden="1"/>
    <cellStyle name="Hyperlink" xfId="6431" builtinId="8" hidden="1"/>
    <cellStyle name="Hyperlink" xfId="6433" builtinId="8" hidden="1"/>
    <cellStyle name="Hyperlink" xfId="6435" builtinId="8" hidden="1"/>
    <cellStyle name="Hyperlink" xfId="6437" builtinId="8" hidden="1"/>
    <cellStyle name="Hyperlink" xfId="6439" builtinId="8" hidden="1"/>
    <cellStyle name="Hyperlink" xfId="6441" builtinId="8" hidden="1"/>
    <cellStyle name="Hyperlink" xfId="6443" builtinId="8" hidden="1"/>
    <cellStyle name="Hyperlink" xfId="6445" builtinId="8" hidden="1"/>
    <cellStyle name="Hyperlink" xfId="6447" builtinId="8" hidden="1"/>
    <cellStyle name="Hyperlink" xfId="6449" builtinId="8" hidden="1"/>
    <cellStyle name="Hyperlink" xfId="6451" builtinId="8" hidden="1"/>
    <cellStyle name="Hyperlink" xfId="6453" builtinId="8" hidden="1"/>
    <cellStyle name="Hyperlink" xfId="6455" builtinId="8" hidden="1"/>
    <cellStyle name="Hyperlink" xfId="6457" builtinId="8" hidden="1"/>
    <cellStyle name="Hyperlink" xfId="6459" builtinId="8" hidden="1"/>
    <cellStyle name="Hyperlink" xfId="6461" builtinId="8" hidden="1"/>
    <cellStyle name="Hyperlink" xfId="6463" builtinId="8" hidden="1"/>
    <cellStyle name="Hyperlink" xfId="6465" builtinId="8" hidden="1"/>
    <cellStyle name="Hyperlink" xfId="6467" builtinId="8" hidden="1"/>
    <cellStyle name="Hyperlink" xfId="6469" builtinId="8" hidden="1"/>
    <cellStyle name="Hyperlink" xfId="6471" builtinId="8" hidden="1"/>
    <cellStyle name="Hyperlink" xfId="6473" builtinId="8" hidden="1"/>
    <cellStyle name="Hyperlink" xfId="6475" builtinId="8" hidden="1"/>
    <cellStyle name="Hyperlink" xfId="6477" builtinId="8" hidden="1"/>
    <cellStyle name="Hyperlink" xfId="6479" builtinId="8" hidden="1"/>
    <cellStyle name="Hyperlink" xfId="6481" builtinId="8" hidden="1"/>
    <cellStyle name="Hyperlink" xfId="6483" builtinId="8" hidden="1"/>
    <cellStyle name="Hyperlink" xfId="6485" builtinId="8" hidden="1"/>
    <cellStyle name="Hyperlink" xfId="6487" builtinId="8" hidden="1"/>
    <cellStyle name="Hyperlink" xfId="6489" builtinId="8" hidden="1"/>
    <cellStyle name="Hyperlink" xfId="6491" builtinId="8" hidden="1"/>
    <cellStyle name="Hyperlink" xfId="6493" builtinId="8" hidden="1"/>
    <cellStyle name="Hyperlink" xfId="6495" builtinId="8" hidden="1"/>
    <cellStyle name="Hyperlink" xfId="6497" builtinId="8" hidden="1"/>
    <cellStyle name="Hyperlink" xfId="6499" builtinId="8" hidden="1"/>
    <cellStyle name="Hyperlink" xfId="6501" builtinId="8" hidden="1"/>
    <cellStyle name="Hyperlink" xfId="6503" builtinId="8" hidden="1"/>
    <cellStyle name="Hyperlink" xfId="6505" builtinId="8" hidden="1"/>
    <cellStyle name="Hyperlink" xfId="6507" builtinId="8" hidden="1"/>
    <cellStyle name="Hyperlink" xfId="6509" builtinId="8" hidden="1"/>
    <cellStyle name="Hyperlink" xfId="6511" builtinId="8" hidden="1"/>
    <cellStyle name="Hyperlink" xfId="6513" builtinId="8" hidden="1"/>
    <cellStyle name="Hyperlink" xfId="6515" builtinId="8" hidden="1"/>
    <cellStyle name="Hyperlink" xfId="6517" builtinId="8" hidden="1"/>
    <cellStyle name="Hyperlink" xfId="6519" builtinId="8" hidden="1"/>
    <cellStyle name="Hyperlink" xfId="6521" builtinId="8" hidden="1"/>
    <cellStyle name="Hyperlink" xfId="6523" builtinId="8" hidden="1"/>
    <cellStyle name="Hyperlink" xfId="6525" builtinId="8" hidden="1"/>
    <cellStyle name="Hyperlink" xfId="6527" builtinId="8" hidden="1"/>
    <cellStyle name="Hyperlink" xfId="6529" builtinId="8" hidden="1"/>
    <cellStyle name="Hyperlink" xfId="6531" builtinId="8" hidden="1"/>
    <cellStyle name="Hyperlink" xfId="6533" builtinId="8" hidden="1"/>
    <cellStyle name="Hyperlink" xfId="6535" builtinId="8" hidden="1"/>
    <cellStyle name="Hyperlink" xfId="6537" builtinId="8" hidden="1"/>
    <cellStyle name="Hyperlink" xfId="6539" builtinId="8" hidden="1"/>
    <cellStyle name="Hyperlink" xfId="6541" builtinId="8" hidden="1"/>
    <cellStyle name="Hyperlink" xfId="6543" builtinId="8" hidden="1"/>
    <cellStyle name="Hyperlink" xfId="6545" builtinId="8" hidden="1"/>
    <cellStyle name="Hyperlink" xfId="6547" builtinId="8" hidden="1"/>
    <cellStyle name="Hyperlink" xfId="6549" builtinId="8" hidden="1"/>
    <cellStyle name="Hyperlink" xfId="6551" builtinId="8" hidden="1"/>
    <cellStyle name="Hyperlink" xfId="6553" builtinId="8" hidden="1"/>
    <cellStyle name="Hyperlink" xfId="6555" builtinId="8" hidden="1"/>
    <cellStyle name="Hyperlink" xfId="6557" builtinId="8" hidden="1"/>
    <cellStyle name="Hyperlink" xfId="6559" builtinId="8" hidden="1"/>
    <cellStyle name="Hyperlink" xfId="6561" builtinId="8" hidden="1"/>
    <cellStyle name="Hyperlink" xfId="6563" builtinId="8" hidden="1"/>
    <cellStyle name="Hyperlink" xfId="6565" builtinId="8" hidden="1"/>
    <cellStyle name="Hyperlink" xfId="6567" builtinId="8" hidden="1"/>
    <cellStyle name="Hyperlink" xfId="6569" builtinId="8" hidden="1"/>
    <cellStyle name="Hyperlink" xfId="6571" builtinId="8" hidden="1"/>
    <cellStyle name="Hyperlink" xfId="6573" builtinId="8" hidden="1"/>
    <cellStyle name="Hyperlink" xfId="6575" builtinId="8" hidden="1"/>
    <cellStyle name="Hyperlink" xfId="6577" builtinId="8" hidden="1"/>
    <cellStyle name="Hyperlink" xfId="6579" builtinId="8" hidden="1"/>
    <cellStyle name="Hyperlink" xfId="6581" builtinId="8" hidden="1"/>
    <cellStyle name="Hyperlink" xfId="6583" builtinId="8" hidden="1"/>
    <cellStyle name="Hyperlink" xfId="6585" builtinId="8" hidden="1"/>
    <cellStyle name="Hyperlink" xfId="6587" builtinId="8" hidden="1"/>
    <cellStyle name="Hyperlink" xfId="6589" builtinId="8" hidden="1"/>
    <cellStyle name="Hyperlink" xfId="6591" builtinId="8" hidden="1"/>
    <cellStyle name="Hyperlink" xfId="6593" builtinId="8" hidden="1"/>
    <cellStyle name="Hyperlink" xfId="6595" builtinId="8" hidden="1"/>
    <cellStyle name="Hyperlink" xfId="6597" builtinId="8" hidden="1"/>
    <cellStyle name="Hyperlink" xfId="6599" builtinId="8" hidden="1"/>
    <cellStyle name="Hyperlink" xfId="6601" builtinId="8" hidden="1"/>
    <cellStyle name="Hyperlink" xfId="6603" builtinId="8" hidden="1"/>
    <cellStyle name="Hyperlink" xfId="6605" builtinId="8" hidden="1"/>
    <cellStyle name="Hyperlink" xfId="6607" builtinId="8" hidden="1"/>
    <cellStyle name="Hyperlink" xfId="6609" builtinId="8" hidden="1"/>
    <cellStyle name="Hyperlink" xfId="6611" builtinId="8" hidden="1"/>
    <cellStyle name="Hyperlink" xfId="6613" builtinId="8" hidden="1"/>
    <cellStyle name="Hyperlink" xfId="6615" builtinId="8" hidden="1"/>
    <cellStyle name="Hyperlink" xfId="6617" builtinId="8" hidden="1"/>
    <cellStyle name="Hyperlink" xfId="6619" builtinId="8" hidden="1"/>
    <cellStyle name="Hyperlink" xfId="6621" builtinId="8" hidden="1"/>
    <cellStyle name="Hyperlink" xfId="6623" builtinId="8" hidden="1"/>
    <cellStyle name="Hyperlink" xfId="6625" builtinId="8" hidden="1"/>
    <cellStyle name="Hyperlink" xfId="6627" builtinId="8" hidden="1"/>
    <cellStyle name="Hyperlink" xfId="6629" builtinId="8" hidden="1"/>
    <cellStyle name="Hyperlink" xfId="6631" builtinId="8" hidden="1"/>
    <cellStyle name="Hyperlink" xfId="6633" builtinId="8" hidden="1"/>
    <cellStyle name="Hyperlink" xfId="6635" builtinId="8" hidden="1"/>
    <cellStyle name="Hyperlink" xfId="6637" builtinId="8" hidden="1"/>
    <cellStyle name="Hyperlink" xfId="6639" builtinId="8" hidden="1"/>
    <cellStyle name="Hyperlink" xfId="6641" builtinId="8" hidden="1"/>
    <cellStyle name="Hyperlink" xfId="6643" builtinId="8" hidden="1"/>
    <cellStyle name="Hyperlink" xfId="6645" builtinId="8" hidden="1"/>
    <cellStyle name="Hyperlink" xfId="6647" builtinId="8" hidden="1"/>
    <cellStyle name="Hyperlink" xfId="6649" builtinId="8" hidden="1"/>
    <cellStyle name="Hyperlink" xfId="6651" builtinId="8" hidden="1"/>
    <cellStyle name="Hyperlink" xfId="6653" builtinId="8" hidden="1"/>
    <cellStyle name="Hyperlink" xfId="6655" builtinId="8" hidden="1"/>
    <cellStyle name="Hyperlink" xfId="6657" builtinId="8" hidden="1"/>
    <cellStyle name="Hyperlink" xfId="6659" builtinId="8" hidden="1"/>
    <cellStyle name="Hyperlink" xfId="6661" builtinId="8" hidden="1"/>
    <cellStyle name="Hyperlink" xfId="6663" builtinId="8" hidden="1"/>
    <cellStyle name="Hyperlink" xfId="6665" builtinId="8" hidden="1"/>
    <cellStyle name="Hyperlink" xfId="6667" builtinId="8" hidden="1"/>
    <cellStyle name="Hyperlink" xfId="6669" builtinId="8" hidden="1"/>
    <cellStyle name="Hyperlink" xfId="6671" builtinId="8" hidden="1"/>
    <cellStyle name="Hyperlink" xfId="6673" builtinId="8" hidden="1"/>
    <cellStyle name="Hyperlink" xfId="6675" builtinId="8" hidden="1"/>
    <cellStyle name="Hyperlink" xfId="6677" builtinId="8" hidden="1"/>
    <cellStyle name="Hyperlink" xfId="6679" builtinId="8" hidden="1"/>
    <cellStyle name="Hyperlink" xfId="6681" builtinId="8" hidden="1"/>
    <cellStyle name="Hyperlink" xfId="6683" builtinId="8" hidden="1"/>
    <cellStyle name="Hyperlink" xfId="6685" builtinId="8" hidden="1"/>
    <cellStyle name="Hyperlink" xfId="6687" builtinId="8" hidden="1"/>
    <cellStyle name="Hyperlink" xfId="6689" builtinId="8" hidden="1"/>
    <cellStyle name="Hyperlink" xfId="6691" builtinId="8" hidden="1"/>
    <cellStyle name="Hyperlink" xfId="6693" builtinId="8" hidden="1"/>
    <cellStyle name="Hyperlink" xfId="6695" builtinId="8" hidden="1"/>
    <cellStyle name="Hyperlink" xfId="6697" builtinId="8" hidden="1"/>
    <cellStyle name="Hyperlink" xfId="6699" builtinId="8" hidden="1"/>
    <cellStyle name="Hyperlink" xfId="6701" builtinId="8" hidden="1"/>
    <cellStyle name="Hyperlink" xfId="6703" builtinId="8" hidden="1"/>
    <cellStyle name="Hyperlink" xfId="6705" builtinId="8" hidden="1"/>
    <cellStyle name="Hyperlink" xfId="6707" builtinId="8" hidden="1"/>
    <cellStyle name="Hyperlink" xfId="6709" builtinId="8" hidden="1"/>
    <cellStyle name="Hyperlink" xfId="6711" builtinId="8" hidden="1"/>
    <cellStyle name="Hyperlink" xfId="6713" builtinId="8" hidden="1"/>
    <cellStyle name="Hyperlink" xfId="6715" builtinId="8" hidden="1"/>
    <cellStyle name="Hyperlink" xfId="6717" builtinId="8" hidden="1"/>
    <cellStyle name="Hyperlink" xfId="6719" builtinId="8" hidden="1"/>
    <cellStyle name="Hyperlink" xfId="6721" builtinId="8" hidden="1"/>
    <cellStyle name="Hyperlink" xfId="6723" builtinId="8" hidden="1"/>
    <cellStyle name="Hyperlink" xfId="6725" builtinId="8" hidden="1"/>
    <cellStyle name="Hyperlink" xfId="6727" builtinId="8" hidden="1"/>
    <cellStyle name="Hyperlink" xfId="6729" builtinId="8" hidden="1"/>
    <cellStyle name="Hyperlink" xfId="6731" builtinId="8" hidden="1"/>
    <cellStyle name="Hyperlink" xfId="6733" builtinId="8" hidden="1"/>
    <cellStyle name="Hyperlink" xfId="6735" builtinId="8" hidden="1"/>
    <cellStyle name="Hyperlink" xfId="6737" builtinId="8" hidden="1"/>
    <cellStyle name="Hyperlink" xfId="6739" builtinId="8" hidden="1"/>
    <cellStyle name="Hyperlink" xfId="6741" builtinId="8" hidden="1"/>
    <cellStyle name="Hyperlink" xfId="6743" builtinId="8" hidden="1"/>
    <cellStyle name="Hyperlink" xfId="6745" builtinId="8" hidden="1"/>
    <cellStyle name="Hyperlink" xfId="6747" builtinId="8" hidden="1"/>
    <cellStyle name="Hyperlink" xfId="6749" builtinId="8" hidden="1"/>
    <cellStyle name="Hyperlink" xfId="6751" builtinId="8" hidden="1"/>
    <cellStyle name="Hyperlink" xfId="6753" builtinId="8" hidden="1"/>
    <cellStyle name="Hyperlink" xfId="6755" builtinId="8" hidden="1"/>
    <cellStyle name="Hyperlink" xfId="6757" builtinId="8" hidden="1"/>
    <cellStyle name="Hyperlink" xfId="6759" builtinId="8" hidden="1"/>
    <cellStyle name="Hyperlink" xfId="6761" builtinId="8" hidden="1"/>
    <cellStyle name="Hyperlink" xfId="6763" builtinId="8" hidden="1"/>
    <cellStyle name="Hyperlink" xfId="6765" builtinId="8" hidden="1"/>
    <cellStyle name="Hyperlink" xfId="6767" builtinId="8" hidden="1"/>
    <cellStyle name="Hyperlink" xfId="6769" builtinId="8" hidden="1"/>
    <cellStyle name="Hyperlink" xfId="6771" builtinId="8" hidden="1"/>
    <cellStyle name="Hyperlink" xfId="6773" builtinId="8" hidden="1"/>
    <cellStyle name="Hyperlink" xfId="6775" builtinId="8" hidden="1"/>
    <cellStyle name="Hyperlink" xfId="6777" builtinId="8" hidden="1"/>
    <cellStyle name="Hyperlink" xfId="6779" builtinId="8" hidden="1"/>
    <cellStyle name="Hyperlink" xfId="6781" builtinId="8" hidden="1"/>
    <cellStyle name="Hyperlink" xfId="6783" builtinId="8" hidden="1"/>
    <cellStyle name="Hyperlink" xfId="6785" builtinId="8" hidden="1"/>
    <cellStyle name="Hyperlink" xfId="6787" builtinId="8" hidden="1"/>
    <cellStyle name="Hyperlink" xfId="6789" builtinId="8" hidden="1"/>
    <cellStyle name="Hyperlink" xfId="6791" builtinId="8" hidden="1"/>
    <cellStyle name="Hyperlink" xfId="6793" builtinId="8" hidden="1"/>
    <cellStyle name="Hyperlink" xfId="6795" builtinId="8" hidden="1"/>
    <cellStyle name="Hyperlink" xfId="6797" builtinId="8" hidden="1"/>
    <cellStyle name="Hyperlink" xfId="6799" builtinId="8" hidden="1"/>
    <cellStyle name="Hyperlink" xfId="6801" builtinId="8" hidden="1"/>
    <cellStyle name="Hyperlink" xfId="6803" builtinId="8" hidden="1"/>
    <cellStyle name="Hyperlink" xfId="6805" builtinId="8" hidden="1"/>
    <cellStyle name="Hyperlink" xfId="6807" builtinId="8" hidden="1"/>
    <cellStyle name="Hyperlink" xfId="6809" builtinId="8" hidden="1"/>
    <cellStyle name="Hyperlink" xfId="6811" builtinId="8" hidden="1"/>
    <cellStyle name="Hyperlink" xfId="6813" builtinId="8" hidden="1"/>
    <cellStyle name="Hyperlink" xfId="6815" builtinId="8" hidden="1"/>
    <cellStyle name="Hyperlink" xfId="6817" builtinId="8" hidden="1"/>
    <cellStyle name="Hyperlink" xfId="6819" builtinId="8" hidden="1"/>
    <cellStyle name="Hyperlink" xfId="6821" builtinId="8" hidden="1"/>
    <cellStyle name="Hyperlink" xfId="6823" builtinId="8" hidden="1"/>
    <cellStyle name="Hyperlink" xfId="6825" builtinId="8" hidden="1"/>
    <cellStyle name="Hyperlink" xfId="6827" builtinId="8" hidden="1"/>
    <cellStyle name="Hyperlink" xfId="6829" builtinId="8" hidden="1"/>
    <cellStyle name="Hyperlink" xfId="6831" builtinId="8" hidden="1"/>
    <cellStyle name="Hyperlink" xfId="6833" builtinId="8" hidden="1"/>
    <cellStyle name="Hyperlink" xfId="6835" builtinId="8" hidden="1"/>
    <cellStyle name="Hyperlink" xfId="6837" builtinId="8" hidden="1"/>
    <cellStyle name="Hyperlink" xfId="6839" builtinId="8" hidden="1"/>
    <cellStyle name="Hyperlink" xfId="6841" builtinId="8" hidden="1"/>
    <cellStyle name="Hyperlink" xfId="6843" builtinId="8" hidden="1"/>
    <cellStyle name="Hyperlink" xfId="6845" builtinId="8" hidden="1"/>
    <cellStyle name="Hyperlink" xfId="6847" builtinId="8" hidden="1"/>
    <cellStyle name="Hyperlink" xfId="6849" builtinId="8" hidden="1"/>
    <cellStyle name="Hyperlink" xfId="6851" builtinId="8" hidden="1"/>
    <cellStyle name="Hyperlink" xfId="6853" builtinId="8" hidden="1"/>
    <cellStyle name="Hyperlink" xfId="6855" builtinId="8" hidden="1"/>
    <cellStyle name="Hyperlink" xfId="6857" builtinId="8" hidden="1"/>
    <cellStyle name="Hyperlink" xfId="6859" builtinId="8" hidden="1"/>
    <cellStyle name="Hyperlink" xfId="6861" builtinId="8" hidden="1"/>
    <cellStyle name="Hyperlink" xfId="6863" builtinId="8" hidden="1"/>
    <cellStyle name="Hyperlink" xfId="6865" builtinId="8" hidden="1"/>
    <cellStyle name="Hyperlink" xfId="6867" builtinId="8" hidden="1"/>
    <cellStyle name="Hyperlink" xfId="6869" builtinId="8" hidden="1"/>
    <cellStyle name="Hyperlink" xfId="6871" builtinId="8" hidden="1"/>
    <cellStyle name="Hyperlink" xfId="6873" builtinId="8" hidden="1"/>
    <cellStyle name="Hyperlink" xfId="6875" builtinId="8" hidden="1"/>
    <cellStyle name="Hyperlink" xfId="6877" builtinId="8" hidden="1"/>
    <cellStyle name="Hyperlink" xfId="6879" builtinId="8" hidden="1"/>
    <cellStyle name="Hyperlink" xfId="6881" builtinId="8" hidden="1"/>
    <cellStyle name="Hyperlink" xfId="6883" builtinId="8" hidden="1"/>
    <cellStyle name="Hyperlink" xfId="6885" builtinId="8" hidden="1"/>
    <cellStyle name="Hyperlink" xfId="6887" builtinId="8" hidden="1"/>
    <cellStyle name="Hyperlink" xfId="6889" builtinId="8" hidden="1"/>
    <cellStyle name="Hyperlink" xfId="6891" builtinId="8" hidden="1"/>
    <cellStyle name="Hyperlink" xfId="6893" builtinId="8" hidden="1"/>
    <cellStyle name="Hyperlink" xfId="6895" builtinId="8" hidden="1"/>
    <cellStyle name="Hyperlink" xfId="6897" builtinId="8" hidden="1"/>
    <cellStyle name="Hyperlink" xfId="6899" builtinId="8" hidden="1"/>
    <cellStyle name="Hyperlink" xfId="6901" builtinId="8" hidden="1"/>
    <cellStyle name="Hyperlink" xfId="6903" builtinId="8" hidden="1"/>
    <cellStyle name="Hyperlink" xfId="6905" builtinId="8" hidden="1"/>
    <cellStyle name="Hyperlink" xfId="6907" builtinId="8" hidden="1"/>
    <cellStyle name="Hyperlink" xfId="6909" builtinId="8" hidden="1"/>
    <cellStyle name="Hyperlink" xfId="6911" builtinId="8" hidden="1"/>
    <cellStyle name="Hyperlink" xfId="6913" builtinId="8" hidden="1"/>
    <cellStyle name="Hyperlink" xfId="6915" builtinId="8" hidden="1"/>
    <cellStyle name="Hyperlink" xfId="6917" builtinId="8" hidden="1"/>
    <cellStyle name="Hyperlink" xfId="6919" builtinId="8" hidden="1"/>
    <cellStyle name="Hyperlink" xfId="6921" builtinId="8" hidden="1"/>
    <cellStyle name="Hyperlink" xfId="6923" builtinId="8" hidden="1"/>
    <cellStyle name="Hyperlink" xfId="6925" builtinId="8" hidden="1"/>
    <cellStyle name="Hyperlink" xfId="6927" builtinId="8" hidden="1"/>
    <cellStyle name="Hyperlink" xfId="6929" builtinId="8" hidden="1"/>
    <cellStyle name="Hyperlink" xfId="6931" builtinId="8" hidden="1"/>
    <cellStyle name="Hyperlink" xfId="6933" builtinId="8" hidden="1"/>
    <cellStyle name="Hyperlink" xfId="6935" builtinId="8" hidden="1"/>
    <cellStyle name="Hyperlink" xfId="6937" builtinId="8" hidden="1"/>
    <cellStyle name="Hyperlink" xfId="6939" builtinId="8" hidden="1"/>
    <cellStyle name="Hyperlink" xfId="6941" builtinId="8" hidden="1"/>
    <cellStyle name="Hyperlink" xfId="6943" builtinId="8" hidden="1"/>
    <cellStyle name="Hyperlink" xfId="6945" builtinId="8" hidden="1"/>
    <cellStyle name="Hyperlink" xfId="6947" builtinId="8" hidden="1"/>
    <cellStyle name="Hyperlink" xfId="6949" builtinId="8" hidden="1"/>
    <cellStyle name="Hyperlink" xfId="6951" builtinId="8" hidden="1"/>
    <cellStyle name="Hyperlink" xfId="6953" builtinId="8" hidden="1"/>
    <cellStyle name="Hyperlink" xfId="6955" builtinId="8" hidden="1"/>
    <cellStyle name="Hyperlink" xfId="6957" builtinId="8" hidden="1"/>
    <cellStyle name="Hyperlink" xfId="6959" builtinId="8" hidden="1"/>
    <cellStyle name="Hyperlink" xfId="6961" builtinId="8" hidden="1"/>
    <cellStyle name="Hyperlink" xfId="6963" builtinId="8" hidden="1"/>
    <cellStyle name="Hyperlink" xfId="6965" builtinId="8" hidden="1"/>
    <cellStyle name="Hyperlink" xfId="6967" builtinId="8" hidden="1"/>
    <cellStyle name="Hyperlink" xfId="6969" builtinId="8" hidden="1"/>
    <cellStyle name="Hyperlink" xfId="6971" builtinId="8" hidden="1"/>
    <cellStyle name="Hyperlink" xfId="6973" builtinId="8" hidden="1"/>
    <cellStyle name="Hyperlink" xfId="6975" builtinId="8" hidden="1"/>
    <cellStyle name="Hyperlink" xfId="6977" builtinId="8" hidden="1"/>
    <cellStyle name="Hyperlink" xfId="6979" builtinId="8" hidden="1"/>
    <cellStyle name="Hyperlink" xfId="6981" builtinId="8" hidden="1"/>
    <cellStyle name="Hyperlink" xfId="6983" builtinId="8" hidden="1"/>
    <cellStyle name="Hyperlink" xfId="6985" builtinId="8" hidden="1"/>
    <cellStyle name="Hyperlink" xfId="6987" builtinId="8" hidden="1"/>
    <cellStyle name="Hyperlink" xfId="6989" builtinId="8" hidden="1"/>
    <cellStyle name="Hyperlink" xfId="6991" builtinId="8" hidden="1"/>
    <cellStyle name="Hyperlink" xfId="6993" builtinId="8" hidden="1"/>
    <cellStyle name="Hyperlink" xfId="6995" builtinId="8" hidden="1"/>
    <cellStyle name="Hyperlink" xfId="6997" builtinId="8" hidden="1"/>
    <cellStyle name="Hyperlink" xfId="6999" builtinId="8" hidden="1"/>
    <cellStyle name="Hyperlink" xfId="7001" builtinId="8" hidden="1"/>
    <cellStyle name="Hyperlink" xfId="7003" builtinId="8" hidden="1"/>
    <cellStyle name="Hyperlink" xfId="7005" builtinId="8" hidden="1"/>
    <cellStyle name="Hyperlink" xfId="7007" builtinId="8" hidden="1"/>
    <cellStyle name="Hyperlink" xfId="7009" builtinId="8" hidden="1"/>
    <cellStyle name="Hyperlink" xfId="7011" builtinId="8" hidden="1"/>
    <cellStyle name="Hyperlink" xfId="7013" builtinId="8" hidden="1"/>
    <cellStyle name="Hyperlink" xfId="7015" builtinId="8" hidden="1"/>
    <cellStyle name="Hyperlink" xfId="7017" builtinId="8" hidden="1"/>
    <cellStyle name="Hyperlink" xfId="7019" builtinId="8" hidden="1"/>
    <cellStyle name="Hyperlink" xfId="7021" builtinId="8" hidden="1"/>
    <cellStyle name="Hyperlink" xfId="7023" builtinId="8" hidden="1"/>
    <cellStyle name="Hyperlink" xfId="7025" builtinId="8" hidden="1"/>
    <cellStyle name="Hyperlink" xfId="7027" builtinId="8" hidden="1"/>
    <cellStyle name="Hyperlink" xfId="7029" builtinId="8" hidden="1"/>
    <cellStyle name="Hyperlink" xfId="7031" builtinId="8" hidden="1"/>
    <cellStyle name="Hyperlink" xfId="7033" builtinId="8" hidden="1"/>
    <cellStyle name="Hyperlink" xfId="7035" builtinId="8" hidden="1"/>
    <cellStyle name="Hyperlink" xfId="7037" builtinId="8" hidden="1"/>
    <cellStyle name="Hyperlink" xfId="7039" builtinId="8" hidden="1"/>
    <cellStyle name="Hyperlink" xfId="7041" builtinId="8" hidden="1"/>
    <cellStyle name="Hyperlink" xfId="7043" builtinId="8" hidden="1"/>
    <cellStyle name="Hyperlink" xfId="7045" builtinId="8" hidden="1"/>
    <cellStyle name="Hyperlink" xfId="7047" builtinId="8" hidden="1"/>
    <cellStyle name="Hyperlink" xfId="7049" builtinId="8" hidden="1"/>
    <cellStyle name="Hyperlink" xfId="7051" builtinId="8" hidden="1"/>
    <cellStyle name="Hyperlink" xfId="7053" builtinId="8" hidden="1"/>
    <cellStyle name="Hyperlink" xfId="7055" builtinId="8" hidden="1"/>
    <cellStyle name="Hyperlink" xfId="7057" builtinId="8" hidden="1"/>
    <cellStyle name="Hyperlink" xfId="7059" builtinId="8" hidden="1"/>
    <cellStyle name="Hyperlink" xfId="7061" builtinId="8" hidden="1"/>
    <cellStyle name="Hyperlink" xfId="7063" builtinId="8" hidden="1"/>
    <cellStyle name="Hyperlink" xfId="7065" builtinId="8" hidden="1"/>
    <cellStyle name="Hyperlink" xfId="7067" builtinId="8" hidden="1"/>
    <cellStyle name="Hyperlink" xfId="7069" builtinId="8" hidden="1"/>
    <cellStyle name="Hyperlink" xfId="7071" builtinId="8" hidden="1"/>
    <cellStyle name="Hyperlink" xfId="7073" builtinId="8" hidden="1"/>
    <cellStyle name="Hyperlink" xfId="7075" builtinId="8" hidden="1"/>
    <cellStyle name="Hyperlink" xfId="7077" builtinId="8" hidden="1"/>
    <cellStyle name="Hyperlink" xfId="7079" builtinId="8" hidden="1"/>
    <cellStyle name="Hyperlink" xfId="7081" builtinId="8" hidden="1"/>
    <cellStyle name="Hyperlink" xfId="7083" builtinId="8" hidden="1"/>
    <cellStyle name="Hyperlink" xfId="7085" builtinId="8" hidden="1"/>
    <cellStyle name="Hyperlink" xfId="7087" builtinId="8" hidden="1"/>
    <cellStyle name="Hyperlink" xfId="7089" builtinId="8" hidden="1"/>
    <cellStyle name="Hyperlink" xfId="7091" builtinId="8" hidden="1"/>
    <cellStyle name="Hyperlink" xfId="7093" builtinId="8" hidden="1"/>
    <cellStyle name="Hyperlink" xfId="7095" builtinId="8" hidden="1"/>
    <cellStyle name="Hyperlink" xfId="7097" builtinId="8" hidden="1"/>
    <cellStyle name="Hyperlink" xfId="7099" builtinId="8" hidden="1"/>
    <cellStyle name="Hyperlink" xfId="7101" builtinId="8" hidden="1"/>
    <cellStyle name="Hyperlink" xfId="7103" builtinId="8" hidden="1"/>
    <cellStyle name="Hyperlink" xfId="7105" builtinId="8" hidden="1"/>
    <cellStyle name="Hyperlink" xfId="7107" builtinId="8" hidden="1"/>
    <cellStyle name="Hyperlink" xfId="7109" builtinId="8" hidden="1"/>
    <cellStyle name="Hyperlink" xfId="7111" builtinId="8" hidden="1"/>
    <cellStyle name="Hyperlink" xfId="7113" builtinId="8" hidden="1"/>
    <cellStyle name="Hyperlink" xfId="7115" builtinId="8" hidden="1"/>
    <cellStyle name="Hyperlink" xfId="7117" builtinId="8" hidden="1"/>
    <cellStyle name="Hyperlink" xfId="7119" builtinId="8" hidden="1"/>
    <cellStyle name="Hyperlink" xfId="7121" builtinId="8" hidden="1"/>
    <cellStyle name="Hyperlink" xfId="7123" builtinId="8" hidden="1"/>
    <cellStyle name="Hyperlink" xfId="7125" builtinId="8" hidden="1"/>
    <cellStyle name="Hyperlink" xfId="7127" builtinId="8" hidden="1"/>
    <cellStyle name="Hyperlink" xfId="7129" builtinId="8" hidden="1"/>
    <cellStyle name="Hyperlink" xfId="7131" builtinId="8" hidden="1"/>
    <cellStyle name="Hyperlink" xfId="7133" builtinId="8" hidden="1"/>
    <cellStyle name="Hyperlink" xfId="7135" builtinId="8" hidden="1"/>
    <cellStyle name="Hyperlink" xfId="7137" builtinId="8" hidden="1"/>
    <cellStyle name="Hyperlink" xfId="7139" builtinId="8" hidden="1"/>
    <cellStyle name="Hyperlink" xfId="7141" builtinId="8" hidden="1"/>
    <cellStyle name="Hyperlink" xfId="7143" builtinId="8" hidden="1"/>
    <cellStyle name="Hyperlink" xfId="7145" builtinId="8" hidden="1"/>
    <cellStyle name="Hyperlink" xfId="7147" builtinId="8" hidden="1"/>
    <cellStyle name="Hyperlink" xfId="7149" builtinId="8" hidden="1"/>
    <cellStyle name="Hyperlink" xfId="7151" builtinId="8" hidden="1"/>
    <cellStyle name="Hyperlink" xfId="7153" builtinId="8" hidden="1"/>
    <cellStyle name="Hyperlink" xfId="7155" builtinId="8" hidden="1"/>
    <cellStyle name="Hyperlink" xfId="7157" builtinId="8" hidden="1"/>
    <cellStyle name="Hyperlink" xfId="7159" builtinId="8" hidden="1"/>
    <cellStyle name="Hyperlink" xfId="7161" builtinId="8" hidden="1"/>
    <cellStyle name="Hyperlink" xfId="7163" builtinId="8" hidden="1"/>
    <cellStyle name="Hyperlink" xfId="7165" builtinId="8" hidden="1"/>
    <cellStyle name="Hyperlink" xfId="7167" builtinId="8" hidden="1"/>
    <cellStyle name="Hyperlink" xfId="7169" builtinId="8" hidden="1"/>
    <cellStyle name="Hyperlink" xfId="7171" builtinId="8" hidden="1"/>
    <cellStyle name="Hyperlink" xfId="7173" builtinId="8" hidden="1"/>
    <cellStyle name="Hyperlink" xfId="7175" builtinId="8" hidden="1"/>
    <cellStyle name="Hyperlink" xfId="7177" builtinId="8" hidden="1"/>
    <cellStyle name="Hyperlink" xfId="7179" builtinId="8" hidden="1"/>
    <cellStyle name="Hyperlink" xfId="7181" builtinId="8" hidden="1"/>
    <cellStyle name="Hyperlink" xfId="7183" builtinId="8" hidden="1"/>
    <cellStyle name="Hyperlink" xfId="7185" builtinId="8" hidden="1"/>
    <cellStyle name="Hyperlink" xfId="7187" builtinId="8" hidden="1"/>
    <cellStyle name="Hyperlink" xfId="7189" builtinId="8" hidden="1"/>
    <cellStyle name="Hyperlink" xfId="7191" builtinId="8" hidden="1"/>
    <cellStyle name="Hyperlink" xfId="7193" builtinId="8" hidden="1"/>
    <cellStyle name="Hyperlink" xfId="7195" builtinId="8" hidden="1"/>
    <cellStyle name="Hyperlink" xfId="7197" builtinId="8" hidden="1"/>
    <cellStyle name="Hyperlink" xfId="7199" builtinId="8" hidden="1"/>
    <cellStyle name="Hyperlink" xfId="7201" builtinId="8" hidden="1"/>
    <cellStyle name="Hyperlink" xfId="7203" builtinId="8" hidden="1"/>
    <cellStyle name="Hyperlink" xfId="7205" builtinId="8" hidden="1"/>
    <cellStyle name="Hyperlink" xfId="7207" builtinId="8" hidden="1"/>
    <cellStyle name="Hyperlink" xfId="7209" builtinId="8" hidden="1"/>
    <cellStyle name="Hyperlink" xfId="7211" builtinId="8" hidden="1"/>
    <cellStyle name="Hyperlink" xfId="7213" builtinId="8" hidden="1"/>
    <cellStyle name="Hyperlink" xfId="7215" builtinId="8" hidden="1"/>
    <cellStyle name="Hyperlink" xfId="7217" builtinId="8" hidden="1"/>
    <cellStyle name="Hyperlink" xfId="7219" builtinId="8" hidden="1"/>
    <cellStyle name="Hyperlink" xfId="7221" builtinId="8" hidden="1"/>
    <cellStyle name="Hyperlink" xfId="7223" builtinId="8" hidden="1"/>
    <cellStyle name="Hyperlink" xfId="7225" builtinId="8" hidden="1"/>
    <cellStyle name="Hyperlink" xfId="7227" builtinId="8" hidden="1"/>
    <cellStyle name="Hyperlink" xfId="7229" builtinId="8" hidden="1"/>
    <cellStyle name="Hyperlink" xfId="7231" builtinId="8" hidden="1"/>
    <cellStyle name="Hyperlink" xfId="7233" builtinId="8" hidden="1"/>
    <cellStyle name="Hyperlink" xfId="7235" builtinId="8" hidden="1"/>
    <cellStyle name="Hyperlink" xfId="7237" builtinId="8" hidden="1"/>
    <cellStyle name="Hyperlink" xfId="7239" builtinId="8" hidden="1"/>
    <cellStyle name="Hyperlink" xfId="7241" builtinId="8" hidden="1"/>
    <cellStyle name="Hyperlink" xfId="7243" builtinId="8" hidden="1"/>
    <cellStyle name="Hyperlink" xfId="7245" builtinId="8" hidden="1"/>
    <cellStyle name="Hyperlink" xfId="7247" builtinId="8" hidden="1"/>
    <cellStyle name="Hyperlink" xfId="7249" builtinId="8" hidden="1"/>
    <cellStyle name="Hyperlink" xfId="7251" builtinId="8" hidden="1"/>
    <cellStyle name="Hyperlink" xfId="7253" builtinId="8" hidden="1"/>
    <cellStyle name="Hyperlink" xfId="7255" builtinId="8" hidden="1"/>
    <cellStyle name="Hyperlink" xfId="7257" builtinId="8" hidden="1"/>
    <cellStyle name="Hyperlink" xfId="7259" builtinId="8" hidden="1"/>
    <cellStyle name="Hyperlink" xfId="7261" builtinId="8" hidden="1"/>
    <cellStyle name="Hyperlink" xfId="7263" builtinId="8" hidden="1"/>
    <cellStyle name="Hyperlink" xfId="7265" builtinId="8" hidden="1"/>
    <cellStyle name="Hyperlink" xfId="7267" builtinId="8" hidden="1"/>
    <cellStyle name="Hyperlink" xfId="7269" builtinId="8" hidden="1"/>
    <cellStyle name="Hyperlink" xfId="7271" builtinId="8" hidden="1"/>
    <cellStyle name="Hyperlink" xfId="7273" builtinId="8" hidden="1"/>
    <cellStyle name="Hyperlink" xfId="7275" builtinId="8" hidden="1"/>
    <cellStyle name="Hyperlink" xfId="7277" builtinId="8" hidden="1"/>
    <cellStyle name="Hyperlink" xfId="7279" builtinId="8" hidden="1"/>
    <cellStyle name="Hyperlink" xfId="7281" builtinId="8" hidden="1"/>
    <cellStyle name="Hyperlink" xfId="7283" builtinId="8" hidden="1"/>
    <cellStyle name="Hyperlink" xfId="7285" builtinId="8" hidden="1"/>
    <cellStyle name="Hyperlink" xfId="7287" builtinId="8" hidden="1"/>
    <cellStyle name="Hyperlink" xfId="7289" builtinId="8" hidden="1"/>
    <cellStyle name="Hyperlink" xfId="7291" builtinId="8" hidden="1"/>
    <cellStyle name="Hyperlink" xfId="7293" builtinId="8" hidden="1"/>
    <cellStyle name="Hyperlink" xfId="7295" builtinId="8" hidden="1"/>
    <cellStyle name="Hyperlink" xfId="7297" builtinId="8" hidden="1"/>
    <cellStyle name="Hyperlink" xfId="7299" builtinId="8" hidden="1"/>
    <cellStyle name="Hyperlink" xfId="7301" builtinId="8" hidden="1"/>
    <cellStyle name="Hyperlink" xfId="7303" builtinId="8" hidden="1"/>
    <cellStyle name="Hyperlink" xfId="7305" builtinId="8" hidden="1"/>
    <cellStyle name="Hyperlink" xfId="7307" builtinId="8" hidden="1"/>
    <cellStyle name="Hyperlink" xfId="7309" builtinId="8" hidden="1"/>
    <cellStyle name="Hyperlink" xfId="7311" builtinId="8" hidden="1"/>
    <cellStyle name="Hyperlink" xfId="7313" builtinId="8" hidden="1"/>
    <cellStyle name="Hyperlink" xfId="7315" builtinId="8" hidden="1"/>
    <cellStyle name="Hyperlink" xfId="7317" builtinId="8" hidden="1"/>
    <cellStyle name="Hyperlink" xfId="7319" builtinId="8" hidden="1"/>
    <cellStyle name="Hyperlink" xfId="7321" builtinId="8" hidden="1"/>
    <cellStyle name="Hyperlink" xfId="7323" builtinId="8" hidden="1"/>
    <cellStyle name="Hyperlink" xfId="7325" builtinId="8" hidden="1"/>
    <cellStyle name="Hyperlink" xfId="7327" builtinId="8" hidden="1"/>
    <cellStyle name="Hyperlink" xfId="7329" builtinId="8" hidden="1"/>
    <cellStyle name="Hyperlink" xfId="7331" builtinId="8" hidden="1"/>
    <cellStyle name="Hyperlink" xfId="7333" builtinId="8" hidden="1"/>
    <cellStyle name="Hyperlink" xfId="7335" builtinId="8" hidden="1"/>
    <cellStyle name="Hyperlink" xfId="7337" builtinId="8" hidden="1"/>
    <cellStyle name="Hyperlink" xfId="7339" builtinId="8" hidden="1"/>
    <cellStyle name="Hyperlink" xfId="7341" builtinId="8" hidden="1"/>
    <cellStyle name="Hyperlink" xfId="7343" builtinId="8" hidden="1"/>
    <cellStyle name="Hyperlink" xfId="7345" builtinId="8" hidden="1"/>
    <cellStyle name="Hyperlink" xfId="7347" builtinId="8" hidden="1"/>
    <cellStyle name="Hyperlink" xfId="7349" builtinId="8" hidden="1"/>
    <cellStyle name="Hyperlink" xfId="7351" builtinId="8" hidden="1"/>
    <cellStyle name="Hyperlink" xfId="7353" builtinId="8" hidden="1"/>
    <cellStyle name="Hyperlink" xfId="7355" builtinId="8" hidden="1"/>
    <cellStyle name="Hyperlink" xfId="7357" builtinId="8" hidden="1"/>
    <cellStyle name="Hyperlink" xfId="7359" builtinId="8" hidden="1"/>
    <cellStyle name="Hyperlink" xfId="7361" builtinId="8" hidden="1"/>
    <cellStyle name="Hyperlink" xfId="7363" builtinId="8" hidden="1"/>
    <cellStyle name="Hyperlink" xfId="7365" builtinId="8" hidden="1"/>
    <cellStyle name="Hyperlink" xfId="7367" builtinId="8" hidden="1"/>
    <cellStyle name="Hyperlink" xfId="7369" builtinId="8" hidden="1"/>
    <cellStyle name="Hyperlink" xfId="7371" builtinId="8" hidden="1"/>
    <cellStyle name="Hyperlink" xfId="7373" builtinId="8" hidden="1"/>
    <cellStyle name="Hyperlink" xfId="7375" builtinId="8" hidden="1"/>
    <cellStyle name="Hyperlink" xfId="7377" builtinId="8" hidden="1"/>
    <cellStyle name="Hyperlink" xfId="7379" builtinId="8" hidden="1"/>
    <cellStyle name="Hyperlink" xfId="7381" builtinId="8" hidden="1"/>
    <cellStyle name="Hyperlink" xfId="7383" builtinId="8" hidden="1"/>
    <cellStyle name="Hyperlink" xfId="7385" builtinId="8" hidden="1"/>
    <cellStyle name="Hyperlink" xfId="7387" builtinId="8" hidden="1"/>
    <cellStyle name="Hyperlink" xfId="7389" builtinId="8" hidden="1"/>
    <cellStyle name="Hyperlink" xfId="7391" builtinId="8" hidden="1"/>
    <cellStyle name="Hyperlink" xfId="7393" builtinId="8" hidden="1"/>
    <cellStyle name="Hyperlink" xfId="7395" builtinId="8" hidden="1"/>
    <cellStyle name="Hyperlink" xfId="7397" builtinId="8" hidden="1"/>
    <cellStyle name="Hyperlink" xfId="7399" builtinId="8" hidden="1"/>
    <cellStyle name="Hyperlink" xfId="7401" builtinId="8" hidden="1"/>
    <cellStyle name="Hyperlink" xfId="7403" builtinId="8" hidden="1"/>
    <cellStyle name="Hyperlink" xfId="7405" builtinId="8" hidden="1"/>
    <cellStyle name="Hyperlink" xfId="7407" builtinId="8" hidden="1"/>
    <cellStyle name="Hyperlink" xfId="7409" builtinId="8" hidden="1"/>
    <cellStyle name="Hyperlink" xfId="7411" builtinId="8" hidden="1"/>
    <cellStyle name="Hyperlink" xfId="7413" builtinId="8" hidden="1"/>
    <cellStyle name="Hyperlink" xfId="7415" builtinId="8" hidden="1"/>
    <cellStyle name="Hyperlink" xfId="7417" builtinId="8" hidden="1"/>
    <cellStyle name="Hyperlink" xfId="7419" builtinId="8" hidden="1"/>
    <cellStyle name="Hyperlink" xfId="7421" builtinId="8" hidden="1"/>
    <cellStyle name="Hyperlink" xfId="7423" builtinId="8" hidden="1"/>
    <cellStyle name="Hyperlink" xfId="7425" builtinId="8" hidden="1"/>
    <cellStyle name="Hyperlink" xfId="7427" builtinId="8" hidden="1"/>
    <cellStyle name="Hyperlink" xfId="7429" builtinId="8" hidden="1"/>
    <cellStyle name="Hyperlink" xfId="7431" builtinId="8" hidden="1"/>
    <cellStyle name="Hyperlink" xfId="7433" builtinId="8" hidden="1"/>
    <cellStyle name="Hyperlink" xfId="7435" builtinId="8" hidden="1"/>
    <cellStyle name="Hyperlink" xfId="7437" builtinId="8" hidden="1"/>
    <cellStyle name="Hyperlink" xfId="7439" builtinId="8" hidden="1"/>
    <cellStyle name="Hyperlink" xfId="7441" builtinId="8" hidden="1"/>
    <cellStyle name="Hyperlink" xfId="7443" builtinId="8" hidden="1"/>
    <cellStyle name="Hyperlink" xfId="7445" builtinId="8" hidden="1"/>
    <cellStyle name="Hyperlink" xfId="7447" builtinId="8" hidden="1"/>
    <cellStyle name="Hyperlink" xfId="7449" builtinId="8" hidden="1"/>
    <cellStyle name="Hyperlink" xfId="7451" builtinId="8" hidden="1"/>
    <cellStyle name="Hyperlink" xfId="7453" builtinId="8" hidden="1"/>
    <cellStyle name="Hyperlink" xfId="7455" builtinId="8" hidden="1"/>
    <cellStyle name="Hyperlink" xfId="7457" builtinId="8" hidden="1"/>
    <cellStyle name="Hyperlink" xfId="7459" builtinId="8" hidden="1"/>
    <cellStyle name="Hyperlink" xfId="7461" builtinId="8" hidden="1"/>
    <cellStyle name="Hyperlink" xfId="7463" builtinId="8" hidden="1"/>
    <cellStyle name="Hyperlink" xfId="7465" builtinId="8" hidden="1"/>
    <cellStyle name="Hyperlink" xfId="7467" builtinId="8" hidden="1"/>
    <cellStyle name="Hyperlink" xfId="7469" builtinId="8" hidden="1"/>
    <cellStyle name="Hyperlink" xfId="7471" builtinId="8" hidden="1"/>
    <cellStyle name="Hyperlink" xfId="7473" builtinId="8" hidden="1"/>
    <cellStyle name="Hyperlink" xfId="7475" builtinId="8" hidden="1"/>
    <cellStyle name="Hyperlink" xfId="7477" builtinId="8" hidden="1"/>
    <cellStyle name="Hyperlink" xfId="7479" builtinId="8" hidden="1"/>
    <cellStyle name="Hyperlink" xfId="7481" builtinId="8" hidden="1"/>
    <cellStyle name="Hyperlink" xfId="7483" builtinId="8" hidden="1"/>
    <cellStyle name="Hyperlink" xfId="7485" builtinId="8" hidden="1"/>
    <cellStyle name="Hyperlink" xfId="7487" builtinId="8" hidden="1"/>
    <cellStyle name="Hyperlink" xfId="7489" builtinId="8" hidden="1"/>
    <cellStyle name="Hyperlink" xfId="7491" builtinId="8" hidden="1"/>
    <cellStyle name="Hyperlink" xfId="7493" builtinId="8" hidden="1"/>
    <cellStyle name="Hyperlink" xfId="7495" builtinId="8" hidden="1"/>
    <cellStyle name="Hyperlink" xfId="7497" builtinId="8" hidden="1"/>
    <cellStyle name="Hyperlink" xfId="7499" builtinId="8" hidden="1"/>
    <cellStyle name="Hyperlink" xfId="7501" builtinId="8" hidden="1"/>
    <cellStyle name="Hyperlink" xfId="7503" builtinId="8" hidden="1"/>
    <cellStyle name="Hyperlink" xfId="7505" builtinId="8" hidden="1"/>
    <cellStyle name="Hyperlink" xfId="7507" builtinId="8" hidden="1"/>
    <cellStyle name="Hyperlink" xfId="7509" builtinId="8" hidden="1"/>
    <cellStyle name="Hyperlink" xfId="7511" builtinId="8" hidden="1"/>
    <cellStyle name="Hyperlink" xfId="7513" builtinId="8" hidden="1"/>
    <cellStyle name="Hyperlink" xfId="7515" builtinId="8" hidden="1"/>
    <cellStyle name="Hyperlink" xfId="7517" builtinId="8" hidden="1"/>
    <cellStyle name="Hyperlink" xfId="7519" builtinId="8" hidden="1"/>
    <cellStyle name="Hyperlink" xfId="7521" builtinId="8" hidden="1"/>
    <cellStyle name="Hyperlink" xfId="7523" builtinId="8" hidden="1"/>
    <cellStyle name="Hyperlink" xfId="7525" builtinId="8" hidden="1"/>
    <cellStyle name="Hyperlink" xfId="7527" builtinId="8" hidden="1"/>
    <cellStyle name="Hyperlink" xfId="7529" builtinId="8" hidden="1"/>
    <cellStyle name="Hyperlink" xfId="7531" builtinId="8" hidden="1"/>
    <cellStyle name="Hyperlink" xfId="7533" builtinId="8" hidden="1"/>
    <cellStyle name="Hyperlink" xfId="7535" builtinId="8" hidden="1"/>
    <cellStyle name="Hyperlink" xfId="7537" builtinId="8" hidden="1"/>
    <cellStyle name="Hyperlink" xfId="7539" builtinId="8" hidden="1"/>
    <cellStyle name="Hyperlink" xfId="7541" builtinId="8" hidden="1"/>
    <cellStyle name="Hyperlink" xfId="7543" builtinId="8" hidden="1"/>
    <cellStyle name="Hyperlink" xfId="7545" builtinId="8" hidden="1"/>
    <cellStyle name="Hyperlink" xfId="7547" builtinId="8" hidden="1"/>
    <cellStyle name="Hyperlink" xfId="7549" builtinId="8" hidden="1"/>
    <cellStyle name="Hyperlink" xfId="7551" builtinId="8" hidden="1"/>
    <cellStyle name="Hyperlink" xfId="7553" builtinId="8" hidden="1"/>
    <cellStyle name="Hyperlink" xfId="7555" builtinId="8" hidden="1"/>
    <cellStyle name="Hyperlink" xfId="7557" builtinId="8" hidden="1"/>
    <cellStyle name="Hyperlink" xfId="7559" builtinId="8" hidden="1"/>
    <cellStyle name="Hyperlink" xfId="7561" builtinId="8" hidden="1"/>
    <cellStyle name="Hyperlink" xfId="7563" builtinId="8" hidden="1"/>
    <cellStyle name="Hyperlink" xfId="7565" builtinId="8" hidden="1"/>
    <cellStyle name="Hyperlink" xfId="7567" builtinId="8" hidden="1"/>
    <cellStyle name="Hyperlink" xfId="7569" builtinId="8" hidden="1"/>
    <cellStyle name="Hyperlink" xfId="7571" builtinId="8" hidden="1"/>
    <cellStyle name="Hyperlink" xfId="7573" builtinId="8" hidden="1"/>
    <cellStyle name="Hyperlink" xfId="7575" builtinId="8" hidden="1"/>
    <cellStyle name="Hyperlink" xfId="7577" builtinId="8" hidden="1"/>
    <cellStyle name="Hyperlink" xfId="7579" builtinId="8" hidden="1"/>
    <cellStyle name="Hyperlink" xfId="7581" builtinId="8" hidden="1"/>
    <cellStyle name="Hyperlink" xfId="7583" builtinId="8" hidden="1"/>
    <cellStyle name="Hyperlink" xfId="7585" builtinId="8" hidden="1"/>
    <cellStyle name="Hyperlink" xfId="7587" builtinId="8" hidden="1"/>
    <cellStyle name="Hyperlink" xfId="7589" builtinId="8" hidden="1"/>
    <cellStyle name="Hyperlink" xfId="7591" builtinId="8" hidden="1"/>
    <cellStyle name="Hyperlink" xfId="7593" builtinId="8" hidden="1"/>
    <cellStyle name="Hyperlink" xfId="7595" builtinId="8" hidden="1"/>
    <cellStyle name="Hyperlink" xfId="7597" builtinId="8" hidden="1"/>
    <cellStyle name="Hyperlink" xfId="7599" builtinId="8" hidden="1"/>
    <cellStyle name="Hyperlink" xfId="7601" builtinId="8" hidden="1"/>
    <cellStyle name="Hyperlink" xfId="7603" builtinId="8" hidden="1"/>
    <cellStyle name="Hyperlink" xfId="7605" builtinId="8" hidden="1"/>
    <cellStyle name="Hyperlink" xfId="7607" builtinId="8" hidden="1"/>
    <cellStyle name="Hyperlink" xfId="7609" builtinId="8" hidden="1"/>
    <cellStyle name="Hyperlink" xfId="7611" builtinId="8" hidden="1"/>
    <cellStyle name="Hyperlink" xfId="7613" builtinId="8" hidden="1"/>
    <cellStyle name="Hyperlink" xfId="7615" builtinId="8" hidden="1"/>
    <cellStyle name="Hyperlink" xfId="7617" builtinId="8" hidden="1"/>
    <cellStyle name="Hyperlink" xfId="7619" builtinId="8" hidden="1"/>
    <cellStyle name="Hyperlink" xfId="7621" builtinId="8" hidden="1"/>
    <cellStyle name="Hyperlink" xfId="7623" builtinId="8" hidden="1"/>
    <cellStyle name="Hyperlink" xfId="7625" builtinId="8" hidden="1"/>
    <cellStyle name="Hyperlink" xfId="7627" builtinId="8" hidden="1"/>
    <cellStyle name="Hyperlink" xfId="7629" builtinId="8" hidden="1"/>
    <cellStyle name="Hyperlink" xfId="7631" builtinId="8" hidden="1"/>
    <cellStyle name="Hyperlink" xfId="7633" builtinId="8" hidden="1"/>
    <cellStyle name="Hyperlink" xfId="7635" builtinId="8" hidden="1"/>
    <cellStyle name="Hyperlink" xfId="7637" builtinId="8" hidden="1"/>
    <cellStyle name="Hyperlink" xfId="7639" builtinId="8" hidden="1"/>
    <cellStyle name="Hyperlink" xfId="7641" builtinId="8" hidden="1"/>
    <cellStyle name="Hyperlink" xfId="7643" builtinId="8" hidden="1"/>
    <cellStyle name="Hyperlink" xfId="7645" builtinId="8" hidden="1"/>
    <cellStyle name="Hyperlink" xfId="7647" builtinId="8" hidden="1"/>
    <cellStyle name="Hyperlink" xfId="7649" builtinId="8" hidden="1"/>
    <cellStyle name="Hyperlink" xfId="7651" builtinId="8" hidden="1"/>
    <cellStyle name="Hyperlink" xfId="7653" builtinId="8" hidden="1"/>
    <cellStyle name="Hyperlink" xfId="7655" builtinId="8" hidden="1"/>
    <cellStyle name="Hyperlink" xfId="7657" builtinId="8" hidden="1"/>
    <cellStyle name="Hyperlink" xfId="7659" builtinId="8" hidden="1"/>
    <cellStyle name="Hyperlink" xfId="7661" builtinId="8" hidden="1"/>
    <cellStyle name="Hyperlink" xfId="7663" builtinId="8" hidden="1"/>
    <cellStyle name="Hyperlink" xfId="7665" builtinId="8" hidden="1"/>
    <cellStyle name="Hyperlink" xfId="7667" builtinId="8" hidden="1"/>
    <cellStyle name="Hyperlink" xfId="7669" builtinId="8" hidden="1"/>
    <cellStyle name="Hyperlink" xfId="7671" builtinId="8" hidden="1"/>
    <cellStyle name="Hyperlink" xfId="7673" builtinId="8" hidden="1"/>
    <cellStyle name="Hyperlink" xfId="7675" builtinId="8" hidden="1"/>
    <cellStyle name="Hyperlink" xfId="7677" builtinId="8" hidden="1"/>
    <cellStyle name="Hyperlink" xfId="7679" builtinId="8" hidden="1"/>
    <cellStyle name="Hyperlink" xfId="7681" builtinId="8" hidden="1"/>
    <cellStyle name="Hyperlink" xfId="7683" builtinId="8" hidden="1"/>
    <cellStyle name="Hyperlink" xfId="7685" builtinId="8" hidden="1"/>
    <cellStyle name="Hyperlink" xfId="7687" builtinId="8" hidden="1"/>
    <cellStyle name="Hyperlink" xfId="7689" builtinId="8" hidden="1"/>
    <cellStyle name="Hyperlink" xfId="7691" builtinId="8" hidden="1"/>
    <cellStyle name="Hyperlink" xfId="7693" builtinId="8" hidden="1"/>
    <cellStyle name="Hyperlink" xfId="7695" builtinId="8" hidden="1"/>
    <cellStyle name="Hyperlink" xfId="7697" builtinId="8" hidden="1"/>
    <cellStyle name="Hyperlink" xfId="7699" builtinId="8" hidden="1"/>
    <cellStyle name="Hyperlink" xfId="7701" builtinId="8" hidden="1"/>
    <cellStyle name="Hyperlink" xfId="7703" builtinId="8" hidden="1"/>
    <cellStyle name="Hyperlink" xfId="7705" builtinId="8" hidden="1"/>
    <cellStyle name="Hyperlink" xfId="7707" builtinId="8" hidden="1"/>
    <cellStyle name="Hyperlink" xfId="7709" builtinId="8" hidden="1"/>
    <cellStyle name="Hyperlink" xfId="7711" builtinId="8" hidden="1"/>
    <cellStyle name="Hyperlink" xfId="7713" builtinId="8" hidden="1"/>
    <cellStyle name="Hyperlink" xfId="7715" builtinId="8" hidden="1"/>
    <cellStyle name="Hyperlink" xfId="7717" builtinId="8" hidden="1"/>
    <cellStyle name="Hyperlink" xfId="7719" builtinId="8" hidden="1"/>
    <cellStyle name="Hyperlink" xfId="7721" builtinId="8" hidden="1"/>
    <cellStyle name="Hyperlink" xfId="7723" builtinId="8" hidden="1"/>
    <cellStyle name="Hyperlink" xfId="7725" builtinId="8" hidden="1"/>
    <cellStyle name="Hyperlink" xfId="7727" builtinId="8" hidden="1"/>
    <cellStyle name="Hyperlink" xfId="7729" builtinId="8" hidden="1"/>
    <cellStyle name="Hyperlink" xfId="7731" builtinId="8" hidden="1"/>
    <cellStyle name="Hyperlink" xfId="7733" builtinId="8" hidden="1"/>
    <cellStyle name="Hyperlink" xfId="7735" builtinId="8" hidden="1"/>
    <cellStyle name="Hyperlink" xfId="7737" builtinId="8" hidden="1"/>
    <cellStyle name="Hyperlink" xfId="7739" builtinId="8" hidden="1"/>
    <cellStyle name="Hyperlink" xfId="7741" builtinId="8" hidden="1"/>
    <cellStyle name="Hyperlink" xfId="7743" builtinId="8" hidden="1"/>
    <cellStyle name="Hyperlink" xfId="7745" builtinId="8" hidden="1"/>
    <cellStyle name="Hyperlink" xfId="7747" builtinId="8" hidden="1"/>
    <cellStyle name="Hyperlink" xfId="7749" builtinId="8" hidden="1"/>
    <cellStyle name="Hyperlink" xfId="7751" builtinId="8" hidden="1"/>
    <cellStyle name="Hyperlink" xfId="7753" builtinId="8" hidden="1"/>
    <cellStyle name="Hyperlink" xfId="7755" builtinId="8" hidden="1"/>
    <cellStyle name="Hyperlink" xfId="7757" builtinId="8" hidden="1"/>
    <cellStyle name="Hyperlink" xfId="7759" builtinId="8" hidden="1"/>
    <cellStyle name="Hyperlink" xfId="7761" builtinId="8" hidden="1"/>
    <cellStyle name="Hyperlink" xfId="7763" builtinId="8" hidden="1"/>
    <cellStyle name="Hyperlink" xfId="7765" builtinId="8" hidden="1"/>
    <cellStyle name="Hyperlink" xfId="7767" builtinId="8" hidden="1"/>
    <cellStyle name="Hyperlink" xfId="7769" builtinId="8" hidden="1"/>
    <cellStyle name="Hyperlink" xfId="7771" builtinId="8" hidden="1"/>
    <cellStyle name="Hyperlink" xfId="7773" builtinId="8" hidden="1"/>
    <cellStyle name="Hyperlink" xfId="7775" builtinId="8" hidden="1"/>
    <cellStyle name="Hyperlink" xfId="7777" builtinId="8" hidden="1"/>
    <cellStyle name="Hyperlink" xfId="7779" builtinId="8" hidden="1"/>
    <cellStyle name="Hyperlink" xfId="7781" builtinId="8" hidden="1"/>
    <cellStyle name="Hyperlink" xfId="7783" builtinId="8" hidden="1"/>
    <cellStyle name="Hyperlink" xfId="7785" builtinId="8" hidden="1"/>
    <cellStyle name="Hyperlink" xfId="7787" builtinId="8" hidden="1"/>
    <cellStyle name="Hyperlink" xfId="7789" builtinId="8" hidden="1"/>
    <cellStyle name="Hyperlink" xfId="7791" builtinId="8" hidden="1"/>
    <cellStyle name="Hyperlink" xfId="7793" builtinId="8" hidden="1"/>
    <cellStyle name="Hyperlink" xfId="7795" builtinId="8" hidden="1"/>
    <cellStyle name="Hyperlink" xfId="7797" builtinId="8" hidden="1"/>
    <cellStyle name="Hyperlink" xfId="7799" builtinId="8" hidden="1"/>
    <cellStyle name="Hyperlink" xfId="7801" builtinId="8" hidden="1"/>
    <cellStyle name="Hyperlink" xfId="7803" builtinId="8" hidden="1"/>
    <cellStyle name="Hyperlink" xfId="7805" builtinId="8" hidden="1"/>
    <cellStyle name="Hyperlink" xfId="7807" builtinId="8" hidden="1"/>
    <cellStyle name="Hyperlink" xfId="7809" builtinId="8" hidden="1"/>
    <cellStyle name="Hyperlink" xfId="7811" builtinId="8" hidden="1"/>
    <cellStyle name="Hyperlink" xfId="7813" builtinId="8" hidden="1"/>
    <cellStyle name="Hyperlink" xfId="7815" builtinId="8" hidden="1"/>
    <cellStyle name="Hyperlink" xfId="7817" builtinId="8" hidden="1"/>
    <cellStyle name="Hyperlink" xfId="7819" builtinId="8" hidden="1"/>
    <cellStyle name="Hyperlink" xfId="7821" builtinId="8" hidden="1"/>
    <cellStyle name="Hyperlink" xfId="7823" builtinId="8" hidden="1"/>
    <cellStyle name="Hyperlink" xfId="7825" builtinId="8" hidden="1"/>
    <cellStyle name="Hyperlink" xfId="7827" builtinId="8" hidden="1"/>
    <cellStyle name="Hyperlink" xfId="7829" builtinId="8" hidden="1"/>
    <cellStyle name="Hyperlink" xfId="7831" builtinId="8" hidden="1"/>
    <cellStyle name="Hyperlink" xfId="7833" builtinId="8" hidden="1"/>
    <cellStyle name="Hyperlink" xfId="7835" builtinId="8" hidden="1"/>
    <cellStyle name="Hyperlink" xfId="7837" builtinId="8" hidden="1"/>
    <cellStyle name="Hyperlink" xfId="7839" builtinId="8" hidden="1"/>
    <cellStyle name="Hyperlink" xfId="7841" builtinId="8" hidden="1"/>
    <cellStyle name="Hyperlink" xfId="7843" builtinId="8" hidden="1"/>
    <cellStyle name="Hyperlink" xfId="7845" builtinId="8" hidden="1"/>
    <cellStyle name="Hyperlink" xfId="7847" builtinId="8" hidden="1"/>
    <cellStyle name="Hyperlink" xfId="7849" builtinId="8" hidden="1"/>
    <cellStyle name="Hyperlink" xfId="7851" builtinId="8" hidden="1"/>
    <cellStyle name="Hyperlink" xfId="7853" builtinId="8" hidden="1"/>
    <cellStyle name="Hyperlink" xfId="7855" builtinId="8" hidden="1"/>
    <cellStyle name="Hyperlink" xfId="7857" builtinId="8" hidden="1"/>
    <cellStyle name="Hyperlink" xfId="7859" builtinId="8" hidden="1"/>
    <cellStyle name="Hyperlink" xfId="7861" builtinId="8" hidden="1"/>
    <cellStyle name="Hyperlink" xfId="7863" builtinId="8" hidden="1"/>
    <cellStyle name="Hyperlink" xfId="7865" builtinId="8" hidden="1"/>
    <cellStyle name="Hyperlink" xfId="7867" builtinId="8" hidden="1"/>
    <cellStyle name="Hyperlink" xfId="7869" builtinId="8" hidden="1"/>
    <cellStyle name="Hyperlink" xfId="7871" builtinId="8" hidden="1"/>
    <cellStyle name="Hyperlink" xfId="7873" builtinId="8" hidden="1"/>
    <cellStyle name="Hyperlink" xfId="7875" builtinId="8" hidden="1"/>
    <cellStyle name="Hyperlink" xfId="7877" builtinId="8" hidden="1"/>
    <cellStyle name="Hyperlink" xfId="7879" builtinId="8" hidden="1"/>
    <cellStyle name="Hyperlink" xfId="7881" builtinId="8" hidden="1"/>
    <cellStyle name="Hyperlink" xfId="7883" builtinId="8" hidden="1"/>
    <cellStyle name="Hyperlink" xfId="7885" builtinId="8" hidden="1"/>
    <cellStyle name="Hyperlink" xfId="7887" builtinId="8" hidden="1"/>
    <cellStyle name="Hyperlink" xfId="7889" builtinId="8" hidden="1"/>
    <cellStyle name="Hyperlink" xfId="7891" builtinId="8" hidden="1"/>
    <cellStyle name="Hyperlink" xfId="7893" builtinId="8" hidden="1"/>
    <cellStyle name="Hyperlink" xfId="7895" builtinId="8" hidden="1"/>
    <cellStyle name="Hyperlink" xfId="7897" builtinId="8" hidden="1"/>
    <cellStyle name="Hyperlink" xfId="7899" builtinId="8" hidden="1"/>
    <cellStyle name="Hyperlink" xfId="7901" builtinId="8" hidden="1"/>
    <cellStyle name="Hyperlink" xfId="7903" builtinId="8" hidden="1"/>
    <cellStyle name="Hyperlink" xfId="7905" builtinId="8" hidden="1"/>
    <cellStyle name="Hyperlink" xfId="7907" builtinId="8" hidden="1"/>
    <cellStyle name="Hyperlink" xfId="7909" builtinId="8" hidden="1"/>
    <cellStyle name="Hyperlink" xfId="7911" builtinId="8" hidden="1"/>
    <cellStyle name="Hyperlink" xfId="7913" builtinId="8" hidden="1"/>
    <cellStyle name="Hyperlink" xfId="7915" builtinId="8" hidden="1"/>
    <cellStyle name="Hyperlink" xfId="7917" builtinId="8" hidden="1"/>
    <cellStyle name="Hyperlink" xfId="7919" builtinId="8" hidden="1"/>
    <cellStyle name="Hyperlink" xfId="7921" builtinId="8" hidden="1"/>
    <cellStyle name="Hyperlink" xfId="7923" builtinId="8" hidden="1"/>
    <cellStyle name="Hyperlink" xfId="7925" builtinId="8" hidden="1"/>
    <cellStyle name="Hyperlink" xfId="7927" builtinId="8" hidden="1"/>
    <cellStyle name="Hyperlink" xfId="7929" builtinId="8" hidden="1"/>
    <cellStyle name="Hyperlink" xfId="7931" builtinId="8" hidden="1"/>
    <cellStyle name="Hyperlink" xfId="7933" builtinId="8" hidden="1"/>
    <cellStyle name="Hyperlink" xfId="7935" builtinId="8" hidden="1"/>
    <cellStyle name="Hyperlink" xfId="7937" builtinId="8" hidden="1"/>
    <cellStyle name="Hyperlink" xfId="7939" builtinId="8" hidden="1"/>
    <cellStyle name="Hyperlink" xfId="7941" builtinId="8" hidden="1"/>
    <cellStyle name="Hyperlink" xfId="7943" builtinId="8" hidden="1"/>
    <cellStyle name="Hyperlink" xfId="7945" builtinId="8" hidden="1"/>
    <cellStyle name="Hyperlink" xfId="7947" builtinId="8" hidden="1"/>
    <cellStyle name="Hyperlink" xfId="7949" builtinId="8" hidden="1"/>
    <cellStyle name="Hyperlink" xfId="7951" builtinId="8" hidden="1"/>
    <cellStyle name="Hyperlink" xfId="7953" builtinId="8" hidden="1"/>
    <cellStyle name="Hyperlink" xfId="7955" builtinId="8" hidden="1"/>
    <cellStyle name="Hyperlink" xfId="7957" builtinId="8" hidden="1"/>
    <cellStyle name="Hyperlink" xfId="7959" builtinId="8" hidden="1"/>
    <cellStyle name="Hyperlink" xfId="7961" builtinId="8" hidden="1"/>
    <cellStyle name="Hyperlink" xfId="7963" builtinId="8" hidden="1"/>
    <cellStyle name="Hyperlink" xfId="7965" builtinId="8" hidden="1"/>
    <cellStyle name="Hyperlink" xfId="7967" builtinId="8" hidden="1"/>
    <cellStyle name="Hyperlink" xfId="7969" builtinId="8" hidden="1"/>
    <cellStyle name="Hyperlink" xfId="7971" builtinId="8" hidden="1"/>
    <cellStyle name="Hyperlink" xfId="7973" builtinId="8" hidden="1"/>
    <cellStyle name="Hyperlink" xfId="7975" builtinId="8" hidden="1"/>
    <cellStyle name="Hyperlink" xfId="7977" builtinId="8" hidden="1"/>
    <cellStyle name="Hyperlink" xfId="7979" builtinId="8" hidden="1"/>
    <cellStyle name="Hyperlink" xfId="7981" builtinId="8" hidden="1"/>
    <cellStyle name="Hyperlink" xfId="7983" builtinId="8" hidden="1"/>
    <cellStyle name="Hyperlink" xfId="7985" builtinId="8" hidden="1"/>
    <cellStyle name="Hyperlink" xfId="7987" builtinId="8" hidden="1"/>
    <cellStyle name="Hyperlink" xfId="7989" builtinId="8" hidden="1"/>
    <cellStyle name="Hyperlink" xfId="7991" builtinId="8" hidden="1"/>
    <cellStyle name="Hyperlink" xfId="7993" builtinId="8" hidden="1"/>
    <cellStyle name="Hyperlink" xfId="7995" builtinId="8" hidden="1"/>
    <cellStyle name="Hyperlink" xfId="7997" builtinId="8" hidden="1"/>
    <cellStyle name="Hyperlink" xfId="7999" builtinId="8" hidden="1"/>
    <cellStyle name="Hyperlink" xfId="8001" builtinId="8" hidden="1"/>
    <cellStyle name="Hyperlink" xfId="8003" builtinId="8" hidden="1"/>
    <cellStyle name="Hyperlink" xfId="8005" builtinId="8" hidden="1"/>
    <cellStyle name="Hyperlink" xfId="8007" builtinId="8" hidden="1"/>
    <cellStyle name="Hyperlink" xfId="8009" builtinId="8" hidden="1"/>
    <cellStyle name="Hyperlink" xfId="8011" builtinId="8" hidden="1"/>
    <cellStyle name="Hyperlink" xfId="8013" builtinId="8" hidden="1"/>
    <cellStyle name="Hyperlink" xfId="8015" builtinId="8" hidden="1"/>
    <cellStyle name="Hyperlink" xfId="8017" builtinId="8" hidden="1"/>
    <cellStyle name="Hyperlink" xfId="8019" builtinId="8" hidden="1"/>
    <cellStyle name="Hyperlink" xfId="8021" builtinId="8" hidden="1"/>
    <cellStyle name="Hyperlink" xfId="8023" builtinId="8" hidden="1"/>
    <cellStyle name="Hyperlink" xfId="8025" builtinId="8" hidden="1"/>
    <cellStyle name="Hyperlink" xfId="8027" builtinId="8" hidden="1"/>
    <cellStyle name="Hyperlink" xfId="8029" builtinId="8" hidden="1"/>
    <cellStyle name="Hyperlink" xfId="8031" builtinId="8" hidden="1"/>
    <cellStyle name="Hyperlink" xfId="8033" builtinId="8" hidden="1"/>
    <cellStyle name="Hyperlink" xfId="8035" builtinId="8" hidden="1"/>
    <cellStyle name="Hyperlink" xfId="8037" builtinId="8" hidden="1"/>
    <cellStyle name="Hyperlink" xfId="8039" builtinId="8" hidden="1"/>
    <cellStyle name="Hyperlink" xfId="8041" builtinId="8" hidden="1"/>
    <cellStyle name="Hyperlink" xfId="8043" builtinId="8" hidden="1"/>
    <cellStyle name="Hyperlink" xfId="8045" builtinId="8" hidden="1"/>
    <cellStyle name="Hyperlink" xfId="8047" builtinId="8" hidden="1"/>
    <cellStyle name="Hyperlink" xfId="8049" builtinId="8" hidden="1"/>
    <cellStyle name="Hyperlink" xfId="8051" builtinId="8" hidden="1"/>
    <cellStyle name="Hyperlink" xfId="8053" builtinId="8" hidden="1"/>
    <cellStyle name="Hyperlink" xfId="8055" builtinId="8" hidden="1"/>
    <cellStyle name="Hyperlink" xfId="8057" builtinId="8" hidden="1"/>
    <cellStyle name="Hyperlink" xfId="8059" builtinId="8" hidden="1"/>
    <cellStyle name="Hyperlink" xfId="8061" builtinId="8" hidden="1"/>
    <cellStyle name="Hyperlink" xfId="8063" builtinId="8" hidden="1"/>
    <cellStyle name="Hyperlink" xfId="8065" builtinId="8" hidden="1"/>
    <cellStyle name="Hyperlink" xfId="8067" builtinId="8" hidden="1"/>
    <cellStyle name="Hyperlink" xfId="8069" builtinId="8" hidden="1"/>
    <cellStyle name="Hyperlink" xfId="8071" builtinId="8" hidden="1"/>
    <cellStyle name="Hyperlink" xfId="8073" builtinId="8" hidden="1"/>
    <cellStyle name="Hyperlink" xfId="8075" builtinId="8" hidden="1"/>
    <cellStyle name="Hyperlink" xfId="8077" builtinId="8" hidden="1"/>
    <cellStyle name="Hyperlink" xfId="8079" builtinId="8" hidden="1"/>
    <cellStyle name="Hyperlink" xfId="8081" builtinId="8" hidden="1"/>
    <cellStyle name="Hyperlink" xfId="8083" builtinId="8" hidden="1"/>
    <cellStyle name="Hyperlink" xfId="8085" builtinId="8" hidden="1"/>
    <cellStyle name="Hyperlink" xfId="8087" builtinId="8" hidden="1"/>
    <cellStyle name="Hyperlink" xfId="8089" builtinId="8" hidden="1"/>
    <cellStyle name="Hyperlink" xfId="8091" builtinId="8" hidden="1"/>
    <cellStyle name="Hyperlink" xfId="8093" builtinId="8" hidden="1"/>
    <cellStyle name="Hyperlink" xfId="8095" builtinId="8" hidden="1"/>
    <cellStyle name="Hyperlink" xfId="8097" builtinId="8" hidden="1"/>
    <cellStyle name="Hyperlink" xfId="8099" builtinId="8" hidden="1"/>
    <cellStyle name="Hyperlink" xfId="8101" builtinId="8" hidden="1"/>
    <cellStyle name="Hyperlink" xfId="8103" builtinId="8" hidden="1"/>
    <cellStyle name="Hyperlink" xfId="8105" builtinId="8" hidden="1"/>
    <cellStyle name="Hyperlink" xfId="8107" builtinId="8" hidden="1"/>
    <cellStyle name="Hyperlink" xfId="8109" builtinId="8" hidden="1"/>
    <cellStyle name="Hyperlink" xfId="8111" builtinId="8" hidden="1"/>
    <cellStyle name="Hyperlink" xfId="8113" builtinId="8" hidden="1"/>
    <cellStyle name="Hyperlink" xfId="8115" builtinId="8" hidden="1"/>
    <cellStyle name="Hyperlink" xfId="8117" builtinId="8" hidden="1"/>
    <cellStyle name="Hyperlink" xfId="8119" builtinId="8" hidden="1"/>
    <cellStyle name="Hyperlink" xfId="8121" builtinId="8" hidden="1"/>
    <cellStyle name="Hyperlink" xfId="8123" builtinId="8" hidden="1"/>
    <cellStyle name="Hyperlink" xfId="8125" builtinId="8" hidden="1"/>
    <cellStyle name="Hyperlink" xfId="8127" builtinId="8" hidden="1"/>
    <cellStyle name="Hyperlink" xfId="8129" builtinId="8" hidden="1"/>
    <cellStyle name="Hyperlink" xfId="8131" builtinId="8" hidden="1"/>
    <cellStyle name="Hyperlink" xfId="8133" builtinId="8" hidden="1"/>
    <cellStyle name="Hyperlink" xfId="8135" builtinId="8" hidden="1"/>
    <cellStyle name="Hyperlink" xfId="8137" builtinId="8" hidden="1"/>
    <cellStyle name="Hyperlink" xfId="8139" builtinId="8" hidden="1"/>
    <cellStyle name="Hyperlink" xfId="8141" builtinId="8" hidden="1"/>
    <cellStyle name="Hyperlink" xfId="8143" builtinId="8" hidden="1"/>
    <cellStyle name="Hyperlink" xfId="8145" builtinId="8" hidden="1"/>
    <cellStyle name="Hyperlink" xfId="8147" builtinId="8" hidden="1"/>
    <cellStyle name="Hyperlink" xfId="8149" builtinId="8" hidden="1"/>
    <cellStyle name="Hyperlink" xfId="8151" builtinId="8" hidden="1"/>
    <cellStyle name="Hyperlink" xfId="8153" builtinId="8" hidden="1"/>
    <cellStyle name="Hyperlink" xfId="8155" builtinId="8" hidden="1"/>
    <cellStyle name="Hyperlink" xfId="8157" builtinId="8" hidden="1"/>
    <cellStyle name="Hyperlink" xfId="8159" builtinId="8" hidden="1"/>
    <cellStyle name="Hyperlink" xfId="8161" builtinId="8" hidden="1"/>
    <cellStyle name="Hyperlink" xfId="8163" builtinId="8" hidden="1"/>
    <cellStyle name="Hyperlink" xfId="8165" builtinId="8" hidden="1"/>
    <cellStyle name="Hyperlink" xfId="8167" builtinId="8" hidden="1"/>
    <cellStyle name="Hyperlink" xfId="8169" builtinId="8" hidden="1"/>
    <cellStyle name="Hyperlink" xfId="8171" builtinId="8" hidden="1"/>
    <cellStyle name="Hyperlink" xfId="8173" builtinId="8" hidden="1"/>
    <cellStyle name="Hyperlink" xfId="8175" builtinId="8" hidden="1"/>
    <cellStyle name="Hyperlink" xfId="8177" builtinId="8" hidden="1"/>
    <cellStyle name="Hyperlink" xfId="8179" builtinId="8" hidden="1"/>
    <cellStyle name="Hyperlink" xfId="8181" builtinId="8" hidden="1"/>
    <cellStyle name="Hyperlink" xfId="8183" builtinId="8" hidden="1"/>
    <cellStyle name="Hyperlink" xfId="8185" builtinId="8" hidden="1"/>
    <cellStyle name="Hyperlink" xfId="8187" builtinId="8" hidden="1"/>
    <cellStyle name="Hyperlink" xfId="8189" builtinId="8" hidden="1"/>
    <cellStyle name="Hyperlink" xfId="8191" builtinId="8" hidden="1"/>
    <cellStyle name="Hyperlink" xfId="8193" builtinId="8" hidden="1"/>
    <cellStyle name="Hyperlink" xfId="8195" builtinId="8" hidden="1"/>
    <cellStyle name="Hyperlink" xfId="8197" builtinId="8" hidden="1"/>
    <cellStyle name="Hyperlink" xfId="8199" builtinId="8" hidden="1"/>
    <cellStyle name="Hyperlink" xfId="8201" builtinId="8" hidden="1"/>
    <cellStyle name="Hyperlink" xfId="8203" builtinId="8" hidden="1"/>
    <cellStyle name="Hyperlink" xfId="8205" builtinId="8" hidden="1"/>
    <cellStyle name="Hyperlink" xfId="8207" builtinId="8" hidden="1"/>
    <cellStyle name="Hyperlink" xfId="8209" builtinId="8" hidden="1"/>
    <cellStyle name="Hyperlink" xfId="8211" builtinId="8" hidden="1"/>
    <cellStyle name="Hyperlink" xfId="8213" builtinId="8" hidden="1"/>
    <cellStyle name="Hyperlink" xfId="8215" builtinId="8" hidden="1"/>
    <cellStyle name="Hyperlink" xfId="8217" builtinId="8" hidden="1"/>
    <cellStyle name="Hyperlink" xfId="8219" builtinId="8" hidden="1"/>
    <cellStyle name="Hyperlink" xfId="8221" builtinId="8" hidden="1"/>
    <cellStyle name="Hyperlink" xfId="8223" builtinId="8" hidden="1"/>
    <cellStyle name="Hyperlink" xfId="8225" builtinId="8" hidden="1"/>
    <cellStyle name="Hyperlink" xfId="8227" builtinId="8" hidden="1"/>
    <cellStyle name="Hyperlink" xfId="8229" builtinId="8" hidden="1"/>
    <cellStyle name="Hyperlink" xfId="8231" builtinId="8" hidden="1"/>
    <cellStyle name="Hyperlink" xfId="8233" builtinId="8" hidden="1"/>
    <cellStyle name="Hyperlink" xfId="8235" builtinId="8" hidden="1"/>
    <cellStyle name="Hyperlink" xfId="8237" builtinId="8" hidden="1"/>
    <cellStyle name="Hyperlink" xfId="8239" builtinId="8" hidden="1"/>
    <cellStyle name="Hyperlink" xfId="8241" builtinId="8" hidden="1"/>
    <cellStyle name="Hyperlink" xfId="8243" builtinId="8" hidden="1"/>
    <cellStyle name="Hyperlink" xfId="8245" builtinId="8" hidden="1"/>
    <cellStyle name="Hyperlink" xfId="8247" builtinId="8" hidden="1"/>
    <cellStyle name="Hyperlink" xfId="8249" builtinId="8" hidden="1"/>
    <cellStyle name="Hyperlink" xfId="8251" builtinId="8" hidden="1"/>
    <cellStyle name="Hyperlink" xfId="8253" builtinId="8" hidden="1"/>
    <cellStyle name="Hyperlink" xfId="8255" builtinId="8" hidden="1"/>
    <cellStyle name="Hyperlink" xfId="8257" builtinId="8" hidden="1"/>
    <cellStyle name="Hyperlink" xfId="8259" builtinId="8" hidden="1"/>
    <cellStyle name="Hyperlink" xfId="8261" builtinId="8" hidden="1"/>
    <cellStyle name="Hyperlink" xfId="8263" builtinId="8" hidden="1"/>
    <cellStyle name="Hyperlink" xfId="8265" builtinId="8" hidden="1"/>
    <cellStyle name="Hyperlink" xfId="8267" builtinId="8" hidden="1"/>
    <cellStyle name="Hyperlink" xfId="8269" builtinId="8" hidden="1"/>
    <cellStyle name="Hyperlink" xfId="8271" builtinId="8" hidden="1"/>
    <cellStyle name="Hyperlink" xfId="8273" builtinId="8" hidden="1"/>
    <cellStyle name="Hyperlink" xfId="8275" builtinId="8" hidden="1"/>
    <cellStyle name="Hyperlink" xfId="8277" builtinId="8" hidden="1"/>
    <cellStyle name="Hyperlink" xfId="8279" builtinId="8" hidden="1"/>
    <cellStyle name="Hyperlink" xfId="8281" builtinId="8" hidden="1"/>
    <cellStyle name="Hyperlink" xfId="8283" builtinId="8" hidden="1"/>
    <cellStyle name="Hyperlink" xfId="8285" builtinId="8" hidden="1"/>
    <cellStyle name="Hyperlink" xfId="8287" builtinId="8" hidden="1"/>
    <cellStyle name="Hyperlink" xfId="8289" builtinId="8" hidden="1"/>
    <cellStyle name="Hyperlink" xfId="8291" builtinId="8" hidden="1"/>
    <cellStyle name="Hyperlink" xfId="8293" builtinId="8" hidden="1"/>
    <cellStyle name="Hyperlink" xfId="8295" builtinId="8" hidden="1"/>
    <cellStyle name="Hyperlink" xfId="8297" builtinId="8" hidden="1"/>
    <cellStyle name="Hyperlink" xfId="8299" builtinId="8" hidden="1"/>
    <cellStyle name="Hyperlink" xfId="8301" builtinId="8" hidden="1"/>
    <cellStyle name="Hyperlink" xfId="8303" builtinId="8" hidden="1"/>
    <cellStyle name="Hyperlink" xfId="8305" builtinId="8" hidden="1"/>
    <cellStyle name="Hyperlink" xfId="8307" builtinId="8" hidden="1"/>
    <cellStyle name="Hyperlink" xfId="8309" builtinId="8" hidden="1"/>
    <cellStyle name="Hyperlink" xfId="8311" builtinId="8" hidden="1"/>
    <cellStyle name="Hyperlink" xfId="8313" builtinId="8" hidden="1"/>
    <cellStyle name="Hyperlink" xfId="8315" builtinId="8" hidden="1"/>
    <cellStyle name="Hyperlink" xfId="8317" builtinId="8" hidden="1"/>
    <cellStyle name="Hyperlink" xfId="8319" builtinId="8" hidden="1"/>
    <cellStyle name="Hyperlink" xfId="8321" builtinId="8" hidden="1"/>
    <cellStyle name="Hyperlink" xfId="8323" builtinId="8" hidden="1"/>
    <cellStyle name="Hyperlink" xfId="8325" builtinId="8" hidden="1"/>
    <cellStyle name="Hyperlink" xfId="8327" builtinId="8" hidden="1"/>
    <cellStyle name="Hyperlink" xfId="8329" builtinId="8" hidden="1"/>
    <cellStyle name="Hyperlink" xfId="8331" builtinId="8" hidden="1"/>
    <cellStyle name="Hyperlink" xfId="8333" builtinId="8" hidden="1"/>
    <cellStyle name="Hyperlink" xfId="8335" builtinId="8" hidden="1"/>
    <cellStyle name="Hyperlink" xfId="8337" builtinId="8" hidden="1"/>
    <cellStyle name="Hyperlink" xfId="8339" builtinId="8" hidden="1"/>
    <cellStyle name="Hyperlink" xfId="8341" builtinId="8" hidden="1"/>
    <cellStyle name="Hyperlink" xfId="8343" builtinId="8" hidden="1"/>
    <cellStyle name="Hyperlink" xfId="8345" builtinId="8" hidden="1"/>
    <cellStyle name="Hyperlink" xfId="8347" builtinId="8" hidden="1"/>
    <cellStyle name="Hyperlink" xfId="8349" builtinId="8" hidden="1"/>
    <cellStyle name="Hyperlink" xfId="8351" builtinId="8" hidden="1"/>
    <cellStyle name="Hyperlink" xfId="8353" builtinId="8" hidden="1"/>
    <cellStyle name="Hyperlink" xfId="8355" builtinId="8" hidden="1"/>
    <cellStyle name="Hyperlink" xfId="8357" builtinId="8" hidden="1"/>
    <cellStyle name="Hyperlink" xfId="8359" builtinId="8" hidden="1"/>
    <cellStyle name="Hyperlink" xfId="8361" builtinId="8" hidden="1"/>
    <cellStyle name="Hyperlink" xfId="8363" builtinId="8" hidden="1"/>
    <cellStyle name="Hyperlink" xfId="8365" builtinId="8" hidden="1"/>
    <cellStyle name="Hyperlink" xfId="8367" builtinId="8" hidden="1"/>
    <cellStyle name="Hyperlink" xfId="8369" builtinId="8" hidden="1"/>
    <cellStyle name="Hyperlink" xfId="8371" builtinId="8" hidden="1"/>
    <cellStyle name="Hyperlink" xfId="8373" builtinId="8" hidden="1"/>
    <cellStyle name="Hyperlink" xfId="8375" builtinId="8" hidden="1"/>
    <cellStyle name="Hyperlink" xfId="8377" builtinId="8" hidden="1"/>
    <cellStyle name="Hyperlink" xfId="8379" builtinId="8" hidden="1"/>
    <cellStyle name="Hyperlink" xfId="8381" builtinId="8" hidden="1"/>
    <cellStyle name="Hyperlink" xfId="8383" builtinId="8" hidden="1"/>
    <cellStyle name="Hyperlink" xfId="8385" builtinId="8" hidden="1"/>
    <cellStyle name="Hyperlink" xfId="8387" builtinId="8" hidden="1"/>
    <cellStyle name="Hyperlink" xfId="8389" builtinId="8" hidden="1"/>
    <cellStyle name="Hyperlink" xfId="8391" builtinId="8" hidden="1"/>
    <cellStyle name="Hyperlink" xfId="8393" builtinId="8" hidden="1"/>
    <cellStyle name="Hyperlink" xfId="8395" builtinId="8" hidden="1"/>
    <cellStyle name="Hyperlink" xfId="8397" builtinId="8" hidden="1"/>
    <cellStyle name="Hyperlink" xfId="8399" builtinId="8" hidden="1"/>
    <cellStyle name="Hyperlink" xfId="8401" builtinId="8" hidden="1"/>
    <cellStyle name="Hyperlink" xfId="8403" builtinId="8" hidden="1"/>
    <cellStyle name="Hyperlink" xfId="8405" builtinId="8" hidden="1"/>
    <cellStyle name="Hyperlink" xfId="8407" builtinId="8" hidden="1"/>
    <cellStyle name="Hyperlink" xfId="8409" builtinId="8" hidden="1"/>
    <cellStyle name="Hyperlink" xfId="8411" builtinId="8" hidden="1"/>
    <cellStyle name="Hyperlink" xfId="8413" builtinId="8" hidden="1"/>
    <cellStyle name="Hyperlink" xfId="8415" builtinId="8" hidden="1"/>
    <cellStyle name="Hyperlink" xfId="8417" builtinId="8" hidden="1"/>
    <cellStyle name="Hyperlink" xfId="8419" builtinId="8" hidden="1"/>
    <cellStyle name="Hyperlink" xfId="8421" builtinId="8" hidden="1"/>
    <cellStyle name="Hyperlink" xfId="8423" builtinId="8" hidden="1"/>
    <cellStyle name="Hyperlink" xfId="8425" builtinId="8" hidden="1"/>
    <cellStyle name="Hyperlink" xfId="8427" builtinId="8" hidden="1"/>
    <cellStyle name="Hyperlink" xfId="8429" builtinId="8" hidden="1"/>
    <cellStyle name="Hyperlink" xfId="8431" builtinId="8" hidden="1"/>
    <cellStyle name="Hyperlink" xfId="8433" builtinId="8" hidden="1"/>
    <cellStyle name="Hyperlink" xfId="8435" builtinId="8" hidden="1"/>
    <cellStyle name="Hyperlink" xfId="8437" builtinId="8" hidden="1"/>
    <cellStyle name="Hyperlink" xfId="8439" builtinId="8" hidden="1"/>
    <cellStyle name="Hyperlink" xfId="8441" builtinId="8" hidden="1"/>
    <cellStyle name="Hyperlink" xfId="8443" builtinId="8" hidden="1"/>
    <cellStyle name="Hyperlink" xfId="8445" builtinId="8" hidden="1"/>
    <cellStyle name="Hyperlink" xfId="8447" builtinId="8" hidden="1"/>
    <cellStyle name="Hyperlink" xfId="8449" builtinId="8" hidden="1"/>
    <cellStyle name="Hyperlink" xfId="8451" builtinId="8" hidden="1"/>
    <cellStyle name="Hyperlink" xfId="8453" builtinId="8" hidden="1"/>
    <cellStyle name="Hyperlink" xfId="8455" builtinId="8" hidden="1"/>
    <cellStyle name="Hyperlink" xfId="8457" builtinId="8" hidden="1"/>
    <cellStyle name="Hyperlink" xfId="8459" builtinId="8" hidden="1"/>
    <cellStyle name="Hyperlink" xfId="8461" builtinId="8" hidden="1"/>
    <cellStyle name="Hyperlink" xfId="8463" builtinId="8" hidden="1"/>
    <cellStyle name="Hyperlink" xfId="8465" builtinId="8" hidden="1"/>
    <cellStyle name="Hyperlink" xfId="8467" builtinId="8" hidden="1"/>
    <cellStyle name="Hyperlink" xfId="8469" builtinId="8" hidden="1"/>
    <cellStyle name="Hyperlink" xfId="8471" builtinId="8" hidden="1"/>
    <cellStyle name="Hyperlink" xfId="8473" builtinId="8" hidden="1"/>
    <cellStyle name="Hyperlink" xfId="8475" builtinId="8" hidden="1"/>
    <cellStyle name="Hyperlink" xfId="8477" builtinId="8" hidden="1"/>
    <cellStyle name="Hyperlink" xfId="8479" builtinId="8" hidden="1"/>
    <cellStyle name="Hyperlink" xfId="8481" builtinId="8" hidden="1"/>
    <cellStyle name="Hyperlink" xfId="8483" builtinId="8" hidden="1"/>
    <cellStyle name="Hyperlink" xfId="8485" builtinId="8" hidden="1"/>
    <cellStyle name="Hyperlink" xfId="8487" builtinId="8" hidden="1"/>
    <cellStyle name="Hyperlink" xfId="8489" builtinId="8" hidden="1"/>
    <cellStyle name="Hyperlink" xfId="8491" builtinId="8" hidden="1"/>
    <cellStyle name="Hyperlink" xfId="8493" builtinId="8" hidden="1"/>
    <cellStyle name="Hyperlink" xfId="8495" builtinId="8" hidden="1"/>
    <cellStyle name="Hyperlink" xfId="8497" builtinId="8" hidden="1"/>
    <cellStyle name="Hyperlink" xfId="8499" builtinId="8" hidden="1"/>
    <cellStyle name="Hyperlink" xfId="8501" builtinId="8" hidden="1"/>
    <cellStyle name="Hyperlink" xfId="8503" builtinId="8" hidden="1"/>
    <cellStyle name="Hyperlink" xfId="8505" builtinId="8" hidden="1"/>
    <cellStyle name="Hyperlink" xfId="8507" builtinId="8" hidden="1"/>
    <cellStyle name="Hyperlink" xfId="8509" builtinId="8" hidden="1"/>
    <cellStyle name="Hyperlink" xfId="8511" builtinId="8" hidden="1"/>
    <cellStyle name="Hyperlink" xfId="8513" builtinId="8" hidden="1"/>
    <cellStyle name="Hyperlink" xfId="8515" builtinId="8" hidden="1"/>
    <cellStyle name="Hyperlink" xfId="8517" builtinId="8" hidden="1"/>
    <cellStyle name="Hyperlink" xfId="8519" builtinId="8" hidden="1"/>
    <cellStyle name="Hyperlink" xfId="8521" builtinId="8" hidden="1"/>
    <cellStyle name="Hyperlink" xfId="8523" builtinId="8" hidden="1"/>
    <cellStyle name="Hyperlink" xfId="8525" builtinId="8" hidden="1"/>
    <cellStyle name="Hyperlink" xfId="8527" builtinId="8" hidden="1"/>
    <cellStyle name="Hyperlink" xfId="8529" builtinId="8" hidden="1"/>
    <cellStyle name="Hyperlink" xfId="8531" builtinId="8" hidden="1"/>
    <cellStyle name="Hyperlink" xfId="8533" builtinId="8" hidden="1"/>
    <cellStyle name="Hyperlink" xfId="8535" builtinId="8" hidden="1"/>
    <cellStyle name="Hyperlink" xfId="8537" builtinId="8" hidden="1"/>
    <cellStyle name="Hyperlink" xfId="8539" builtinId="8" hidden="1"/>
    <cellStyle name="Hyperlink" xfId="8541" builtinId="8" hidden="1"/>
    <cellStyle name="Hyperlink" xfId="8543" builtinId="8" hidden="1"/>
    <cellStyle name="Hyperlink" xfId="8545" builtinId="8" hidden="1"/>
    <cellStyle name="Hyperlink" xfId="8547" builtinId="8" hidden="1"/>
    <cellStyle name="Hyperlink" xfId="8549" builtinId="8" hidden="1"/>
    <cellStyle name="Hyperlink" xfId="8551" builtinId="8" hidden="1"/>
    <cellStyle name="Hyperlink" xfId="8553" builtinId="8" hidden="1"/>
    <cellStyle name="Hyperlink" xfId="8555" builtinId="8" hidden="1"/>
    <cellStyle name="Hyperlink" xfId="8557" builtinId="8" hidden="1"/>
    <cellStyle name="Hyperlink" xfId="8559" builtinId="8" hidden="1"/>
    <cellStyle name="Hyperlink" xfId="8561" builtinId="8" hidden="1"/>
    <cellStyle name="Hyperlink" xfId="8563" builtinId="8" hidden="1"/>
    <cellStyle name="Hyperlink" xfId="8565" builtinId="8" hidden="1"/>
    <cellStyle name="Hyperlink" xfId="8567" builtinId="8" hidden="1"/>
    <cellStyle name="Hyperlink" xfId="8569" builtinId="8" hidden="1"/>
    <cellStyle name="Hyperlink" xfId="8571" builtinId="8" hidden="1"/>
    <cellStyle name="Hyperlink" xfId="8573" builtinId="8" hidden="1"/>
    <cellStyle name="Hyperlink" xfId="8575" builtinId="8" hidden="1"/>
    <cellStyle name="Hyperlink" xfId="8577" builtinId="8" hidden="1"/>
    <cellStyle name="Hyperlink" xfId="8579" builtinId="8" hidden="1"/>
    <cellStyle name="Hyperlink" xfId="8581" builtinId="8" hidden="1"/>
    <cellStyle name="Hyperlink" xfId="8583" builtinId="8" hidden="1"/>
    <cellStyle name="Hyperlink" xfId="8585" builtinId="8" hidden="1"/>
    <cellStyle name="Hyperlink" xfId="8587" builtinId="8" hidden="1"/>
    <cellStyle name="Hyperlink" xfId="8589" builtinId="8" hidden="1"/>
    <cellStyle name="Hyperlink" xfId="8591" builtinId="8" hidden="1"/>
    <cellStyle name="Hyperlink" xfId="8593" builtinId="8" hidden="1"/>
    <cellStyle name="Hyperlink" xfId="8595" builtinId="8" hidden="1"/>
    <cellStyle name="Hyperlink" xfId="8597" builtinId="8" hidden="1"/>
    <cellStyle name="Hyperlink" xfId="8599" builtinId="8" hidden="1"/>
    <cellStyle name="Hyperlink" xfId="8601" builtinId="8" hidden="1"/>
    <cellStyle name="Hyperlink" xfId="8603" builtinId="8" hidden="1"/>
    <cellStyle name="Hyperlink" xfId="8605" builtinId="8" hidden="1"/>
    <cellStyle name="Hyperlink" xfId="8607" builtinId="8" hidden="1"/>
    <cellStyle name="Hyperlink" xfId="8609" builtinId="8" hidden="1"/>
    <cellStyle name="Hyperlink" xfId="8611" builtinId="8" hidden="1"/>
    <cellStyle name="Hyperlink" xfId="8613" builtinId="8" hidden="1"/>
    <cellStyle name="Hyperlink" xfId="8615" builtinId="8" hidden="1"/>
    <cellStyle name="Hyperlink" xfId="8617" builtinId="8" hidden="1"/>
    <cellStyle name="Hyperlink" xfId="8619" builtinId="8" hidden="1"/>
    <cellStyle name="Hyperlink" xfId="8621" builtinId="8" hidden="1"/>
    <cellStyle name="Hyperlink" xfId="8623" builtinId="8" hidden="1"/>
    <cellStyle name="Hyperlink" xfId="8625" builtinId="8" hidden="1"/>
    <cellStyle name="Hyperlink" xfId="8627" builtinId="8" hidden="1"/>
    <cellStyle name="Hyperlink" xfId="8629" builtinId="8" hidden="1"/>
    <cellStyle name="Hyperlink" xfId="8631" builtinId="8" hidden="1"/>
    <cellStyle name="Hyperlink" xfId="8633" builtinId="8" hidden="1"/>
    <cellStyle name="Hyperlink" xfId="8635" builtinId="8" hidden="1"/>
    <cellStyle name="Hyperlink" xfId="8637" builtinId="8" hidden="1"/>
    <cellStyle name="Hyperlink" xfId="8639" builtinId="8" hidden="1"/>
    <cellStyle name="Hyperlink" xfId="8641" builtinId="8" hidden="1"/>
    <cellStyle name="Hyperlink" xfId="8643" builtinId="8" hidden="1"/>
    <cellStyle name="Hyperlink" xfId="8645" builtinId="8" hidden="1"/>
    <cellStyle name="Hyperlink" xfId="8647" builtinId="8" hidden="1"/>
    <cellStyle name="Hyperlink" xfId="8649" builtinId="8" hidden="1"/>
    <cellStyle name="Hyperlink" xfId="8651" builtinId="8" hidden="1"/>
    <cellStyle name="Hyperlink" xfId="8653" builtinId="8" hidden="1"/>
    <cellStyle name="Hyperlink" xfId="8655" builtinId="8" hidden="1"/>
    <cellStyle name="Hyperlink" xfId="8657" builtinId="8" hidden="1"/>
    <cellStyle name="Hyperlink" xfId="8659" builtinId="8" hidden="1"/>
    <cellStyle name="Hyperlink" xfId="8661" builtinId="8" hidden="1"/>
    <cellStyle name="Hyperlink" xfId="8663" builtinId="8" hidden="1"/>
    <cellStyle name="Hyperlink" xfId="8665" builtinId="8" hidden="1"/>
    <cellStyle name="Hyperlink" xfId="8667" builtinId="8" hidden="1"/>
    <cellStyle name="Hyperlink" xfId="8669" builtinId="8" hidden="1"/>
    <cellStyle name="Hyperlink" xfId="8671" builtinId="8" hidden="1"/>
    <cellStyle name="Hyperlink" xfId="8673" builtinId="8" hidden="1"/>
    <cellStyle name="Hyperlink" xfId="8675" builtinId="8" hidden="1"/>
    <cellStyle name="Hyperlink" xfId="8677" builtinId="8" hidden="1"/>
    <cellStyle name="Hyperlink" xfId="8679" builtinId="8" hidden="1"/>
    <cellStyle name="Hyperlink" xfId="8681" builtinId="8" hidden="1"/>
    <cellStyle name="Hyperlink" xfId="8683" builtinId="8" hidden="1"/>
    <cellStyle name="Hyperlink" xfId="8685" builtinId="8" hidden="1"/>
    <cellStyle name="Hyperlink" xfId="8687" builtinId="8" hidden="1"/>
    <cellStyle name="Hyperlink" xfId="8689" builtinId="8" hidden="1"/>
    <cellStyle name="Hyperlink" xfId="8691" builtinId="8" hidden="1"/>
    <cellStyle name="Hyperlink" xfId="8693" builtinId="8" hidden="1"/>
    <cellStyle name="Hyperlink" xfId="8695" builtinId="8" hidden="1"/>
    <cellStyle name="Hyperlink" xfId="8697" builtinId="8" hidden="1"/>
    <cellStyle name="Hyperlink" xfId="8699" builtinId="8" hidden="1"/>
    <cellStyle name="Hyperlink" xfId="8701" builtinId="8" hidden="1"/>
    <cellStyle name="Hyperlink" xfId="8703" builtinId="8" hidden="1"/>
    <cellStyle name="Hyperlink" xfId="8705" builtinId="8" hidden="1"/>
    <cellStyle name="Hyperlink" xfId="8707" builtinId="8" hidden="1"/>
    <cellStyle name="Hyperlink" xfId="8709" builtinId="8" hidden="1"/>
    <cellStyle name="Hyperlink" xfId="8711" builtinId="8" hidden="1"/>
    <cellStyle name="Hyperlink" xfId="8713" builtinId="8" hidden="1"/>
    <cellStyle name="Hyperlink" xfId="8715" builtinId="8" hidden="1"/>
    <cellStyle name="Hyperlink" xfId="8717" builtinId="8" hidden="1"/>
    <cellStyle name="Hyperlink" xfId="8719" builtinId="8" hidden="1"/>
    <cellStyle name="Hyperlink" xfId="8721" builtinId="8" hidden="1"/>
    <cellStyle name="Hyperlink" xfId="8723" builtinId="8" hidden="1"/>
    <cellStyle name="Hyperlink" xfId="8725" builtinId="8" hidden="1"/>
    <cellStyle name="Hyperlink" xfId="8727" builtinId="8" hidden="1"/>
    <cellStyle name="Hyperlink" xfId="8729" builtinId="8" hidden="1"/>
    <cellStyle name="Hyperlink" xfId="8731" builtinId="8" hidden="1"/>
    <cellStyle name="Hyperlink" xfId="8733" builtinId="8" hidden="1"/>
    <cellStyle name="Hyperlink" xfId="8735" builtinId="8" hidden="1"/>
    <cellStyle name="Hyperlink" xfId="8737" builtinId="8" hidden="1"/>
    <cellStyle name="Hyperlink" xfId="8739" builtinId="8" hidden="1"/>
    <cellStyle name="Hyperlink" xfId="8741" builtinId="8" hidden="1"/>
    <cellStyle name="Hyperlink" xfId="8743" builtinId="8" hidden="1"/>
    <cellStyle name="Hyperlink" xfId="8745" builtinId="8" hidden="1"/>
    <cellStyle name="Hyperlink" xfId="8747" builtinId="8" hidden="1"/>
    <cellStyle name="Hyperlink" xfId="8749" builtinId="8" hidden="1"/>
    <cellStyle name="Hyperlink" xfId="8751" builtinId="8" hidden="1"/>
    <cellStyle name="Hyperlink" xfId="8753" builtinId="8" hidden="1"/>
    <cellStyle name="Hyperlink" xfId="8755" builtinId="8" hidden="1"/>
    <cellStyle name="Hyperlink" xfId="8757" builtinId="8" hidden="1"/>
    <cellStyle name="Hyperlink" xfId="8759" builtinId="8" hidden="1"/>
    <cellStyle name="Hyperlink" xfId="8761" builtinId="8" hidden="1"/>
    <cellStyle name="Hyperlink" xfId="8763" builtinId="8" hidden="1"/>
    <cellStyle name="Hyperlink" xfId="8765" builtinId="8" hidden="1"/>
    <cellStyle name="Hyperlink" xfId="8767" builtinId="8" hidden="1"/>
    <cellStyle name="Hyperlink" xfId="8769" builtinId="8" hidden="1"/>
    <cellStyle name="Hyperlink" xfId="8771" builtinId="8" hidden="1"/>
    <cellStyle name="Hyperlink" xfId="8773" builtinId="8" hidden="1"/>
    <cellStyle name="Hyperlink" xfId="8775" builtinId="8" hidden="1"/>
    <cellStyle name="Hyperlink" xfId="8777" builtinId="8" hidden="1"/>
    <cellStyle name="Hyperlink" xfId="8779" builtinId="8" hidden="1"/>
    <cellStyle name="Hyperlink" xfId="8781" builtinId="8" hidden="1"/>
    <cellStyle name="Hyperlink" xfId="8783" builtinId="8" hidden="1"/>
    <cellStyle name="Hyperlink" xfId="8785" builtinId="8" hidden="1"/>
    <cellStyle name="Hyperlink" xfId="8787" builtinId="8" hidden="1"/>
    <cellStyle name="Hyperlink" xfId="8789" builtinId="8" hidden="1"/>
    <cellStyle name="Hyperlink" xfId="8791" builtinId="8" hidden="1"/>
    <cellStyle name="Hyperlink" xfId="8793" builtinId="8" hidden="1"/>
    <cellStyle name="Hyperlink" xfId="8795" builtinId="8" hidden="1"/>
    <cellStyle name="Hyperlink" xfId="8797" builtinId="8" hidden="1"/>
    <cellStyle name="Hyperlink" xfId="8799" builtinId="8" hidden="1"/>
    <cellStyle name="Hyperlink" xfId="8801" builtinId="8" hidden="1"/>
    <cellStyle name="Hyperlink" xfId="8803" builtinId="8" hidden="1"/>
    <cellStyle name="Hyperlink" xfId="8805" builtinId="8" hidden="1"/>
    <cellStyle name="Hyperlink" xfId="8807" builtinId="8" hidden="1"/>
    <cellStyle name="Hyperlink" xfId="8809" builtinId="8" hidden="1"/>
    <cellStyle name="Hyperlink" xfId="8811" builtinId="8" hidden="1"/>
    <cellStyle name="Hyperlink" xfId="8813" builtinId="8" hidden="1"/>
    <cellStyle name="Hyperlink" xfId="8815" builtinId="8" hidden="1"/>
    <cellStyle name="Hyperlink" xfId="8817" builtinId="8" hidden="1"/>
    <cellStyle name="Hyperlink" xfId="8819" builtinId="8" hidden="1"/>
    <cellStyle name="Hyperlink" xfId="8821" builtinId="8" hidden="1"/>
    <cellStyle name="Hyperlink" xfId="8823" builtinId="8" hidden="1"/>
    <cellStyle name="Hyperlink" xfId="8825" builtinId="8" hidden="1"/>
    <cellStyle name="Hyperlink" xfId="8827" builtinId="8" hidden="1"/>
    <cellStyle name="Hyperlink" xfId="8829" builtinId="8" hidden="1"/>
    <cellStyle name="Hyperlink" xfId="8831" builtinId="8" hidden="1"/>
    <cellStyle name="Hyperlink" xfId="8833" builtinId="8" hidden="1"/>
    <cellStyle name="Hyperlink" xfId="8835" builtinId="8" hidden="1"/>
    <cellStyle name="Hyperlink" xfId="8837" builtinId="8" hidden="1"/>
    <cellStyle name="Hyperlink" xfId="8839" builtinId="8" hidden="1"/>
    <cellStyle name="Hyperlink" xfId="8841" builtinId="8" hidden="1"/>
    <cellStyle name="Hyperlink" xfId="8843" builtinId="8" hidden="1"/>
    <cellStyle name="Hyperlink" xfId="8845" builtinId="8" hidden="1"/>
    <cellStyle name="Hyperlink" xfId="8847" builtinId="8" hidden="1"/>
    <cellStyle name="Hyperlink" xfId="8849" builtinId="8" hidden="1"/>
    <cellStyle name="Hyperlink" xfId="8851" builtinId="8" hidden="1"/>
    <cellStyle name="Hyperlink" xfId="8853" builtinId="8" hidden="1"/>
    <cellStyle name="Hyperlink" xfId="8855" builtinId="8" hidden="1"/>
    <cellStyle name="Hyperlink" xfId="8857" builtinId="8" hidden="1"/>
    <cellStyle name="Hyperlink" xfId="8859" builtinId="8" hidden="1"/>
    <cellStyle name="Hyperlink" xfId="8861" builtinId="8" hidden="1"/>
    <cellStyle name="Hyperlink" xfId="8863" builtinId="8" hidden="1"/>
    <cellStyle name="Hyperlink" xfId="8865" builtinId="8" hidden="1"/>
    <cellStyle name="Hyperlink" xfId="8867" builtinId="8" hidden="1"/>
    <cellStyle name="Hyperlink" xfId="8869" builtinId="8" hidden="1"/>
    <cellStyle name="Hyperlink" xfId="8871" builtinId="8" hidden="1"/>
    <cellStyle name="Hyperlink" xfId="8873" builtinId="8" hidden="1"/>
    <cellStyle name="Hyperlink" xfId="8875" builtinId="8" hidden="1"/>
    <cellStyle name="Hyperlink" xfId="8877" builtinId="8" hidden="1"/>
    <cellStyle name="Hyperlink" xfId="8879" builtinId="8" hidden="1"/>
    <cellStyle name="Hyperlink" xfId="8881" builtinId="8" hidden="1"/>
    <cellStyle name="Hyperlink" xfId="8883" builtinId="8" hidden="1"/>
    <cellStyle name="Hyperlink" xfId="8885" builtinId="8" hidden="1"/>
    <cellStyle name="Hyperlink" xfId="8887" builtinId="8" hidden="1"/>
    <cellStyle name="Hyperlink" xfId="8889" builtinId="8" hidden="1"/>
    <cellStyle name="Hyperlink" xfId="8891" builtinId="8" hidden="1"/>
    <cellStyle name="Hyperlink" xfId="8893" builtinId="8" hidden="1"/>
    <cellStyle name="Hyperlink" xfId="8895" builtinId="8" hidden="1"/>
    <cellStyle name="Hyperlink" xfId="8897" builtinId="8" hidden="1"/>
    <cellStyle name="Hyperlink" xfId="8899" builtinId="8" hidden="1"/>
    <cellStyle name="Hyperlink" xfId="8901" builtinId="8" hidden="1"/>
    <cellStyle name="Hyperlink" xfId="8903" builtinId="8" hidden="1"/>
    <cellStyle name="Hyperlink" xfId="8905" builtinId="8" hidden="1"/>
    <cellStyle name="Hyperlink" xfId="8907" builtinId="8" hidden="1"/>
    <cellStyle name="Hyperlink" xfId="8909" builtinId="8" hidden="1"/>
    <cellStyle name="Hyperlink" xfId="8911" builtinId="8" hidden="1"/>
    <cellStyle name="Hyperlink" xfId="8913" builtinId="8" hidden="1"/>
    <cellStyle name="Hyperlink" xfId="8915" builtinId="8" hidden="1"/>
    <cellStyle name="Hyperlink" xfId="8917" builtinId="8" hidden="1"/>
    <cellStyle name="Hyperlink" xfId="8919" builtinId="8" hidden="1"/>
    <cellStyle name="Hyperlink" xfId="8921" builtinId="8" hidden="1"/>
    <cellStyle name="Hyperlink" xfId="8923" builtinId="8" hidden="1"/>
    <cellStyle name="Hyperlink" xfId="8925" builtinId="8" hidden="1"/>
    <cellStyle name="Hyperlink" xfId="8927" builtinId="8" hidden="1"/>
    <cellStyle name="Hyperlink" xfId="8929" builtinId="8" hidden="1"/>
    <cellStyle name="Hyperlink" xfId="8931" builtinId="8" hidden="1"/>
    <cellStyle name="Hyperlink" xfId="8933" builtinId="8" hidden="1"/>
    <cellStyle name="Hyperlink" xfId="8935" builtinId="8" hidden="1"/>
    <cellStyle name="Hyperlink" xfId="8937" builtinId="8" hidden="1"/>
    <cellStyle name="Hyperlink" xfId="8939" builtinId="8" hidden="1"/>
    <cellStyle name="Hyperlink" xfId="8941" builtinId="8" hidden="1"/>
    <cellStyle name="Hyperlink" xfId="8943" builtinId="8" hidden="1"/>
    <cellStyle name="Hyperlink" xfId="8945" builtinId="8" hidden="1"/>
    <cellStyle name="Hyperlink" xfId="8947" builtinId="8" hidden="1"/>
    <cellStyle name="Hyperlink" xfId="8949" builtinId="8" hidden="1"/>
    <cellStyle name="Hyperlink" xfId="8951" builtinId="8" hidden="1"/>
    <cellStyle name="Hyperlink" xfId="8953" builtinId="8" hidden="1"/>
    <cellStyle name="Hyperlink" xfId="8955" builtinId="8" hidden="1"/>
    <cellStyle name="Hyperlink" xfId="8957" builtinId="8" hidden="1"/>
    <cellStyle name="Hyperlink" xfId="8959" builtinId="8" hidden="1"/>
    <cellStyle name="Hyperlink" xfId="8961" builtinId="8" hidden="1"/>
    <cellStyle name="Hyperlink" xfId="8963" builtinId="8" hidden="1"/>
    <cellStyle name="Hyperlink" xfId="8965" builtinId="8" hidden="1"/>
    <cellStyle name="Hyperlink" xfId="8967" builtinId="8" hidden="1"/>
    <cellStyle name="Hyperlink" xfId="8969" builtinId="8" hidden="1"/>
    <cellStyle name="Hyperlink" xfId="8971" builtinId="8" hidden="1"/>
    <cellStyle name="Hyperlink" xfId="8973" builtinId="8" hidden="1"/>
    <cellStyle name="Hyperlink" xfId="8975" builtinId="8" hidden="1"/>
    <cellStyle name="Hyperlink" xfId="8977" builtinId="8" hidden="1"/>
    <cellStyle name="Hyperlink" xfId="8979" builtinId="8" hidden="1"/>
    <cellStyle name="Hyperlink" xfId="8981" builtinId="8" hidden="1"/>
    <cellStyle name="Hyperlink" xfId="8983" builtinId="8" hidden="1"/>
    <cellStyle name="Hyperlink" xfId="8985" builtinId="8" hidden="1"/>
    <cellStyle name="Hyperlink" xfId="8987" builtinId="8" hidden="1"/>
    <cellStyle name="Hyperlink" xfId="8989" builtinId="8" hidden="1"/>
    <cellStyle name="Hyperlink" xfId="8991" builtinId="8" hidden="1"/>
    <cellStyle name="Hyperlink" xfId="8993" builtinId="8" hidden="1"/>
    <cellStyle name="Hyperlink" xfId="8995" builtinId="8" hidden="1"/>
    <cellStyle name="Hyperlink" xfId="8997" builtinId="8" hidden="1"/>
    <cellStyle name="Hyperlink" xfId="8999" builtinId="8" hidden="1"/>
    <cellStyle name="Hyperlink" xfId="9001" builtinId="8" hidden="1"/>
    <cellStyle name="Hyperlink" xfId="9003" builtinId="8" hidden="1"/>
    <cellStyle name="Hyperlink" xfId="9005" builtinId="8" hidden="1"/>
    <cellStyle name="Hyperlink" xfId="9007" builtinId="8" hidden="1"/>
    <cellStyle name="Hyperlink" xfId="9009" builtinId="8" hidden="1"/>
    <cellStyle name="Hyperlink" xfId="9011" builtinId="8" hidden="1"/>
    <cellStyle name="Hyperlink" xfId="9013" builtinId="8" hidden="1"/>
    <cellStyle name="Hyperlink" xfId="9015" builtinId="8" hidden="1"/>
    <cellStyle name="Hyperlink" xfId="9017" builtinId="8" hidden="1"/>
    <cellStyle name="Hyperlink" xfId="9019" builtinId="8" hidden="1"/>
    <cellStyle name="Hyperlink" xfId="9021" builtinId="8" hidden="1"/>
    <cellStyle name="Hyperlink" xfId="9023" builtinId="8" hidden="1"/>
    <cellStyle name="Hyperlink" xfId="9025" builtinId="8" hidden="1"/>
    <cellStyle name="Hyperlink" xfId="9027" builtinId="8" hidden="1"/>
    <cellStyle name="Hyperlink" xfId="9029" builtinId="8" hidden="1"/>
    <cellStyle name="Hyperlink" xfId="9031" builtinId="8" hidden="1"/>
    <cellStyle name="Hyperlink" xfId="9033" builtinId="8" hidden="1"/>
    <cellStyle name="Hyperlink" xfId="9035" builtinId="8" hidden="1"/>
    <cellStyle name="Hyperlink" xfId="9037" builtinId="8" hidden="1"/>
    <cellStyle name="Hyperlink" xfId="9039" builtinId="8" hidden="1"/>
    <cellStyle name="Hyperlink" xfId="9041" builtinId="8" hidden="1"/>
    <cellStyle name="Hyperlink" xfId="9043" builtinId="8" hidden="1"/>
    <cellStyle name="Hyperlink" xfId="9045" builtinId="8" hidden="1"/>
    <cellStyle name="Hyperlink" xfId="9047" builtinId="8" hidden="1"/>
    <cellStyle name="Hyperlink" xfId="9049" builtinId="8" hidden="1"/>
    <cellStyle name="Hyperlink" xfId="9051" builtinId="8" hidden="1"/>
    <cellStyle name="Hyperlink" xfId="9053" builtinId="8" hidden="1"/>
    <cellStyle name="Hyperlink" xfId="9055" builtinId="8" hidden="1"/>
    <cellStyle name="Hyperlink" xfId="9057" builtinId="8" hidden="1"/>
    <cellStyle name="Hyperlink" xfId="9059" builtinId="8" hidden="1"/>
    <cellStyle name="Hyperlink" xfId="9061" builtinId="8" hidden="1"/>
    <cellStyle name="Hyperlink" xfId="9063" builtinId="8" hidden="1"/>
    <cellStyle name="Hyperlink" xfId="9065" builtinId="8" hidden="1"/>
    <cellStyle name="Hyperlink" xfId="9067" builtinId="8" hidden="1"/>
    <cellStyle name="Hyperlink" xfId="9069" builtinId="8" hidden="1"/>
    <cellStyle name="Hyperlink" xfId="9071" builtinId="8" hidden="1"/>
    <cellStyle name="Hyperlink" xfId="9073" builtinId="8" hidden="1"/>
    <cellStyle name="Hyperlink" xfId="9075" builtinId="8" hidden="1"/>
    <cellStyle name="Hyperlink" xfId="9077" builtinId="8" hidden="1"/>
    <cellStyle name="Hyperlink" xfId="9079" builtinId="8" hidden="1"/>
    <cellStyle name="Hyperlink" xfId="9081" builtinId="8" hidden="1"/>
    <cellStyle name="Hyperlink" xfId="9083" builtinId="8" hidden="1"/>
    <cellStyle name="Hyperlink" xfId="9085" builtinId="8" hidden="1"/>
    <cellStyle name="Hyperlink" xfId="9087" builtinId="8" hidden="1"/>
    <cellStyle name="Hyperlink" xfId="9089" builtinId="8" hidden="1"/>
    <cellStyle name="Hyperlink" xfId="9091" builtinId="8" hidden="1"/>
    <cellStyle name="Hyperlink" xfId="9093" builtinId="8" hidden="1"/>
    <cellStyle name="Hyperlink" xfId="9095" builtinId="8" hidden="1"/>
    <cellStyle name="Hyperlink" xfId="9097" builtinId="8" hidden="1"/>
    <cellStyle name="Hyperlink" xfId="9099" builtinId="8" hidden="1"/>
    <cellStyle name="Hyperlink" xfId="9101" builtinId="8" hidden="1"/>
    <cellStyle name="Hyperlink" xfId="9103" builtinId="8" hidden="1"/>
    <cellStyle name="Hyperlink" xfId="9105" builtinId="8" hidden="1"/>
    <cellStyle name="Hyperlink" xfId="9107" builtinId="8" hidden="1"/>
    <cellStyle name="Hyperlink" xfId="9109" builtinId="8" hidden="1"/>
    <cellStyle name="Hyperlink" xfId="9111" builtinId="8" hidden="1"/>
    <cellStyle name="Hyperlink" xfId="9113" builtinId="8" hidden="1"/>
    <cellStyle name="Hyperlink" xfId="9115" builtinId="8" hidden="1"/>
    <cellStyle name="Hyperlink" xfId="9117" builtinId="8" hidden="1"/>
    <cellStyle name="Hyperlink" xfId="9119" builtinId="8" hidden="1"/>
    <cellStyle name="Hyperlink" xfId="9121" builtinId="8" hidden="1"/>
    <cellStyle name="Hyperlink" xfId="9123" builtinId="8" hidden="1"/>
    <cellStyle name="Hyperlink" xfId="9125" builtinId="8" hidden="1"/>
    <cellStyle name="Hyperlink" xfId="9127" builtinId="8" hidden="1"/>
    <cellStyle name="Hyperlink" xfId="9129" builtinId="8" hidden="1"/>
    <cellStyle name="Hyperlink" xfId="9131" builtinId="8" hidden="1"/>
    <cellStyle name="Hyperlink" xfId="9133" builtinId="8" hidden="1"/>
    <cellStyle name="Hyperlink" xfId="9135" builtinId="8" hidden="1"/>
    <cellStyle name="Hyperlink" xfId="9137" builtinId="8" hidden="1"/>
    <cellStyle name="Hyperlink" xfId="9139" builtinId="8" hidden="1"/>
    <cellStyle name="Hyperlink" xfId="9141" builtinId="8" hidden="1"/>
    <cellStyle name="Hyperlink" xfId="9143" builtinId="8" hidden="1"/>
    <cellStyle name="Hyperlink" xfId="9145" builtinId="8" hidden="1"/>
    <cellStyle name="Hyperlink" xfId="9147" builtinId="8" hidden="1"/>
    <cellStyle name="Hyperlink" xfId="9149" builtinId="8" hidden="1"/>
    <cellStyle name="Hyperlink" xfId="9151" builtinId="8" hidden="1"/>
    <cellStyle name="Hyperlink" xfId="9153" builtinId="8" hidden="1"/>
    <cellStyle name="Hyperlink" xfId="9155" builtinId="8" hidden="1"/>
    <cellStyle name="Hyperlink" xfId="9157" builtinId="8" hidden="1"/>
    <cellStyle name="Hyperlink" xfId="9159" builtinId="8" hidden="1"/>
    <cellStyle name="Hyperlink" xfId="9161" builtinId="8" hidden="1"/>
    <cellStyle name="Hyperlink" xfId="9163" builtinId="8" hidden="1"/>
    <cellStyle name="Hyperlink" xfId="9165" builtinId="8" hidden="1"/>
    <cellStyle name="Hyperlink" xfId="9167" builtinId="8" hidden="1"/>
    <cellStyle name="Hyperlink" xfId="9169" builtinId="8" hidden="1"/>
    <cellStyle name="Hyperlink" xfId="9171" builtinId="8" hidden="1"/>
    <cellStyle name="Hyperlink" xfId="9173" builtinId="8" hidden="1"/>
    <cellStyle name="Hyperlink" xfId="9175" builtinId="8" hidden="1"/>
    <cellStyle name="Hyperlink" xfId="9177" builtinId="8" hidden="1"/>
    <cellStyle name="Hyperlink" xfId="9179" builtinId="8" hidden="1"/>
    <cellStyle name="Hyperlink" xfId="9181" builtinId="8" hidden="1"/>
    <cellStyle name="Hyperlink" xfId="9183" builtinId="8" hidden="1"/>
    <cellStyle name="Hyperlink" xfId="9185" builtinId="8" hidden="1"/>
    <cellStyle name="Hyperlink" xfId="9187" builtinId="8" hidden="1"/>
    <cellStyle name="Hyperlink" xfId="9189" builtinId="8" hidden="1"/>
    <cellStyle name="Hyperlink" xfId="9191" builtinId="8" hidden="1"/>
    <cellStyle name="Hyperlink" xfId="9193" builtinId="8" hidden="1"/>
    <cellStyle name="Hyperlink" xfId="9195" builtinId="8" hidden="1"/>
    <cellStyle name="Hyperlink" xfId="9197" builtinId="8" hidden="1"/>
    <cellStyle name="Hyperlink" xfId="9199" builtinId="8" hidden="1"/>
    <cellStyle name="Hyperlink" xfId="9201" builtinId="8" hidden="1"/>
    <cellStyle name="Hyperlink" xfId="9203" builtinId="8" hidden="1"/>
    <cellStyle name="Hyperlink" xfId="9205" builtinId="8" hidden="1"/>
    <cellStyle name="Hyperlink" xfId="9207" builtinId="8" hidden="1"/>
    <cellStyle name="Hyperlink" xfId="9209" builtinId="8" hidden="1"/>
    <cellStyle name="Hyperlink" xfId="9211" builtinId="8" hidden="1"/>
    <cellStyle name="Hyperlink" xfId="9213" builtinId="8" hidden="1"/>
    <cellStyle name="Hyperlink" xfId="9215" builtinId="8" hidden="1"/>
    <cellStyle name="Hyperlink" xfId="9217" builtinId="8" hidden="1"/>
    <cellStyle name="Hyperlink" xfId="9219" builtinId="8" hidden="1"/>
    <cellStyle name="Hyperlink" xfId="9221" builtinId="8" hidden="1"/>
    <cellStyle name="Hyperlink" xfId="9223" builtinId="8" hidden="1"/>
    <cellStyle name="Hyperlink" xfId="9225" builtinId="8" hidden="1"/>
    <cellStyle name="Hyperlink" xfId="9227" builtinId="8" hidden="1"/>
    <cellStyle name="Hyperlink" xfId="9229" builtinId="8" hidden="1"/>
    <cellStyle name="Hyperlink" xfId="9231" builtinId="8" hidden="1"/>
    <cellStyle name="Hyperlink" xfId="9233" builtinId="8" hidden="1"/>
    <cellStyle name="Hyperlink" xfId="9235" builtinId="8" hidden="1"/>
    <cellStyle name="Hyperlink" xfId="9237" builtinId="8" hidden="1"/>
    <cellStyle name="Hyperlink" xfId="9239" builtinId="8" hidden="1"/>
    <cellStyle name="Hyperlink" xfId="9241" builtinId="8" hidden="1"/>
    <cellStyle name="Hyperlink" xfId="9243" builtinId="8" hidden="1"/>
    <cellStyle name="Hyperlink" xfId="9245" builtinId="8" hidden="1"/>
    <cellStyle name="Hyperlink" xfId="9247" builtinId="8" hidden="1"/>
    <cellStyle name="Hyperlink" xfId="9249" builtinId="8" hidden="1"/>
    <cellStyle name="Hyperlink" xfId="9251" builtinId="8" hidden="1"/>
    <cellStyle name="Hyperlink" xfId="9253" builtinId="8" hidden="1"/>
    <cellStyle name="Hyperlink" xfId="9255" builtinId="8" hidden="1"/>
    <cellStyle name="Hyperlink" xfId="9257" builtinId="8" hidden="1"/>
    <cellStyle name="Hyperlink" xfId="9259" builtinId="8" hidden="1"/>
    <cellStyle name="Hyperlink" xfId="9261" builtinId="8" hidden="1"/>
    <cellStyle name="Hyperlink" xfId="9263" builtinId="8" hidden="1"/>
    <cellStyle name="Hyperlink" xfId="9265" builtinId="8" hidden="1"/>
    <cellStyle name="Hyperlink" xfId="9267" builtinId="8" hidden="1"/>
    <cellStyle name="Hyperlink" xfId="9269" builtinId="8" hidden="1"/>
    <cellStyle name="Hyperlink" xfId="9271" builtinId="8" hidden="1"/>
    <cellStyle name="Hyperlink" xfId="9273" builtinId="8" hidden="1"/>
    <cellStyle name="Hyperlink" xfId="9275" builtinId="8" hidden="1"/>
    <cellStyle name="Hyperlink" xfId="9277" builtinId="8" hidden="1"/>
    <cellStyle name="Hyperlink" xfId="9279" builtinId="8" hidden="1"/>
    <cellStyle name="Hyperlink" xfId="9281" builtinId="8" hidden="1"/>
    <cellStyle name="Hyperlink" xfId="9283" builtinId="8" hidden="1"/>
    <cellStyle name="Hyperlink" xfId="9285" builtinId="8" hidden="1"/>
    <cellStyle name="Hyperlink" xfId="9287" builtinId="8" hidden="1"/>
    <cellStyle name="Hyperlink" xfId="9289" builtinId="8" hidden="1"/>
    <cellStyle name="Hyperlink" xfId="9291" builtinId="8" hidden="1"/>
    <cellStyle name="Hyperlink" xfId="9293" builtinId="8" hidden="1"/>
    <cellStyle name="Hyperlink" xfId="9295" builtinId="8" hidden="1"/>
    <cellStyle name="Hyperlink" xfId="9297" builtinId="8" hidden="1"/>
    <cellStyle name="Hyperlink" xfId="9299" builtinId="8" hidden="1"/>
    <cellStyle name="Hyperlink" xfId="9301" builtinId="8" hidden="1"/>
    <cellStyle name="Hyperlink" xfId="9303" builtinId="8" hidden="1"/>
    <cellStyle name="Hyperlink" xfId="9305" builtinId="8" hidden="1"/>
    <cellStyle name="Hyperlink" xfId="9307" builtinId="8" hidden="1"/>
    <cellStyle name="Hyperlink" xfId="9309" builtinId="8" hidden="1"/>
    <cellStyle name="Hyperlink" xfId="9311" builtinId="8" hidden="1"/>
    <cellStyle name="Hyperlink" xfId="9313" builtinId="8" hidden="1"/>
    <cellStyle name="Hyperlink" xfId="9315" builtinId="8" hidden="1"/>
    <cellStyle name="Hyperlink" xfId="9317" builtinId="8" hidden="1"/>
    <cellStyle name="Hyperlink" xfId="9319" builtinId="8" hidden="1"/>
    <cellStyle name="Hyperlink" xfId="9321" builtinId="8" hidden="1"/>
    <cellStyle name="Hyperlink" xfId="9323" builtinId="8" hidden="1"/>
    <cellStyle name="Hyperlink" xfId="9325" builtinId="8" hidden="1"/>
    <cellStyle name="Hyperlink" xfId="9327" builtinId="8" hidden="1"/>
    <cellStyle name="Hyperlink" xfId="9329" builtinId="8" hidden="1"/>
    <cellStyle name="Hyperlink" xfId="9331" builtinId="8" hidden="1"/>
    <cellStyle name="Hyperlink" xfId="9333" builtinId="8" hidden="1"/>
    <cellStyle name="Hyperlink" xfId="9335" builtinId="8" hidden="1"/>
    <cellStyle name="Hyperlink" xfId="9337" builtinId="8" hidden="1"/>
    <cellStyle name="Hyperlink" xfId="9339" builtinId="8" hidden="1"/>
    <cellStyle name="Hyperlink" xfId="9341" builtinId="8" hidden="1"/>
    <cellStyle name="Hyperlink" xfId="9343" builtinId="8" hidden="1"/>
    <cellStyle name="Hyperlink" xfId="9345" builtinId="8" hidden="1"/>
    <cellStyle name="Hyperlink" xfId="9347" builtinId="8" hidden="1"/>
    <cellStyle name="Hyperlink" xfId="9349" builtinId="8" hidden="1"/>
    <cellStyle name="Hyperlink" xfId="9351" builtinId="8" hidden="1"/>
    <cellStyle name="Hyperlink" xfId="9353" builtinId="8" hidden="1"/>
    <cellStyle name="Hyperlink" xfId="9355" builtinId="8" hidden="1"/>
    <cellStyle name="Hyperlink" xfId="9357" builtinId="8" hidden="1"/>
    <cellStyle name="Hyperlink" xfId="9359" builtinId="8" hidden="1"/>
    <cellStyle name="Hyperlink" xfId="9361" builtinId="8" hidden="1"/>
    <cellStyle name="Hyperlink" xfId="9363" builtinId="8" hidden="1"/>
    <cellStyle name="Hyperlink" xfId="9365" builtinId="8" hidden="1"/>
    <cellStyle name="Hyperlink" xfId="9367" builtinId="8" hidden="1"/>
    <cellStyle name="Hyperlink" xfId="9369" builtinId="8" hidden="1"/>
    <cellStyle name="Hyperlink" xfId="9371" builtinId="8" hidden="1"/>
    <cellStyle name="Hyperlink" xfId="9373" builtinId="8" hidden="1"/>
    <cellStyle name="Hyperlink" xfId="9375" builtinId="8" hidden="1"/>
    <cellStyle name="Hyperlink" xfId="9377" builtinId="8" hidden="1"/>
    <cellStyle name="Hyperlink" xfId="9379" builtinId="8" hidden="1"/>
    <cellStyle name="Hyperlink" xfId="9381" builtinId="8" hidden="1"/>
    <cellStyle name="Hyperlink" xfId="9383" builtinId="8" hidden="1"/>
    <cellStyle name="Hyperlink" xfId="9385" builtinId="8" hidden="1"/>
    <cellStyle name="Hyperlink" xfId="9387" builtinId="8" hidden="1"/>
    <cellStyle name="Hyperlink" xfId="9389" builtinId="8" hidden="1"/>
    <cellStyle name="Hyperlink" xfId="9391" builtinId="8" hidden="1"/>
    <cellStyle name="Hyperlink" xfId="9393" builtinId="8" hidden="1"/>
    <cellStyle name="Hyperlink" xfId="9395" builtinId="8" hidden="1"/>
    <cellStyle name="Hyperlink" xfId="9397" builtinId="8" hidden="1"/>
    <cellStyle name="Hyperlink" xfId="9399" builtinId="8" hidden="1"/>
    <cellStyle name="Hyperlink" xfId="9401" builtinId="8" hidden="1"/>
    <cellStyle name="Hyperlink" xfId="9403" builtinId="8" hidden="1"/>
    <cellStyle name="Hyperlink" xfId="9405" builtinId="8" hidden="1"/>
    <cellStyle name="Hyperlink" xfId="9407" builtinId="8" hidden="1"/>
    <cellStyle name="Hyperlink" xfId="9409" builtinId="8" hidden="1"/>
    <cellStyle name="Hyperlink" xfId="9411" builtinId="8" hidden="1"/>
    <cellStyle name="Hyperlink" xfId="9413" builtinId="8" hidden="1"/>
    <cellStyle name="Hyperlink" xfId="9415" builtinId="8" hidden="1"/>
    <cellStyle name="Hyperlink" xfId="9417" builtinId="8" hidden="1"/>
    <cellStyle name="Hyperlink" xfId="9419" builtinId="8" hidden="1"/>
    <cellStyle name="Hyperlink" xfId="9421" builtinId="8" hidden="1"/>
    <cellStyle name="Hyperlink" xfId="9423" builtinId="8" hidden="1"/>
    <cellStyle name="Hyperlink" xfId="9425" builtinId="8" hidden="1"/>
    <cellStyle name="Hyperlink" xfId="9427" builtinId="8" hidden="1"/>
    <cellStyle name="Hyperlink" xfId="9429" builtinId="8" hidden="1"/>
    <cellStyle name="Hyperlink" xfId="9431" builtinId="8" hidden="1"/>
    <cellStyle name="Hyperlink" xfId="9433" builtinId="8" hidden="1"/>
    <cellStyle name="Hyperlink" xfId="9435" builtinId="8" hidden="1"/>
    <cellStyle name="Hyperlink" xfId="9437" builtinId="8" hidden="1"/>
    <cellStyle name="Hyperlink" xfId="9439" builtinId="8" hidden="1"/>
    <cellStyle name="Hyperlink" xfId="9441" builtinId="8" hidden="1"/>
    <cellStyle name="Hyperlink" xfId="9443" builtinId="8" hidden="1"/>
    <cellStyle name="Hyperlink" xfId="9445" builtinId="8" hidden="1"/>
    <cellStyle name="Hyperlink" xfId="9447" builtinId="8" hidden="1"/>
    <cellStyle name="Hyperlink" xfId="9449" builtinId="8" hidden="1"/>
    <cellStyle name="Hyperlink" xfId="9451" builtinId="8" hidden="1"/>
    <cellStyle name="Hyperlink" xfId="9453" builtinId="8" hidden="1"/>
    <cellStyle name="Hyperlink" xfId="9455" builtinId="8" hidden="1"/>
    <cellStyle name="Hyperlink" xfId="9457" builtinId="8" hidden="1"/>
    <cellStyle name="Hyperlink" xfId="9459" builtinId="8" hidden="1"/>
    <cellStyle name="Hyperlink" xfId="9461" builtinId="8" hidden="1"/>
    <cellStyle name="Hyperlink" xfId="9463" builtinId="8" hidden="1"/>
    <cellStyle name="Hyperlink" xfId="9465" builtinId="8" hidden="1"/>
    <cellStyle name="Hyperlink" xfId="9467" builtinId="8" hidden="1"/>
    <cellStyle name="Hyperlink" xfId="9469" builtinId="8" hidden="1"/>
    <cellStyle name="Hyperlink" xfId="9471" builtinId="8" hidden="1"/>
    <cellStyle name="Hyperlink" xfId="9473" builtinId="8" hidden="1"/>
    <cellStyle name="Hyperlink" xfId="9475" builtinId="8" hidden="1"/>
    <cellStyle name="Hyperlink" xfId="9477" builtinId="8" hidden="1"/>
    <cellStyle name="Hyperlink" xfId="9479" builtinId="8" hidden="1"/>
    <cellStyle name="Hyperlink" xfId="9481" builtinId="8" hidden="1"/>
    <cellStyle name="Hyperlink" xfId="9483" builtinId="8" hidden="1"/>
    <cellStyle name="Hyperlink" xfId="9485" builtinId="8" hidden="1"/>
    <cellStyle name="Hyperlink" xfId="9487" builtinId="8" hidden="1"/>
    <cellStyle name="Hyperlink" xfId="9489" builtinId="8" hidden="1"/>
    <cellStyle name="Hyperlink" xfId="9491" builtinId="8" hidden="1"/>
    <cellStyle name="Hyperlink" xfId="9493" builtinId="8" hidden="1"/>
    <cellStyle name="Hyperlink" xfId="9495" builtinId="8" hidden="1"/>
    <cellStyle name="Hyperlink" xfId="9497" builtinId="8" hidden="1"/>
    <cellStyle name="Hyperlink" xfId="9499" builtinId="8" hidden="1"/>
    <cellStyle name="Hyperlink" xfId="9501" builtinId="8" hidden="1"/>
    <cellStyle name="Hyperlink" xfId="9503" builtinId="8" hidden="1"/>
    <cellStyle name="Hyperlink" xfId="9505" builtinId="8" hidden="1"/>
    <cellStyle name="Hyperlink" xfId="9507" builtinId="8" hidden="1"/>
    <cellStyle name="Hyperlink" xfId="9509" builtinId="8" hidden="1"/>
    <cellStyle name="Hyperlink" xfId="9511" builtinId="8" hidden="1"/>
    <cellStyle name="Hyperlink" xfId="9513" builtinId="8" hidden="1"/>
    <cellStyle name="Hyperlink" xfId="9515" builtinId="8" hidden="1"/>
    <cellStyle name="Hyperlink" xfId="9517" builtinId="8" hidden="1"/>
    <cellStyle name="Hyperlink" xfId="9519" builtinId="8" hidden="1"/>
    <cellStyle name="Hyperlink" xfId="9521" builtinId="8" hidden="1"/>
    <cellStyle name="Hyperlink" xfId="9523" builtinId="8" hidden="1"/>
    <cellStyle name="Hyperlink" xfId="9525" builtinId="8" hidden="1"/>
    <cellStyle name="Hyperlink" xfId="9527" builtinId="8" hidden="1"/>
    <cellStyle name="Hyperlink" xfId="9529" builtinId="8" hidden="1"/>
    <cellStyle name="Hyperlink" xfId="9531" builtinId="8" hidden="1"/>
    <cellStyle name="Hyperlink" xfId="9533" builtinId="8" hidden="1"/>
    <cellStyle name="Hyperlink" xfId="9535" builtinId="8" hidden="1"/>
    <cellStyle name="Hyperlink" xfId="9537" builtinId="8" hidden="1"/>
    <cellStyle name="Hyperlink" xfId="9539" builtinId="8" hidden="1"/>
    <cellStyle name="Hyperlink" xfId="9541" builtinId="8" hidden="1"/>
    <cellStyle name="Hyperlink" xfId="9543" builtinId="8" hidden="1"/>
    <cellStyle name="Hyperlink" xfId="9545" builtinId="8" hidden="1"/>
    <cellStyle name="Hyperlink" xfId="9547" builtinId="8" hidden="1"/>
    <cellStyle name="Hyperlink" xfId="9549" builtinId="8" hidden="1"/>
    <cellStyle name="Hyperlink" xfId="9551" builtinId="8" hidden="1"/>
    <cellStyle name="Hyperlink" xfId="9553" builtinId="8" hidden="1"/>
    <cellStyle name="Hyperlink" xfId="9555" builtinId="8" hidden="1"/>
    <cellStyle name="Hyperlink" xfId="9557" builtinId="8" hidden="1"/>
    <cellStyle name="Hyperlink" xfId="9559" builtinId="8" hidden="1"/>
    <cellStyle name="Hyperlink" xfId="9561" builtinId="8" hidden="1"/>
    <cellStyle name="Hyperlink" xfId="9563" builtinId="8" hidden="1"/>
    <cellStyle name="Hyperlink" xfId="9565" builtinId="8" hidden="1"/>
    <cellStyle name="Hyperlink" xfId="9567" builtinId="8" hidden="1"/>
    <cellStyle name="Hyperlink" xfId="9569" builtinId="8" hidden="1"/>
    <cellStyle name="Hyperlink" xfId="9571" builtinId="8" hidden="1"/>
    <cellStyle name="Hyperlink" xfId="9573" builtinId="8" hidden="1"/>
    <cellStyle name="Hyperlink" xfId="9575" builtinId="8" hidden="1"/>
    <cellStyle name="Hyperlink" xfId="9577" builtinId="8" hidden="1"/>
    <cellStyle name="Hyperlink" xfId="9579" builtinId="8" hidden="1"/>
    <cellStyle name="Hyperlink" xfId="9581" builtinId="8" hidden="1"/>
    <cellStyle name="Hyperlink" xfId="9583" builtinId="8" hidden="1"/>
    <cellStyle name="Hyperlink" xfId="9585" builtinId="8" hidden="1"/>
    <cellStyle name="Hyperlink" xfId="9587" builtinId="8" hidden="1"/>
    <cellStyle name="Hyperlink" xfId="9589" builtinId="8" hidden="1"/>
    <cellStyle name="Hyperlink" xfId="9591" builtinId="8" hidden="1"/>
    <cellStyle name="Hyperlink" xfId="9593" builtinId="8" hidden="1"/>
    <cellStyle name="Hyperlink" xfId="9595" builtinId="8" hidden="1"/>
    <cellStyle name="Hyperlink" xfId="9597" builtinId="8" hidden="1"/>
    <cellStyle name="Hyperlink" xfId="9599" builtinId="8" hidden="1"/>
    <cellStyle name="Hyperlink" xfId="9601" builtinId="8" hidden="1"/>
    <cellStyle name="Hyperlink" xfId="9603" builtinId="8" hidden="1"/>
    <cellStyle name="Hyperlink" xfId="9605" builtinId="8" hidden="1"/>
    <cellStyle name="Hyperlink" xfId="9607" builtinId="8" hidden="1"/>
    <cellStyle name="Hyperlink" xfId="9609" builtinId="8" hidden="1"/>
    <cellStyle name="Hyperlink" xfId="9611" builtinId="8" hidden="1"/>
    <cellStyle name="Hyperlink" xfId="9613" builtinId="8" hidden="1"/>
    <cellStyle name="Hyperlink" xfId="9615" builtinId="8" hidden="1"/>
    <cellStyle name="Hyperlink" xfId="9617" builtinId="8" hidden="1"/>
    <cellStyle name="Hyperlink" xfId="9619" builtinId="8" hidden="1"/>
    <cellStyle name="Hyperlink" xfId="9621" builtinId="8" hidden="1"/>
    <cellStyle name="Hyperlink" xfId="9623" builtinId="8" hidden="1"/>
    <cellStyle name="Hyperlink" xfId="9625" builtinId="8" hidden="1"/>
    <cellStyle name="Hyperlink" xfId="9627" builtinId="8" hidden="1"/>
    <cellStyle name="Hyperlink" xfId="9629" builtinId="8" hidden="1"/>
    <cellStyle name="Hyperlink" xfId="9631" builtinId="8" hidden="1"/>
    <cellStyle name="Hyperlink" xfId="9633" builtinId="8" hidden="1"/>
    <cellStyle name="Hyperlink" xfId="9635" builtinId="8" hidden="1"/>
    <cellStyle name="Hyperlink" xfId="9637" builtinId="8" hidden="1"/>
    <cellStyle name="Hyperlink" xfId="9639" builtinId="8" hidden="1"/>
    <cellStyle name="Hyperlink" xfId="9641" builtinId="8" hidden="1"/>
    <cellStyle name="Hyperlink" xfId="9643" builtinId="8" hidden="1"/>
    <cellStyle name="Hyperlink" xfId="9645" builtinId="8" hidden="1"/>
    <cellStyle name="Hyperlink" xfId="9647" builtinId="8" hidden="1"/>
    <cellStyle name="Hyperlink" xfId="9649" builtinId="8" hidden="1"/>
    <cellStyle name="Hyperlink" xfId="9651" builtinId="8" hidden="1"/>
    <cellStyle name="Hyperlink" xfId="9653" builtinId="8" hidden="1"/>
    <cellStyle name="Hyperlink" xfId="9655" builtinId="8" hidden="1"/>
    <cellStyle name="Hyperlink" xfId="9657" builtinId="8" hidden="1"/>
    <cellStyle name="Hyperlink" xfId="9659" builtinId="8" hidden="1"/>
    <cellStyle name="Hyperlink" xfId="9661" builtinId="8" hidden="1"/>
    <cellStyle name="Hyperlink" xfId="9663" builtinId="8" hidden="1"/>
    <cellStyle name="Hyperlink" xfId="9665" builtinId="8" hidden="1"/>
    <cellStyle name="Hyperlink" xfId="9667" builtinId="8" hidden="1"/>
    <cellStyle name="Hyperlink" xfId="9669" builtinId="8" hidden="1"/>
    <cellStyle name="Hyperlink" xfId="9671" builtinId="8" hidden="1"/>
    <cellStyle name="Hyperlink" xfId="9673" builtinId="8" hidden="1"/>
    <cellStyle name="Hyperlink" xfId="9675" builtinId="8" hidden="1"/>
    <cellStyle name="Hyperlink" xfId="9677" builtinId="8" hidden="1"/>
    <cellStyle name="Hyperlink" xfId="9679" builtinId="8" hidden="1"/>
    <cellStyle name="Hyperlink" xfId="9681" builtinId="8" hidden="1"/>
    <cellStyle name="Hyperlink" xfId="9683" builtinId="8" hidden="1"/>
    <cellStyle name="Hyperlink" xfId="9685" builtinId="8" hidden="1"/>
    <cellStyle name="Hyperlink" xfId="9687" builtinId="8" hidden="1"/>
    <cellStyle name="Hyperlink" xfId="9689" builtinId="8" hidden="1"/>
    <cellStyle name="Hyperlink" xfId="9691" builtinId="8" hidden="1"/>
    <cellStyle name="Hyperlink" xfId="9693" builtinId="8" hidden="1"/>
    <cellStyle name="Hyperlink" xfId="9695" builtinId="8" hidden="1"/>
    <cellStyle name="Hyperlink" xfId="9697" builtinId="8" hidden="1"/>
    <cellStyle name="Hyperlink" xfId="9699" builtinId="8" hidden="1"/>
    <cellStyle name="Hyperlink" xfId="9701" builtinId="8" hidden="1"/>
    <cellStyle name="Hyperlink" xfId="9703" builtinId="8" hidden="1"/>
    <cellStyle name="Hyperlink" xfId="9705" builtinId="8" hidden="1"/>
    <cellStyle name="Hyperlink" xfId="9707" builtinId="8" hidden="1"/>
    <cellStyle name="Hyperlink" xfId="9709" builtinId="8" hidden="1"/>
    <cellStyle name="Hyperlink" xfId="9711" builtinId="8" hidden="1"/>
    <cellStyle name="Hyperlink" xfId="9713" builtinId="8" hidden="1"/>
    <cellStyle name="Hyperlink" xfId="9715" builtinId="8" hidden="1"/>
    <cellStyle name="Hyperlink" xfId="9717" builtinId="8" hidden="1"/>
    <cellStyle name="Hyperlink" xfId="9719" builtinId="8" hidden="1"/>
    <cellStyle name="Hyperlink" xfId="9721" builtinId="8" hidden="1"/>
    <cellStyle name="Hyperlink" xfId="9723" builtinId="8" hidden="1"/>
    <cellStyle name="Hyperlink" xfId="9725" builtinId="8" hidden="1"/>
    <cellStyle name="Hyperlink" xfId="9727" builtinId="8" hidden="1"/>
    <cellStyle name="Hyperlink" xfId="9729" builtinId="8" hidden="1"/>
    <cellStyle name="Hyperlink" xfId="9731" builtinId="8" hidden="1"/>
    <cellStyle name="Hyperlink" xfId="9733" builtinId="8" hidden="1"/>
    <cellStyle name="Hyperlink" xfId="9735" builtinId="8" hidden="1"/>
    <cellStyle name="Hyperlink" xfId="9737" builtinId="8" hidden="1"/>
    <cellStyle name="Hyperlink" xfId="9739" builtinId="8" hidden="1"/>
    <cellStyle name="Hyperlink" xfId="9741" builtinId="8" hidden="1"/>
    <cellStyle name="Hyperlink" xfId="9743" builtinId="8" hidden="1"/>
    <cellStyle name="Hyperlink" xfId="9745" builtinId="8" hidden="1"/>
    <cellStyle name="Hyperlink" xfId="9747" builtinId="8" hidden="1"/>
    <cellStyle name="Hyperlink" xfId="9749" builtinId="8" hidden="1"/>
    <cellStyle name="Hyperlink" xfId="9751" builtinId="8" hidden="1"/>
    <cellStyle name="Hyperlink" xfId="9753" builtinId="8" hidden="1"/>
    <cellStyle name="Hyperlink" xfId="9755" builtinId="8" hidden="1"/>
    <cellStyle name="Hyperlink" xfId="9757" builtinId="8" hidden="1"/>
    <cellStyle name="Hyperlink" xfId="9759" builtinId="8" hidden="1"/>
    <cellStyle name="Hyperlink" xfId="9761" builtinId="8" hidden="1"/>
    <cellStyle name="Hyperlink" xfId="9763" builtinId="8" hidden="1"/>
    <cellStyle name="Hyperlink" xfId="9765" builtinId="8" hidden="1"/>
    <cellStyle name="Hyperlink" xfId="9767" builtinId="8" hidden="1"/>
    <cellStyle name="Hyperlink" xfId="9769" builtinId="8" hidden="1"/>
    <cellStyle name="Hyperlink" xfId="9771" builtinId="8" hidden="1"/>
    <cellStyle name="Hyperlink" xfId="9773" builtinId="8" hidden="1"/>
    <cellStyle name="Hyperlink" xfId="9775" builtinId="8" hidden="1"/>
    <cellStyle name="Hyperlink" xfId="9777" builtinId="8" hidden="1"/>
    <cellStyle name="Hyperlink" xfId="9779" builtinId="8" hidden="1"/>
    <cellStyle name="Hyperlink" xfId="9781" builtinId="8" hidden="1"/>
    <cellStyle name="Hyperlink" xfId="9783" builtinId="8" hidden="1"/>
    <cellStyle name="Hyperlink" xfId="9785" builtinId="8" hidden="1"/>
    <cellStyle name="Hyperlink" xfId="9787" builtinId="8" hidden="1"/>
    <cellStyle name="Hyperlink" xfId="9789" builtinId="8" hidden="1"/>
    <cellStyle name="Hyperlink" xfId="9791" builtinId="8" hidden="1"/>
    <cellStyle name="Hyperlink" xfId="9793" builtinId="8" hidden="1"/>
    <cellStyle name="Hyperlink" xfId="9795" builtinId="8" hidden="1"/>
    <cellStyle name="Hyperlink" xfId="9797" builtinId="8" hidden="1"/>
    <cellStyle name="Hyperlink" xfId="9799" builtinId="8" hidden="1"/>
    <cellStyle name="Hyperlink" xfId="9801" builtinId="8" hidden="1"/>
    <cellStyle name="Hyperlink" xfId="9803" builtinId="8" hidden="1"/>
    <cellStyle name="Hyperlink" xfId="9805" builtinId="8" hidden="1"/>
    <cellStyle name="Hyperlink" xfId="9807" builtinId="8" hidden="1"/>
    <cellStyle name="Hyperlink" xfId="9809" builtinId="8" hidden="1"/>
    <cellStyle name="Hyperlink" xfId="9811" builtinId="8" hidden="1"/>
    <cellStyle name="Hyperlink" xfId="9813" builtinId="8" hidden="1"/>
    <cellStyle name="Hyperlink" xfId="9815" builtinId="8" hidden="1"/>
    <cellStyle name="Hyperlink" xfId="9817" builtinId="8" hidden="1"/>
    <cellStyle name="Hyperlink" xfId="9819" builtinId="8" hidden="1"/>
    <cellStyle name="Hyperlink" xfId="9821" builtinId="8" hidden="1"/>
    <cellStyle name="Hyperlink" xfId="9823" builtinId="8" hidden="1"/>
    <cellStyle name="Hyperlink" xfId="9825" builtinId="8" hidden="1"/>
    <cellStyle name="Hyperlink" xfId="9827" builtinId="8" hidden="1"/>
    <cellStyle name="Hyperlink" xfId="9829" builtinId="8" hidden="1"/>
    <cellStyle name="Hyperlink" xfId="9831" builtinId="8" hidden="1"/>
    <cellStyle name="Hyperlink" xfId="9833" builtinId="8" hidden="1"/>
    <cellStyle name="Hyperlink" xfId="9835" builtinId="8" hidden="1"/>
    <cellStyle name="Hyperlink" xfId="9837" builtinId="8" hidden="1"/>
    <cellStyle name="Hyperlink" xfId="9839" builtinId="8" hidden="1"/>
    <cellStyle name="Hyperlink" xfId="9841" builtinId="8" hidden="1"/>
    <cellStyle name="Hyperlink" xfId="9843" builtinId="8" hidden="1"/>
    <cellStyle name="Hyperlink" xfId="9845" builtinId="8" hidden="1"/>
    <cellStyle name="Hyperlink" xfId="9847" builtinId="8" hidden="1"/>
    <cellStyle name="Hyperlink" xfId="9849" builtinId="8" hidden="1"/>
    <cellStyle name="Hyperlink" xfId="9851" builtinId="8" hidden="1"/>
    <cellStyle name="Hyperlink" xfId="9853" builtinId="8" hidden="1"/>
    <cellStyle name="Hyperlink" xfId="9855" builtinId="8" hidden="1"/>
    <cellStyle name="Hyperlink" xfId="9857" builtinId="8" hidden="1"/>
    <cellStyle name="Hyperlink" xfId="9859" builtinId="8" hidden="1"/>
    <cellStyle name="Hyperlink" xfId="9861" builtinId="8" hidden="1"/>
    <cellStyle name="Hyperlink" xfId="9863" builtinId="8" hidden="1"/>
    <cellStyle name="Hyperlink" xfId="9865" builtinId="8" hidden="1"/>
    <cellStyle name="Hyperlink" xfId="9867" builtinId="8" hidden="1"/>
    <cellStyle name="Hyperlink" xfId="9869" builtinId="8" hidden="1"/>
    <cellStyle name="Hyperlink" xfId="9871" builtinId="8" hidden="1"/>
    <cellStyle name="Hyperlink" xfId="9873" builtinId="8" hidden="1"/>
    <cellStyle name="Hyperlink" xfId="9875" builtinId="8" hidden="1"/>
    <cellStyle name="Hyperlink" xfId="9877" builtinId="8" hidden="1"/>
    <cellStyle name="Hyperlink" xfId="9879" builtinId="8" hidden="1"/>
    <cellStyle name="Hyperlink" xfId="9881" builtinId="8" hidden="1"/>
    <cellStyle name="Hyperlink" xfId="9883" builtinId="8" hidden="1"/>
    <cellStyle name="Hyperlink" xfId="9885" builtinId="8" hidden="1"/>
    <cellStyle name="Hyperlink" xfId="9887" builtinId="8" hidden="1"/>
    <cellStyle name="Hyperlink" xfId="9889" builtinId="8" hidden="1"/>
    <cellStyle name="Hyperlink" xfId="9891" builtinId="8" hidden="1"/>
    <cellStyle name="Hyperlink" xfId="9893" builtinId="8" hidden="1"/>
    <cellStyle name="Hyperlink" xfId="9895" builtinId="8" hidden="1"/>
    <cellStyle name="Hyperlink" xfId="9897" builtinId="8" hidden="1"/>
    <cellStyle name="Hyperlink" xfId="9899" builtinId="8" hidden="1"/>
    <cellStyle name="Hyperlink" xfId="9901" builtinId="8" hidden="1"/>
    <cellStyle name="Hyperlink" xfId="9903" builtinId="8" hidden="1"/>
    <cellStyle name="Hyperlink" xfId="9905" builtinId="8" hidden="1"/>
    <cellStyle name="Hyperlink" xfId="9907" builtinId="8" hidden="1"/>
    <cellStyle name="Hyperlink" xfId="9909" builtinId="8" hidden="1"/>
    <cellStyle name="Hyperlink" xfId="9911" builtinId="8" hidden="1"/>
    <cellStyle name="Hyperlink" xfId="9913" builtinId="8" hidden="1"/>
    <cellStyle name="Hyperlink" xfId="9915" builtinId="8" hidden="1"/>
    <cellStyle name="Hyperlink" xfId="9917" builtinId="8" hidden="1"/>
    <cellStyle name="Hyperlink" xfId="9919" builtinId="8" hidden="1"/>
    <cellStyle name="Hyperlink" xfId="9921" builtinId="8" hidden="1"/>
    <cellStyle name="Hyperlink" xfId="9923" builtinId="8" hidden="1"/>
    <cellStyle name="Hyperlink" xfId="9925" builtinId="8" hidden="1"/>
    <cellStyle name="Hyperlink" xfId="9927" builtinId="8" hidden="1"/>
    <cellStyle name="Hyperlink" xfId="9929" builtinId="8" hidden="1"/>
    <cellStyle name="Hyperlink" xfId="9931" builtinId="8" hidden="1"/>
    <cellStyle name="Hyperlink" xfId="9933" builtinId="8" hidden="1"/>
    <cellStyle name="Hyperlink" xfId="9935" builtinId="8" hidden="1"/>
    <cellStyle name="Hyperlink" xfId="9937" builtinId="8" hidden="1"/>
    <cellStyle name="Hyperlink" xfId="9939" builtinId="8" hidden="1"/>
    <cellStyle name="Hyperlink" xfId="9941" builtinId="8" hidden="1"/>
    <cellStyle name="Hyperlink" xfId="9943" builtinId="8" hidden="1"/>
    <cellStyle name="Hyperlink" xfId="9945" builtinId="8" hidden="1"/>
    <cellStyle name="Hyperlink" xfId="9947" builtinId="8" hidden="1"/>
    <cellStyle name="Hyperlink" xfId="9949" builtinId="8" hidden="1"/>
    <cellStyle name="Hyperlink" xfId="9951" builtinId="8" hidden="1"/>
    <cellStyle name="Hyperlink" xfId="9953" builtinId="8" hidden="1"/>
    <cellStyle name="Hyperlink" xfId="9955" builtinId="8" hidden="1"/>
    <cellStyle name="Hyperlink" xfId="9957" builtinId="8" hidden="1"/>
    <cellStyle name="Hyperlink" xfId="9959" builtinId="8" hidden="1"/>
    <cellStyle name="Hyperlink" xfId="9961" builtinId="8" hidden="1"/>
    <cellStyle name="Hyperlink" xfId="9963" builtinId="8" hidden="1"/>
    <cellStyle name="Hyperlink" xfId="9965" builtinId="8" hidden="1"/>
    <cellStyle name="Hyperlink" xfId="9967" builtinId="8" hidden="1"/>
    <cellStyle name="Hyperlink" xfId="9969" builtinId="8" hidden="1"/>
    <cellStyle name="Hyperlink" xfId="9971" builtinId="8" hidden="1"/>
    <cellStyle name="Hyperlink" xfId="9973" builtinId="8" hidden="1"/>
    <cellStyle name="Hyperlink" xfId="9975" builtinId="8" hidden="1"/>
    <cellStyle name="Hyperlink" xfId="9977" builtinId="8" hidden="1"/>
    <cellStyle name="Hyperlink" xfId="9979" builtinId="8" hidden="1"/>
    <cellStyle name="Hyperlink" xfId="9981" builtinId="8" hidden="1"/>
    <cellStyle name="Hyperlink" xfId="9983" builtinId="8" hidden="1"/>
    <cellStyle name="Hyperlink" xfId="9985" builtinId="8" hidden="1"/>
    <cellStyle name="Hyperlink" xfId="9987" builtinId="8" hidden="1"/>
    <cellStyle name="Hyperlink" xfId="9989" builtinId="8" hidden="1"/>
    <cellStyle name="Hyperlink" xfId="9991" builtinId="8" hidden="1"/>
    <cellStyle name="Hyperlink" xfId="9993" builtinId="8" hidden="1"/>
    <cellStyle name="Hyperlink" xfId="9995" builtinId="8" hidden="1"/>
    <cellStyle name="Hyperlink" xfId="9997" builtinId="8" hidden="1"/>
    <cellStyle name="Hyperlink" xfId="9999" builtinId="8" hidden="1"/>
    <cellStyle name="Hyperlink" xfId="10001" builtinId="8" hidden="1"/>
    <cellStyle name="Hyperlink" xfId="10003" builtinId="8" hidden="1"/>
    <cellStyle name="Hyperlink" xfId="10005" builtinId="8" hidden="1"/>
    <cellStyle name="Hyperlink" xfId="10007" builtinId="8" hidden="1"/>
    <cellStyle name="Hyperlink" xfId="10009" builtinId="8" hidden="1"/>
    <cellStyle name="Hyperlink" xfId="10011" builtinId="8" hidden="1"/>
    <cellStyle name="Hyperlink" xfId="10013" builtinId="8" hidden="1"/>
    <cellStyle name="Hyperlink" xfId="10015" builtinId="8" hidden="1"/>
    <cellStyle name="Hyperlink" xfId="10017" builtinId="8" hidden="1"/>
    <cellStyle name="Hyperlink" xfId="10019" builtinId="8" hidden="1"/>
    <cellStyle name="Hyperlink" xfId="10021" builtinId="8" hidden="1"/>
    <cellStyle name="Hyperlink" xfId="10023" builtinId="8" hidden="1"/>
    <cellStyle name="Hyperlink" xfId="10025" builtinId="8" hidden="1"/>
    <cellStyle name="Hyperlink" xfId="10027" builtinId="8" hidden="1"/>
    <cellStyle name="Hyperlink" xfId="10029" builtinId="8" hidden="1"/>
    <cellStyle name="Hyperlink" xfId="10031" builtinId="8" hidden="1"/>
    <cellStyle name="Hyperlink" xfId="10033" builtinId="8" hidden="1"/>
    <cellStyle name="Hyperlink" xfId="10035" builtinId="8" hidden="1"/>
    <cellStyle name="Hyperlink" xfId="10037" builtinId="8" hidden="1"/>
    <cellStyle name="Hyperlink" xfId="10039" builtinId="8" hidden="1"/>
    <cellStyle name="Hyperlink" xfId="10041" builtinId="8" hidden="1"/>
    <cellStyle name="Hyperlink" xfId="10043" builtinId="8" hidden="1"/>
    <cellStyle name="Hyperlink" xfId="10045" builtinId="8" hidden="1"/>
    <cellStyle name="Hyperlink" xfId="10047" builtinId="8" hidden="1"/>
    <cellStyle name="Hyperlink" xfId="10049" builtinId="8" hidden="1"/>
    <cellStyle name="Hyperlink" xfId="10051" builtinId="8" hidden="1"/>
    <cellStyle name="Hyperlink" xfId="10053" builtinId="8" hidden="1"/>
    <cellStyle name="Hyperlink" xfId="10055" builtinId="8" hidden="1"/>
    <cellStyle name="Hyperlink" xfId="10057" builtinId="8" hidden="1"/>
    <cellStyle name="Hyperlink" xfId="10059" builtinId="8" hidden="1"/>
    <cellStyle name="Hyperlink" xfId="10061" builtinId="8" hidden="1"/>
    <cellStyle name="Hyperlink" xfId="10063" builtinId="8" hidden="1"/>
    <cellStyle name="Hyperlink" xfId="10065" builtinId="8" hidden="1"/>
    <cellStyle name="Hyperlink" xfId="10067" builtinId="8" hidden="1"/>
    <cellStyle name="Hyperlink" xfId="10069" builtinId="8" hidden="1"/>
    <cellStyle name="Hyperlink" xfId="10071" builtinId="8" hidden="1"/>
    <cellStyle name="Hyperlink" xfId="10073" builtinId="8" hidden="1"/>
    <cellStyle name="Hyperlink" xfId="10075" builtinId="8" hidden="1"/>
    <cellStyle name="Hyperlink" xfId="10077" builtinId="8" hidden="1"/>
    <cellStyle name="Hyperlink" xfId="10079" builtinId="8" hidden="1"/>
    <cellStyle name="Hyperlink" xfId="10081" builtinId="8" hidden="1"/>
    <cellStyle name="Hyperlink" xfId="10083" builtinId="8" hidden="1"/>
    <cellStyle name="Hyperlink" xfId="10085" builtinId="8" hidden="1"/>
    <cellStyle name="Hyperlink" xfId="10087" builtinId="8" hidden="1"/>
    <cellStyle name="Hyperlink" xfId="10089" builtinId="8" hidden="1"/>
    <cellStyle name="Hyperlink" xfId="10091" builtinId="8" hidden="1"/>
    <cellStyle name="Hyperlink" xfId="10093" builtinId="8" hidden="1"/>
    <cellStyle name="Hyperlink" xfId="10095" builtinId="8" hidden="1"/>
    <cellStyle name="Hyperlink" xfId="10097" builtinId="8" hidden="1"/>
    <cellStyle name="Hyperlink" xfId="10099" builtinId="8" hidden="1"/>
    <cellStyle name="Hyperlink" xfId="10101" builtinId="8" hidden="1"/>
    <cellStyle name="Hyperlink" xfId="10103" builtinId="8" hidden="1"/>
    <cellStyle name="Hyperlink" xfId="10105" builtinId="8" hidden="1"/>
    <cellStyle name="Hyperlink" xfId="10107" builtinId="8" hidden="1"/>
    <cellStyle name="Hyperlink" xfId="10109" builtinId="8" hidden="1"/>
    <cellStyle name="Hyperlink" xfId="10111" builtinId="8" hidden="1"/>
    <cellStyle name="Hyperlink" xfId="10113" builtinId="8" hidden="1"/>
    <cellStyle name="Hyperlink" xfId="10115" builtinId="8" hidden="1"/>
    <cellStyle name="Hyperlink" xfId="10117" builtinId="8" hidden="1"/>
    <cellStyle name="Hyperlink" xfId="10119" builtinId="8" hidden="1"/>
    <cellStyle name="Hyperlink" xfId="10121" builtinId="8" hidden="1"/>
    <cellStyle name="Hyperlink" xfId="10123" builtinId="8" hidden="1"/>
    <cellStyle name="Hyperlink" xfId="10125" builtinId="8" hidden="1"/>
    <cellStyle name="Hyperlink" xfId="10127" builtinId="8" hidden="1"/>
    <cellStyle name="Hyperlink" xfId="10129" builtinId="8" hidden="1"/>
    <cellStyle name="Hyperlink" xfId="10131" builtinId="8" hidden="1"/>
    <cellStyle name="Hyperlink" xfId="10133" builtinId="8" hidden="1"/>
    <cellStyle name="Hyperlink" xfId="10135" builtinId="8" hidden="1"/>
    <cellStyle name="Hyperlink" xfId="10137" builtinId="8" hidden="1"/>
    <cellStyle name="Hyperlink" xfId="10139" builtinId="8" hidden="1"/>
    <cellStyle name="Hyperlink" xfId="10141" builtinId="8" hidden="1"/>
    <cellStyle name="Hyperlink" xfId="10143" builtinId="8" hidden="1"/>
    <cellStyle name="Hyperlink" xfId="10145" builtinId="8" hidden="1"/>
    <cellStyle name="Hyperlink" xfId="10147" builtinId="8" hidden="1"/>
    <cellStyle name="Hyperlink" xfId="10149" builtinId="8" hidden="1"/>
    <cellStyle name="Hyperlink" xfId="10151" builtinId="8" hidden="1"/>
    <cellStyle name="Hyperlink" xfId="10153" builtinId="8" hidden="1"/>
    <cellStyle name="Hyperlink" xfId="10155" builtinId="8" hidden="1"/>
    <cellStyle name="Hyperlink" xfId="10157" builtinId="8" hidden="1"/>
    <cellStyle name="Hyperlink" xfId="10159" builtinId="8" hidden="1"/>
    <cellStyle name="Hyperlink" xfId="10161" builtinId="8" hidden="1"/>
    <cellStyle name="Hyperlink" xfId="10163" builtinId="8" hidden="1"/>
    <cellStyle name="Hyperlink" xfId="10165" builtinId="8" hidden="1"/>
    <cellStyle name="Hyperlink" xfId="10167" builtinId="8" hidden="1"/>
    <cellStyle name="Hyperlink" xfId="10169" builtinId="8" hidden="1"/>
    <cellStyle name="Hyperlink" xfId="10171" builtinId="8" hidden="1"/>
    <cellStyle name="Hyperlink" xfId="10173" builtinId="8" hidden="1"/>
    <cellStyle name="Hyperlink" xfId="10175" builtinId="8" hidden="1"/>
    <cellStyle name="Hyperlink" xfId="10177" builtinId="8" hidden="1"/>
    <cellStyle name="Hyperlink" xfId="10179" builtinId="8" hidden="1"/>
    <cellStyle name="Hyperlink" xfId="10181" builtinId="8" hidden="1"/>
    <cellStyle name="Hyperlink" xfId="10183" builtinId="8" hidden="1"/>
    <cellStyle name="Hyperlink" xfId="10185" builtinId="8" hidden="1"/>
    <cellStyle name="Hyperlink" xfId="10187" builtinId="8" hidden="1"/>
    <cellStyle name="Hyperlink" xfId="10189" builtinId="8" hidden="1"/>
    <cellStyle name="Hyperlink" xfId="10191" builtinId="8" hidden="1"/>
    <cellStyle name="Hyperlink" xfId="10193" builtinId="8" hidden="1"/>
    <cellStyle name="Hyperlink" xfId="10195" builtinId="8" hidden="1"/>
    <cellStyle name="Hyperlink" xfId="10197" builtinId="8" hidden="1"/>
    <cellStyle name="Hyperlink" xfId="10199" builtinId="8" hidden="1"/>
    <cellStyle name="Hyperlink" xfId="10201" builtinId="8" hidden="1"/>
    <cellStyle name="Hyperlink" xfId="10203" builtinId="8" hidden="1"/>
    <cellStyle name="Hyperlink" xfId="10205" builtinId="8" hidden="1"/>
    <cellStyle name="Hyperlink" xfId="10207" builtinId="8" hidden="1"/>
    <cellStyle name="Hyperlink" xfId="10209" builtinId="8" hidden="1"/>
    <cellStyle name="Hyperlink" xfId="10211" builtinId="8" hidden="1"/>
    <cellStyle name="Hyperlink" xfId="10213" builtinId="8" hidden="1"/>
    <cellStyle name="Hyperlink" xfId="10215" builtinId="8" hidden="1"/>
    <cellStyle name="Hyperlink" xfId="10217" builtinId="8" hidden="1"/>
    <cellStyle name="Hyperlink" xfId="10219" builtinId="8" hidden="1"/>
    <cellStyle name="Hyperlink" xfId="10221" builtinId="8" hidden="1"/>
    <cellStyle name="Hyperlink" xfId="10223" builtinId="8" hidden="1"/>
    <cellStyle name="Hyperlink" xfId="10225" builtinId="8" hidden="1"/>
    <cellStyle name="Hyperlink" xfId="10227" builtinId="8" hidden="1"/>
    <cellStyle name="Hyperlink" xfId="10229" builtinId="8" hidden="1"/>
    <cellStyle name="Hyperlink" xfId="10231" builtinId="8" hidden="1"/>
    <cellStyle name="Hyperlink" xfId="10233" builtinId="8" hidden="1"/>
    <cellStyle name="Hyperlink" xfId="10235" builtinId="8" hidden="1"/>
    <cellStyle name="Hyperlink" xfId="10237" builtinId="8" hidden="1"/>
    <cellStyle name="Hyperlink" xfId="10239" builtinId="8" hidden="1"/>
    <cellStyle name="Hyperlink" xfId="10241" builtinId="8" hidden="1"/>
    <cellStyle name="Hyperlink" xfId="10243" builtinId="8" hidden="1"/>
    <cellStyle name="Hyperlink" xfId="10245" builtinId="8" hidden="1"/>
    <cellStyle name="Hyperlink" xfId="10247" builtinId="8" hidden="1"/>
    <cellStyle name="Hyperlink" xfId="10249" builtinId="8" hidden="1"/>
    <cellStyle name="Hyperlink" xfId="10251" builtinId="8" hidden="1"/>
    <cellStyle name="Hyperlink" xfId="10253" builtinId="8" hidden="1"/>
    <cellStyle name="Hyperlink" xfId="10255" builtinId="8" hidden="1"/>
    <cellStyle name="Hyperlink" xfId="10257" builtinId="8" hidden="1"/>
    <cellStyle name="Hyperlink" xfId="10259" builtinId="8" hidden="1"/>
    <cellStyle name="Hyperlink" xfId="10261" builtinId="8" hidden="1"/>
    <cellStyle name="Hyperlink" xfId="10263" builtinId="8" hidden="1"/>
    <cellStyle name="Hyperlink" xfId="10265" builtinId="8" hidden="1"/>
    <cellStyle name="Hyperlink" xfId="10267" builtinId="8" hidden="1"/>
    <cellStyle name="Hyperlink" xfId="10269" builtinId="8" hidden="1"/>
    <cellStyle name="Hyperlink" xfId="10271" builtinId="8" hidden="1"/>
    <cellStyle name="Hyperlink" xfId="10273" builtinId="8" hidden="1"/>
    <cellStyle name="Hyperlink" xfId="10275" builtinId="8" hidden="1"/>
    <cellStyle name="Hyperlink" xfId="10277" builtinId="8" hidden="1"/>
    <cellStyle name="Hyperlink" xfId="10279" builtinId="8" hidden="1"/>
    <cellStyle name="Hyperlink" xfId="10281" builtinId="8" hidden="1"/>
    <cellStyle name="Hyperlink" xfId="10283" builtinId="8" hidden="1"/>
    <cellStyle name="Hyperlink" xfId="10285" builtinId="8" hidden="1"/>
    <cellStyle name="Hyperlink" xfId="10287" builtinId="8" hidden="1"/>
    <cellStyle name="Hyperlink" xfId="10289" builtinId="8" hidden="1"/>
    <cellStyle name="Hyperlink" xfId="10291" builtinId="8" hidden="1"/>
    <cellStyle name="Hyperlink" xfId="10293" builtinId="8" hidden="1"/>
    <cellStyle name="Hyperlink" xfId="10295" builtinId="8" hidden="1"/>
    <cellStyle name="Hyperlink" xfId="10297" builtinId="8" hidden="1"/>
    <cellStyle name="Hyperlink" xfId="10299" builtinId="8" hidden="1"/>
    <cellStyle name="Hyperlink" xfId="10301" builtinId="8" hidden="1"/>
    <cellStyle name="Hyperlink" xfId="10303" builtinId="8" hidden="1"/>
    <cellStyle name="Hyperlink" xfId="10305" builtinId="8" hidden="1"/>
    <cellStyle name="Hyperlink" xfId="10307" builtinId="8" hidden="1"/>
    <cellStyle name="Hyperlink" xfId="10309" builtinId="8" hidden="1"/>
    <cellStyle name="Hyperlink" xfId="10311" builtinId="8" hidden="1"/>
    <cellStyle name="Hyperlink" xfId="10313" builtinId="8" hidden="1"/>
    <cellStyle name="Hyperlink" xfId="10315" builtinId="8" hidden="1"/>
    <cellStyle name="Hyperlink" xfId="10317" builtinId="8" hidden="1"/>
    <cellStyle name="Hyperlink" xfId="10319" builtinId="8" hidden="1"/>
    <cellStyle name="Hyperlink" xfId="10321" builtinId="8" hidden="1"/>
    <cellStyle name="Hyperlink" xfId="10323" builtinId="8" hidden="1"/>
    <cellStyle name="Hyperlink" xfId="10325" builtinId="8" hidden="1"/>
    <cellStyle name="Hyperlink" xfId="10327" builtinId="8" hidden="1"/>
    <cellStyle name="Hyperlink" xfId="10329" builtinId="8" hidden="1"/>
    <cellStyle name="Hyperlink" xfId="10331" builtinId="8" hidden="1"/>
    <cellStyle name="Hyperlink" xfId="10333" builtinId="8" hidden="1"/>
    <cellStyle name="Hyperlink" xfId="10335" builtinId="8" hidden="1"/>
    <cellStyle name="Hyperlink" xfId="10337" builtinId="8" hidden="1"/>
    <cellStyle name="Hyperlink" xfId="10339" builtinId="8" hidden="1"/>
    <cellStyle name="Hyperlink" xfId="10341" builtinId="8" hidden="1"/>
    <cellStyle name="Hyperlink" xfId="10343" builtinId="8" hidden="1"/>
    <cellStyle name="Hyperlink" xfId="10345" builtinId="8" hidden="1"/>
    <cellStyle name="Hyperlink" xfId="10350" builtinId="8" hidden="1"/>
    <cellStyle name="Hyperlink" xfId="10352" builtinId="8" hidden="1"/>
    <cellStyle name="Hyperlink" xfId="10354" builtinId="8" hidden="1"/>
    <cellStyle name="Hyperlink" xfId="10356" builtinId="8" hidden="1"/>
    <cellStyle name="Hyperlink" xfId="10358" builtinId="8" hidden="1"/>
    <cellStyle name="Hyperlink" xfId="10360" builtinId="8" hidden="1"/>
    <cellStyle name="Hyperlink" xfId="10362" builtinId="8" hidden="1"/>
    <cellStyle name="Hyperlink" xfId="10364" builtinId="8" hidden="1"/>
    <cellStyle name="Hyperlink" xfId="10366" builtinId="8" hidden="1"/>
    <cellStyle name="Hyperlink" xfId="10368" builtinId="8" hidden="1"/>
    <cellStyle name="Hyperlink" xfId="10370" builtinId="8" hidden="1"/>
    <cellStyle name="Hyperlink" xfId="10372" builtinId="8" hidden="1"/>
    <cellStyle name="Hyperlink" xfId="10374" builtinId="8" hidden="1"/>
    <cellStyle name="Hyperlink" xfId="10376" builtinId="8" hidden="1"/>
    <cellStyle name="Hyperlink" xfId="10378" builtinId="8" hidden="1"/>
    <cellStyle name="Hyperlink" xfId="10380" builtinId="8" hidden="1"/>
    <cellStyle name="Hyperlink" xfId="10382" builtinId="8" hidden="1"/>
    <cellStyle name="Hyperlink" xfId="10384" builtinId="8" hidden="1"/>
    <cellStyle name="Hyperlink" xfId="10386" builtinId="8" hidden="1"/>
    <cellStyle name="Hyperlink" xfId="10388" builtinId="8" hidden="1"/>
    <cellStyle name="Hyperlink" xfId="10348" builtinId="8" hidden="1"/>
    <cellStyle name="Hyperlink" xfId="10391" builtinId="8" hidden="1"/>
    <cellStyle name="Hyperlink" xfId="10393" builtinId="8" hidden="1"/>
    <cellStyle name="Hyperlink" xfId="10395" builtinId="8" hidden="1"/>
    <cellStyle name="Hyperlink" xfId="10397" builtinId="8" hidden="1"/>
    <cellStyle name="Hyperlink" xfId="10399" builtinId="8" hidden="1"/>
    <cellStyle name="Hyperlink" xfId="10401" builtinId="8" hidden="1"/>
    <cellStyle name="Hyperlink" xfId="10403" builtinId="8" hidden="1"/>
    <cellStyle name="Hyperlink" xfId="10405" builtinId="8" hidden="1"/>
    <cellStyle name="Hyperlink" xfId="10407" builtinId="8" hidden="1"/>
    <cellStyle name="Hyperlink" xfId="10409" builtinId="8" hidden="1"/>
    <cellStyle name="Hyperlink" xfId="10411" builtinId="8" hidden="1"/>
    <cellStyle name="Hyperlink" xfId="10413" builtinId="8" hidden="1"/>
    <cellStyle name="Hyperlink" xfId="10415" builtinId="8" hidden="1"/>
    <cellStyle name="Hyperlink" xfId="10417" builtinId="8" hidden="1"/>
    <cellStyle name="Hyperlink" xfId="10419" builtinId="8" hidden="1"/>
    <cellStyle name="Hyperlink" xfId="10421" builtinId="8" hidden="1"/>
    <cellStyle name="Hyperlink" xfId="10423" builtinId="8" hidden="1"/>
    <cellStyle name="Hyperlink" xfId="10425" builtinId="8" hidden="1"/>
    <cellStyle name="Hyperlink" xfId="10427" builtinId="8" hidden="1"/>
    <cellStyle name="Hyperlink" xfId="10390" builtinId="8" hidden="1"/>
    <cellStyle name="Hyperlink" xfId="10429" builtinId="8" hidden="1"/>
    <cellStyle name="Hyperlink" xfId="10431" builtinId="8" hidden="1"/>
    <cellStyle name="Hyperlink" xfId="10433" builtinId="8" hidden="1"/>
    <cellStyle name="Hyperlink" xfId="10435" builtinId="8" hidden="1"/>
    <cellStyle name="Hyperlink" xfId="10437" builtinId="8" hidden="1"/>
    <cellStyle name="Hyperlink" xfId="10439" builtinId="8" hidden="1"/>
    <cellStyle name="Hyperlink" xfId="10441" builtinId="8" hidden="1"/>
    <cellStyle name="Hyperlink" xfId="10443" builtinId="8" hidden="1"/>
    <cellStyle name="Hyperlink" xfId="10445" builtinId="8" hidden="1"/>
    <cellStyle name="Hyperlink" xfId="10447" builtinId="8" hidden="1"/>
    <cellStyle name="Hyperlink" xfId="10449" builtinId="8" hidden="1"/>
    <cellStyle name="Hyperlink" xfId="10451" builtinId="8" hidden="1"/>
    <cellStyle name="Hyperlink" xfId="10453" builtinId="8" hidden="1"/>
    <cellStyle name="Hyperlink" xfId="10455" builtinId="8" hidden="1"/>
    <cellStyle name="Hyperlink" xfId="10457" builtinId="8" hidden="1"/>
    <cellStyle name="Hyperlink" xfId="10459" builtinId="8" hidden="1"/>
    <cellStyle name="Hyperlink" xfId="10461" builtinId="8" hidden="1"/>
    <cellStyle name="Hyperlink" xfId="10463" builtinId="8" hidden="1"/>
    <cellStyle name="Hyperlink" xfId="10465" builtinId="8" hidden="1"/>
    <cellStyle name="Hyperlink" xfId="10467" builtinId="8" hidden="1"/>
    <cellStyle name="Hyperlink" xfId="10469" builtinId="8" hidden="1"/>
    <cellStyle name="Hyperlink" xfId="10471" builtinId="8" hidden="1"/>
    <cellStyle name="Hyperlink" xfId="10473" builtinId="8" hidden="1"/>
    <cellStyle name="Hyperlink" xfId="10475" builtinId="8" hidden="1"/>
    <cellStyle name="Hyperlink" xfId="10477" builtinId="8" hidden="1"/>
    <cellStyle name="Hyperlink" xfId="10479" builtinId="8" hidden="1"/>
    <cellStyle name="Hyperlink" xfId="10481" builtinId="8" hidden="1"/>
    <cellStyle name="Hyperlink" xfId="10483" builtinId="8" hidden="1"/>
    <cellStyle name="Hyperlink" xfId="10485" builtinId="8" hidden="1"/>
    <cellStyle name="Hyperlink" xfId="10487" builtinId="8" hidden="1"/>
    <cellStyle name="Hyperlink" xfId="10489" builtinId="8" hidden="1"/>
    <cellStyle name="Hyperlink" xfId="10491" builtinId="8" hidden="1"/>
    <cellStyle name="Hyperlink" xfId="10493" builtinId="8" hidden="1"/>
    <cellStyle name="Hyperlink" xfId="10495" builtinId="8" hidden="1"/>
    <cellStyle name="Hyperlink" xfId="10497" builtinId="8" hidden="1"/>
    <cellStyle name="Hyperlink" xfId="10499" builtinId="8" hidden="1"/>
    <cellStyle name="Hyperlink" xfId="10501" builtinId="8" hidden="1"/>
    <cellStyle name="Hyperlink" xfId="10503" builtinId="8" hidden="1"/>
    <cellStyle name="Hyperlink" xfId="10505" builtinId="8" hidden="1"/>
    <cellStyle name="Hyperlink" xfId="10507" builtinId="8" hidden="1"/>
    <cellStyle name="Hyperlink" xfId="10509" builtinId="8" hidden="1"/>
    <cellStyle name="Hyperlink" xfId="10511" builtinId="8" hidden="1"/>
    <cellStyle name="Hyperlink" xfId="10513" builtinId="8" hidden="1"/>
    <cellStyle name="Hyperlink" xfId="10515" builtinId="8" hidden="1"/>
    <cellStyle name="Hyperlink" xfId="10517" builtinId="8" hidden="1"/>
    <cellStyle name="Hyperlink" xfId="10519" builtinId="8" hidden="1"/>
    <cellStyle name="Hyperlink" xfId="10521" builtinId="8" hidden="1"/>
    <cellStyle name="Hyperlink" xfId="10523" builtinId="8" hidden="1"/>
    <cellStyle name="Hyperlink" xfId="10525" builtinId="8" hidden="1"/>
    <cellStyle name="Hyperlink" xfId="10527" builtinId="8" hidden="1"/>
    <cellStyle name="Hyperlink" xfId="10529" builtinId="8" hidden="1"/>
    <cellStyle name="Hyperlink" xfId="10531" builtinId="8" hidden="1"/>
    <cellStyle name="Hyperlink" xfId="10533" builtinId="8" hidden="1"/>
    <cellStyle name="Hyperlink" xfId="10535" builtinId="8" hidden="1"/>
    <cellStyle name="Hyperlink" xfId="10537" builtinId="8" hidden="1"/>
    <cellStyle name="Hyperlink" xfId="10539" builtinId="8" hidden="1"/>
    <cellStyle name="Hyperlink" xfId="10541" builtinId="8" hidden="1"/>
    <cellStyle name="Hyperlink" xfId="10543" builtinId="8" hidden="1"/>
    <cellStyle name="Hyperlink" xfId="10545" builtinId="8" hidden="1"/>
    <cellStyle name="Hyperlink" xfId="10547" builtinId="8" hidden="1"/>
    <cellStyle name="Hyperlink" xfId="10549" builtinId="8" hidden="1"/>
    <cellStyle name="Hyperlink" xfId="10551" builtinId="8" hidden="1"/>
    <cellStyle name="Hyperlink" xfId="10553" builtinId="8" hidden="1"/>
    <cellStyle name="Hyperlink" xfId="10555" builtinId="8" hidden="1"/>
    <cellStyle name="Hyperlink" xfId="10557" builtinId="8" hidden="1"/>
    <cellStyle name="Hyperlink" xfId="10559" builtinId="8" hidden="1"/>
    <cellStyle name="Hyperlink" xfId="10561" builtinId="8" hidden="1"/>
    <cellStyle name="Hyperlink" xfId="10563" builtinId="8" hidden="1"/>
    <cellStyle name="Hyperlink" xfId="10565" builtinId="8" hidden="1"/>
    <cellStyle name="Hyperlink" xfId="10567" builtinId="8" hidden="1"/>
    <cellStyle name="Hyperlink" xfId="10569" builtinId="8" hidden="1"/>
    <cellStyle name="Hyperlink" xfId="10571" builtinId="8" hidden="1"/>
    <cellStyle name="Hyperlink" xfId="10573" builtinId="8" hidden="1"/>
    <cellStyle name="Hyperlink" xfId="10575" builtinId="8" hidden="1"/>
    <cellStyle name="Hyperlink" xfId="10577" builtinId="8" hidden="1"/>
    <cellStyle name="Hyperlink" xfId="10579" builtinId="8" hidden="1"/>
    <cellStyle name="Hyperlink" xfId="10581" builtinId="8" hidden="1"/>
    <cellStyle name="Hyperlink" xfId="10583" builtinId="8" hidden="1"/>
    <cellStyle name="Hyperlink" xfId="10585" builtinId="8" hidden="1"/>
    <cellStyle name="Hyperlink" xfId="10587" builtinId="8" hidden="1"/>
    <cellStyle name="Hyperlink" xfId="10589" builtinId="8" hidden="1"/>
    <cellStyle name="Hyperlink" xfId="10591" builtinId="8" hidden="1"/>
    <cellStyle name="Hyperlink" xfId="10593" builtinId="8" hidden="1"/>
    <cellStyle name="Hyperlink" xfId="10595" builtinId="8" hidden="1"/>
    <cellStyle name="Hyperlink" xfId="10597" builtinId="8" hidden="1"/>
    <cellStyle name="Hyperlink" xfId="10599" builtinId="8" hidden="1"/>
    <cellStyle name="Hyperlink" xfId="10601" builtinId="8" hidden="1"/>
    <cellStyle name="Hyperlink" xfId="10603" builtinId="8" hidden="1"/>
    <cellStyle name="Hyperlink" xfId="10605" builtinId="8" hidden="1"/>
    <cellStyle name="Hyperlink" xfId="10607" builtinId="8" hidden="1"/>
    <cellStyle name="Hyperlink" xfId="10609" builtinId="8" hidden="1"/>
    <cellStyle name="Hyperlink" xfId="10611" builtinId="8" hidden="1"/>
    <cellStyle name="Hyperlink" xfId="10613" builtinId="8" hidden="1"/>
    <cellStyle name="Hyperlink" xfId="10615" builtinId="8" hidden="1"/>
    <cellStyle name="Hyperlink" xfId="10617" builtinId="8" hidden="1"/>
    <cellStyle name="Hyperlink" xfId="10619" builtinId="8" hidden="1"/>
    <cellStyle name="Hyperlink" xfId="10621" builtinId="8" hidden="1"/>
    <cellStyle name="Hyperlink" xfId="10623" builtinId="8" hidden="1"/>
    <cellStyle name="Hyperlink" xfId="10625" builtinId="8" hidden="1"/>
    <cellStyle name="Hyperlink" xfId="10630" builtinId="8" hidden="1"/>
    <cellStyle name="Hyperlink" xfId="10632" builtinId="8" hidden="1"/>
    <cellStyle name="Hyperlink" xfId="10634" builtinId="8" hidden="1"/>
    <cellStyle name="Hyperlink" xfId="10636" builtinId="8" hidden="1"/>
    <cellStyle name="Hyperlink" xfId="10638" builtinId="8" hidden="1"/>
    <cellStyle name="Hyperlink" xfId="10640" builtinId="8" hidden="1"/>
    <cellStyle name="Hyperlink" xfId="10642" builtinId="8" hidden="1"/>
    <cellStyle name="Hyperlink" xfId="10644" builtinId="8" hidden="1"/>
    <cellStyle name="Hyperlink" xfId="10646" builtinId="8" hidden="1"/>
    <cellStyle name="Hyperlink" xfId="10648" builtinId="8" hidden="1"/>
    <cellStyle name="Hyperlink" xfId="10650" builtinId="8" hidden="1"/>
    <cellStyle name="Hyperlink" xfId="10652" builtinId="8" hidden="1"/>
    <cellStyle name="Hyperlink" xfId="10654" builtinId="8" hidden="1"/>
    <cellStyle name="Hyperlink" xfId="10656" builtinId="8" hidden="1"/>
    <cellStyle name="Hyperlink" xfId="10658" builtinId="8" hidden="1"/>
    <cellStyle name="Hyperlink" xfId="10660" builtinId="8" hidden="1"/>
    <cellStyle name="Hyperlink" xfId="10662" builtinId="8" hidden="1"/>
    <cellStyle name="Hyperlink" xfId="10664" builtinId="8" hidden="1"/>
    <cellStyle name="Hyperlink" xfId="10666" builtinId="8" hidden="1"/>
    <cellStyle name="Hyperlink" xfId="10668" builtinId="8" hidden="1"/>
    <cellStyle name="Hyperlink" xfId="10670" builtinId="8" hidden="1"/>
    <cellStyle name="Hyperlink" xfId="10672" builtinId="8" hidden="1"/>
    <cellStyle name="Hyperlink" xfId="10674" builtinId="8" hidden="1"/>
    <cellStyle name="Hyperlink" xfId="10676" builtinId="8" hidden="1"/>
    <cellStyle name="Hyperlink" xfId="10678" builtinId="8" hidden="1"/>
    <cellStyle name="Hyperlink" xfId="10680" builtinId="8" hidden="1"/>
    <cellStyle name="Hyperlink" xfId="10682" builtinId="8" hidden="1"/>
    <cellStyle name="Hyperlink" xfId="10684" builtinId="8" hidden="1"/>
    <cellStyle name="Hyperlink" xfId="10686" builtinId="8" hidden="1"/>
    <cellStyle name="Hyperlink" xfId="10688" builtinId="8" hidden="1"/>
    <cellStyle name="Hyperlink" xfId="10690" builtinId="8" hidden="1"/>
    <cellStyle name="Hyperlink" xfId="10692" builtinId="8" hidden="1"/>
    <cellStyle name="Hyperlink" xfId="10694" builtinId="8" hidden="1"/>
    <cellStyle name="Hyperlink" xfId="10696" builtinId="8" hidden="1"/>
    <cellStyle name="Hyperlink" xfId="10698" builtinId="8" hidden="1"/>
    <cellStyle name="Hyperlink" xfId="10700" builtinId="8" hidden="1"/>
    <cellStyle name="Hyperlink" xfId="10702" builtinId="8" hidden="1"/>
    <cellStyle name="Hyperlink" xfId="10704" builtinId="8" hidden="1"/>
    <cellStyle name="Hyperlink" xfId="10706" builtinId="8" hidden="1"/>
    <cellStyle name="Hyperlink" xfId="10708" builtinId="8" hidden="1"/>
    <cellStyle name="Hyperlink" xfId="10710" builtinId="8" hidden="1"/>
    <cellStyle name="Hyperlink" xfId="10712" builtinId="8" hidden="1"/>
    <cellStyle name="Hyperlink" xfId="10714" builtinId="8" hidden="1"/>
    <cellStyle name="Hyperlink" xfId="10716" builtinId="8" hidden="1"/>
    <cellStyle name="Hyperlink" xfId="10718" builtinId="8" hidden="1"/>
    <cellStyle name="Hyperlink" xfId="10720" builtinId="8" hidden="1"/>
    <cellStyle name="Hyperlink" xfId="10722" builtinId="8" hidden="1"/>
    <cellStyle name="Hyperlink" xfId="10724" builtinId="8" hidden="1"/>
    <cellStyle name="Hyperlink" xfId="10726" builtinId="8" hidden="1"/>
    <cellStyle name="Hyperlink" xfId="10728" builtinId="8" hidden="1"/>
    <cellStyle name="Hyperlink" xfId="10730" builtinId="8" hidden="1"/>
    <cellStyle name="Hyperlink" xfId="10732" builtinId="8" hidden="1"/>
    <cellStyle name="Hyperlink" xfId="10734" builtinId="8" hidden="1"/>
    <cellStyle name="Hyperlink" xfId="10736" builtinId="8" hidden="1"/>
    <cellStyle name="Hyperlink" xfId="10738" builtinId="8" hidden="1"/>
    <cellStyle name="Hyperlink" xfId="10740" builtinId="8" hidden="1"/>
    <cellStyle name="Hyperlink" xfId="10742" builtinId="8" hidden="1"/>
    <cellStyle name="Hyperlink" xfId="10744" builtinId="8" hidden="1"/>
    <cellStyle name="Hyperlink" xfId="10746" builtinId="8" hidden="1"/>
    <cellStyle name="Hyperlink" xfId="10748" builtinId="8" hidden="1"/>
    <cellStyle name="Hyperlink" xfId="10627" builtinId="8" hidden="1"/>
    <cellStyle name="Hyperlink" xfId="10751" builtinId="8" hidden="1"/>
    <cellStyle name="Hyperlink" xfId="10753" builtinId="8" hidden="1"/>
    <cellStyle name="Hyperlink" xfId="10755" builtinId="8" hidden="1"/>
    <cellStyle name="Hyperlink" xfId="10757" builtinId="8" hidden="1"/>
    <cellStyle name="Hyperlink" xfId="10759" builtinId="8" hidden="1"/>
    <cellStyle name="Hyperlink" xfId="10761" builtinId="8" hidden="1"/>
    <cellStyle name="Hyperlink" xfId="10763" builtinId="8" hidden="1"/>
    <cellStyle name="Hyperlink" xfId="10765" builtinId="8" hidden="1"/>
    <cellStyle name="Hyperlink" xfId="10767" builtinId="8" hidden="1"/>
    <cellStyle name="Hyperlink" xfId="10769" builtinId="8" hidden="1"/>
    <cellStyle name="Hyperlink" xfId="10771" builtinId="8" hidden="1"/>
    <cellStyle name="Hyperlink" xfId="10773" builtinId="8" hidden="1"/>
    <cellStyle name="Hyperlink" xfId="10775" builtinId="8" hidden="1"/>
    <cellStyle name="Hyperlink" xfId="10777" builtinId="8" hidden="1"/>
    <cellStyle name="Hyperlink" xfId="10779" builtinId="8" hidden="1"/>
    <cellStyle name="Hyperlink" xfId="10781" builtinId="8" hidden="1"/>
    <cellStyle name="Hyperlink" xfId="10783" builtinId="8" hidden="1"/>
    <cellStyle name="Hyperlink" xfId="10785" builtinId="8" hidden="1"/>
    <cellStyle name="Hyperlink" xfId="10787" builtinId="8" hidden="1"/>
    <cellStyle name="Hyperlink" xfId="10789" builtinId="8" hidden="1"/>
    <cellStyle name="Hyperlink" xfId="10791" builtinId="8" hidden="1"/>
    <cellStyle name="Hyperlink" xfId="10793" builtinId="8" hidden="1"/>
    <cellStyle name="Hyperlink" xfId="10795" builtinId="8" hidden="1"/>
    <cellStyle name="Hyperlink" xfId="10797" builtinId="8" hidden="1"/>
    <cellStyle name="Hyperlink" xfId="10799" builtinId="8" hidden="1"/>
    <cellStyle name="Hyperlink" xfId="10801" builtinId="8" hidden="1"/>
    <cellStyle name="Hyperlink" xfId="10803" builtinId="8" hidden="1"/>
    <cellStyle name="Hyperlink" xfId="10805" builtinId="8" hidden="1"/>
    <cellStyle name="Hyperlink" xfId="10807" builtinId="8" hidden="1"/>
    <cellStyle name="Hyperlink" xfId="10809" builtinId="8" hidden="1"/>
    <cellStyle name="Hyperlink" xfId="10811" builtinId="8" hidden="1"/>
    <cellStyle name="Hyperlink" xfId="10813" builtinId="8" hidden="1"/>
    <cellStyle name="Hyperlink" xfId="10815" builtinId="8" hidden="1"/>
    <cellStyle name="Hyperlink" xfId="10817" builtinId="8" hidden="1"/>
    <cellStyle name="Hyperlink" xfId="10819" builtinId="8" hidden="1"/>
    <cellStyle name="Hyperlink" xfId="10821" builtinId="8" hidden="1"/>
    <cellStyle name="Hyperlink" xfId="10823" builtinId="8" hidden="1"/>
    <cellStyle name="Hyperlink" xfId="10825" builtinId="8" hidden="1"/>
    <cellStyle name="Hyperlink" xfId="10827" builtinId="8" hidden="1"/>
    <cellStyle name="Hyperlink" xfId="10829" builtinId="8" hidden="1"/>
    <cellStyle name="Hyperlink" xfId="10831" builtinId="8" hidden="1"/>
    <cellStyle name="Hyperlink" xfId="10833" builtinId="8" hidden="1"/>
    <cellStyle name="Hyperlink" xfId="10835" builtinId="8" hidden="1"/>
    <cellStyle name="Hyperlink" xfId="10837" builtinId="8" hidden="1"/>
    <cellStyle name="Hyperlink" xfId="10839" builtinId="8" hidden="1"/>
    <cellStyle name="Hyperlink" xfId="10841" builtinId="8" hidden="1"/>
    <cellStyle name="Hyperlink" xfId="10843" builtinId="8" hidden="1"/>
    <cellStyle name="Hyperlink" xfId="10845" builtinId="8" hidden="1"/>
    <cellStyle name="Hyperlink" xfId="10847" builtinId="8" hidden="1"/>
    <cellStyle name="Hyperlink" xfId="10849" builtinId="8" hidden="1"/>
    <cellStyle name="Hyperlink" xfId="10851" builtinId="8" hidden="1"/>
    <cellStyle name="Hyperlink" xfId="10853" builtinId="8" hidden="1"/>
    <cellStyle name="Hyperlink" xfId="10855" builtinId="8" hidden="1"/>
    <cellStyle name="Hyperlink" xfId="10857" builtinId="8" hidden="1"/>
    <cellStyle name="Hyperlink" xfId="10859" builtinId="8" hidden="1"/>
    <cellStyle name="Hyperlink" xfId="10861" builtinId="8" hidden="1"/>
    <cellStyle name="Hyperlink" xfId="10863" builtinId="8" hidden="1"/>
    <cellStyle name="Hyperlink" xfId="10865" builtinId="8" hidden="1"/>
    <cellStyle name="Hyperlink" xfId="10867" builtinId="8" hidden="1"/>
    <cellStyle name="Hyperlink" xfId="10629" builtinId="8" hidden="1"/>
    <cellStyle name="Hyperlink" xfId="10870" builtinId="8" hidden="1"/>
    <cellStyle name="Hyperlink" xfId="10872" builtinId="8" hidden="1"/>
    <cellStyle name="Hyperlink" xfId="10874" builtinId="8" hidden="1"/>
    <cellStyle name="Hyperlink" xfId="10876" builtinId="8" hidden="1"/>
    <cellStyle name="Hyperlink" xfId="10878" builtinId="8" hidden="1"/>
    <cellStyle name="Hyperlink" xfId="10880" builtinId="8" hidden="1"/>
    <cellStyle name="Hyperlink" xfId="10882" builtinId="8" hidden="1"/>
    <cellStyle name="Hyperlink" xfId="10884" builtinId="8" hidden="1"/>
    <cellStyle name="Hyperlink" xfId="10886" builtinId="8" hidden="1"/>
    <cellStyle name="Hyperlink" xfId="10888" builtinId="8" hidden="1"/>
    <cellStyle name="Hyperlink" xfId="10890" builtinId="8" hidden="1"/>
    <cellStyle name="Hyperlink" xfId="10892" builtinId="8" hidden="1"/>
    <cellStyle name="Hyperlink" xfId="10894" builtinId="8" hidden="1"/>
    <cellStyle name="Hyperlink" xfId="10896" builtinId="8" hidden="1"/>
    <cellStyle name="Hyperlink" xfId="10898" builtinId="8" hidden="1"/>
    <cellStyle name="Hyperlink" xfId="10900" builtinId="8" hidden="1"/>
    <cellStyle name="Hyperlink" xfId="10902" builtinId="8" hidden="1"/>
    <cellStyle name="Hyperlink" xfId="10904" builtinId="8" hidden="1"/>
    <cellStyle name="Hyperlink" xfId="10906" builtinId="8" hidden="1"/>
    <cellStyle name="Hyperlink" xfId="10908" builtinId="8" hidden="1"/>
    <cellStyle name="Hyperlink" xfId="10910" builtinId="8" hidden="1"/>
    <cellStyle name="Hyperlink" xfId="10912" builtinId="8" hidden="1"/>
    <cellStyle name="Hyperlink" xfId="10914" builtinId="8" hidden="1"/>
    <cellStyle name="Hyperlink" xfId="10916" builtinId="8" hidden="1"/>
    <cellStyle name="Hyperlink" xfId="10918" builtinId="8" hidden="1"/>
    <cellStyle name="Hyperlink" xfId="10920" builtinId="8" hidden="1"/>
    <cellStyle name="Hyperlink" xfId="10922" builtinId="8" hidden="1"/>
    <cellStyle name="Hyperlink" xfId="10924" builtinId="8" hidden="1"/>
    <cellStyle name="Hyperlink" xfId="10926" builtinId="8" hidden="1"/>
    <cellStyle name="Hyperlink" xfId="10928" builtinId="8" hidden="1"/>
    <cellStyle name="Hyperlink" xfId="10930" builtinId="8" hidden="1"/>
    <cellStyle name="Hyperlink" xfId="10932" builtinId="8" hidden="1"/>
    <cellStyle name="Hyperlink" xfId="10934" builtinId="8" hidden="1"/>
    <cellStyle name="Hyperlink" xfId="10936" builtinId="8" hidden="1"/>
    <cellStyle name="Hyperlink" xfId="10938" builtinId="8" hidden="1"/>
    <cellStyle name="Hyperlink" xfId="10940" builtinId="8" hidden="1"/>
    <cellStyle name="Hyperlink" xfId="10942" builtinId="8" hidden="1"/>
    <cellStyle name="Hyperlink" xfId="10944" builtinId="8" hidden="1"/>
    <cellStyle name="Hyperlink" xfId="10946" builtinId="8" hidden="1"/>
    <cellStyle name="Hyperlink" xfId="10948" builtinId="8" hidden="1"/>
    <cellStyle name="Hyperlink" xfId="10950" builtinId="8" hidden="1"/>
    <cellStyle name="Hyperlink" xfId="10952" builtinId="8" hidden="1"/>
    <cellStyle name="Hyperlink" xfId="10954" builtinId="8" hidden="1"/>
    <cellStyle name="Hyperlink" xfId="10956" builtinId="8" hidden="1"/>
    <cellStyle name="Hyperlink" xfId="10958" builtinId="8" hidden="1"/>
    <cellStyle name="Hyperlink" xfId="10960" builtinId="8" hidden="1"/>
    <cellStyle name="Hyperlink" xfId="10962" builtinId="8" hidden="1"/>
    <cellStyle name="Hyperlink" xfId="10964" builtinId="8" hidden="1"/>
    <cellStyle name="Hyperlink" xfId="10966" builtinId="8" hidden="1"/>
    <cellStyle name="Hyperlink" xfId="10968" builtinId="8" hidden="1"/>
    <cellStyle name="Hyperlink" xfId="10970" builtinId="8" hidden="1"/>
    <cellStyle name="Hyperlink" xfId="10972" builtinId="8" hidden="1"/>
    <cellStyle name="Hyperlink" xfId="10974" builtinId="8" hidden="1"/>
    <cellStyle name="Hyperlink" xfId="10976" builtinId="8" hidden="1"/>
    <cellStyle name="Hyperlink" xfId="10978" builtinId="8" hidden="1"/>
    <cellStyle name="Hyperlink" xfId="10980" builtinId="8" hidden="1"/>
    <cellStyle name="Hyperlink" xfId="10982" builtinId="8" hidden="1"/>
    <cellStyle name="Hyperlink" xfId="10984" builtinId="8" hidden="1"/>
    <cellStyle name="Hyperlink" xfId="10986" builtinId="8" hidden="1"/>
    <cellStyle name="Hyperlink" xfId="10628" builtinId="8" hidden="1"/>
    <cellStyle name="Hyperlink" xfId="10989" builtinId="8" hidden="1"/>
    <cellStyle name="Hyperlink" xfId="10991" builtinId="8" hidden="1"/>
    <cellStyle name="Hyperlink" xfId="10993" builtinId="8" hidden="1"/>
    <cellStyle name="Hyperlink" xfId="10995" builtinId="8" hidden="1"/>
    <cellStyle name="Hyperlink" xfId="10997" builtinId="8" hidden="1"/>
    <cellStyle name="Hyperlink" xfId="10999" builtinId="8" hidden="1"/>
    <cellStyle name="Hyperlink" xfId="11001" builtinId="8" hidden="1"/>
    <cellStyle name="Hyperlink" xfId="11003" builtinId="8" hidden="1"/>
    <cellStyle name="Hyperlink" xfId="11005" builtinId="8" hidden="1"/>
    <cellStyle name="Hyperlink" xfId="11007" builtinId="8" hidden="1"/>
    <cellStyle name="Hyperlink" xfId="11009" builtinId="8" hidden="1"/>
    <cellStyle name="Hyperlink" xfId="11011" builtinId="8" hidden="1"/>
    <cellStyle name="Hyperlink" xfId="11013" builtinId="8" hidden="1"/>
    <cellStyle name="Hyperlink" xfId="11015" builtinId="8" hidden="1"/>
    <cellStyle name="Hyperlink" xfId="11017" builtinId="8" hidden="1"/>
    <cellStyle name="Hyperlink" xfId="11019" builtinId="8" hidden="1"/>
    <cellStyle name="Hyperlink" xfId="11021" builtinId="8" hidden="1"/>
    <cellStyle name="Hyperlink" xfId="11023" builtinId="8" hidden="1"/>
    <cellStyle name="Hyperlink" xfId="11025" builtinId="8" hidden="1"/>
    <cellStyle name="Hyperlink" xfId="11027" builtinId="8" hidden="1"/>
    <cellStyle name="Hyperlink" xfId="11029" builtinId="8" hidden="1"/>
    <cellStyle name="Hyperlink" xfId="11031" builtinId="8" hidden="1"/>
    <cellStyle name="Hyperlink" xfId="11033" builtinId="8" hidden="1"/>
    <cellStyle name="Hyperlink" xfId="11035" builtinId="8" hidden="1"/>
    <cellStyle name="Hyperlink" xfId="11037" builtinId="8" hidden="1"/>
    <cellStyle name="Hyperlink" xfId="11039" builtinId="8" hidden="1"/>
    <cellStyle name="Hyperlink" xfId="11041" builtinId="8" hidden="1"/>
    <cellStyle name="Hyperlink" xfId="11043" builtinId="8" hidden="1"/>
    <cellStyle name="Hyperlink" xfId="11045" builtinId="8" hidden="1"/>
    <cellStyle name="Hyperlink" xfId="11047" builtinId="8" hidden="1"/>
    <cellStyle name="Hyperlink" xfId="11049" builtinId="8" hidden="1"/>
    <cellStyle name="Hyperlink" xfId="11051" builtinId="8" hidden="1"/>
    <cellStyle name="Hyperlink" xfId="11053" builtinId="8" hidden="1"/>
    <cellStyle name="Hyperlink" xfId="11055" builtinId="8" hidden="1"/>
    <cellStyle name="Hyperlink" xfId="11057" builtinId="8" hidden="1"/>
    <cellStyle name="Hyperlink" xfId="11059" builtinId="8" hidden="1"/>
    <cellStyle name="Hyperlink" xfId="11061" builtinId="8" hidden="1"/>
    <cellStyle name="Hyperlink" xfId="11063" builtinId="8" hidden="1"/>
    <cellStyle name="Hyperlink" xfId="11065" builtinId="8" hidden="1"/>
    <cellStyle name="Hyperlink" xfId="11067" builtinId="8" hidden="1"/>
    <cellStyle name="Hyperlink" xfId="11069" builtinId="8" hidden="1"/>
    <cellStyle name="Hyperlink" xfId="11071" builtinId="8" hidden="1"/>
    <cellStyle name="Hyperlink" xfId="11073" builtinId="8" hidden="1"/>
    <cellStyle name="Hyperlink" xfId="11075" builtinId="8" hidden="1"/>
    <cellStyle name="Hyperlink" xfId="11077" builtinId="8" hidden="1"/>
    <cellStyle name="Hyperlink" xfId="11079" builtinId="8" hidden="1"/>
    <cellStyle name="Hyperlink" xfId="11081" builtinId="8" hidden="1"/>
    <cellStyle name="Hyperlink" xfId="11083" builtinId="8" hidden="1"/>
    <cellStyle name="Hyperlink" xfId="11085" builtinId="8" hidden="1"/>
    <cellStyle name="Hyperlink" xfId="11087" builtinId="8" hidden="1"/>
    <cellStyle name="Hyperlink" xfId="11089" builtinId="8" hidden="1"/>
    <cellStyle name="Hyperlink" xfId="11091" builtinId="8" hidden="1"/>
    <cellStyle name="Hyperlink" xfId="11093" builtinId="8" hidden="1"/>
    <cellStyle name="Hyperlink" xfId="11095" builtinId="8" hidden="1"/>
    <cellStyle name="Hyperlink" xfId="11097" builtinId="8" hidden="1"/>
    <cellStyle name="Hyperlink" xfId="11099" builtinId="8" hidden="1"/>
    <cellStyle name="Hyperlink" xfId="11101" builtinId="8" hidden="1"/>
    <cellStyle name="Hyperlink" xfId="11103" builtinId="8" hidden="1"/>
    <cellStyle name="Hyperlink" xfId="11105" builtinId="8" hidden="1"/>
    <cellStyle name="Hyperlink" xfId="11107" builtinId="8" hidden="1"/>
    <cellStyle name="Hyperlink" xfId="11109" builtinId="8" hidden="1"/>
    <cellStyle name="Hyperlink" xfId="11111" builtinId="8" hidden="1"/>
    <cellStyle name="Hyperlink" xfId="11113" builtinId="8" hidden="1"/>
    <cellStyle name="Hyperlink" xfId="11115" builtinId="8" hidden="1"/>
    <cellStyle name="Hyperlink" xfId="11117" builtinId="8" hidden="1"/>
    <cellStyle name="Hyperlink" xfId="11119" builtinId="8" hidden="1"/>
    <cellStyle name="Hyperlink" xfId="11121" builtinId="8" hidden="1"/>
    <cellStyle name="Hyperlink" xfId="11123" builtinId="8" hidden="1"/>
    <cellStyle name="Hyperlink" xfId="11125" builtinId="8" hidden="1"/>
    <cellStyle name="Hyperlink" xfId="11127" builtinId="8" hidden="1"/>
    <cellStyle name="Hyperlink" xfId="11129" builtinId="8" hidden="1"/>
    <cellStyle name="Hyperlink" xfId="11131" builtinId="8" hidden="1"/>
    <cellStyle name="Hyperlink" xfId="11133" builtinId="8" hidden="1"/>
    <cellStyle name="Hyperlink" xfId="11135" builtinId="8" hidden="1"/>
    <cellStyle name="Hyperlink" xfId="11137" builtinId="8" hidden="1"/>
    <cellStyle name="Hyperlink" xfId="11139" builtinId="8" hidden="1"/>
    <cellStyle name="Hyperlink" xfId="11141" builtinId="8" hidden="1"/>
    <cellStyle name="Hyperlink" xfId="11143" builtinId="8" hidden="1"/>
    <cellStyle name="Hyperlink" xfId="11145" builtinId="8" hidden="1"/>
    <cellStyle name="Hyperlink" xfId="11147" builtinId="8" hidden="1"/>
    <cellStyle name="Hyperlink" xfId="11149" builtinId="8" hidden="1"/>
    <cellStyle name="Hyperlink" xfId="11151" builtinId="8" hidden="1"/>
    <cellStyle name="Hyperlink" xfId="11153" builtinId="8" hidden="1"/>
    <cellStyle name="Hyperlink" xfId="11155" builtinId="8" hidden="1"/>
    <cellStyle name="Hyperlink" xfId="11157" builtinId="8" hidden="1"/>
    <cellStyle name="Hyperlink" xfId="11159" builtinId="8" hidden="1"/>
    <cellStyle name="Hyperlink" xfId="11161" builtinId="8" hidden="1"/>
    <cellStyle name="Hyperlink" xfId="11163" builtinId="8" hidden="1"/>
    <cellStyle name="Hyperlink" xfId="11165" builtinId="8" hidden="1"/>
    <cellStyle name="Hyperlink" xfId="11167" builtinId="8" hidden="1"/>
    <cellStyle name="Hyperlink" xfId="11169" builtinId="8" hidden="1"/>
    <cellStyle name="Hyperlink" xfId="11171" builtinId="8" hidden="1"/>
    <cellStyle name="Hyperlink" xfId="11173" builtinId="8" hidden="1"/>
    <cellStyle name="Hyperlink" xfId="11175" builtinId="8" hidden="1"/>
    <cellStyle name="Hyperlink" xfId="11177" builtinId="8" hidden="1"/>
    <cellStyle name="Hyperlink" xfId="11179" builtinId="8" hidden="1"/>
    <cellStyle name="Hyperlink" xfId="11181" builtinId="8" hidden="1"/>
    <cellStyle name="Hyperlink" xfId="11183" builtinId="8" hidden="1"/>
    <cellStyle name="Hyperlink" xfId="11185" builtinId="8" hidden="1"/>
    <cellStyle name="Hyperlink" xfId="11187" builtinId="8" hidden="1"/>
    <cellStyle name="Hyperlink" xfId="11189" builtinId="8" hidden="1"/>
    <cellStyle name="Hyperlink" xfId="11191" builtinId="8" hidden="1"/>
    <cellStyle name="Hyperlink" xfId="11193" builtinId="8" hidden="1"/>
    <cellStyle name="Hyperlink" xfId="11195" builtinId="8" hidden="1"/>
    <cellStyle name="Hyperlink" xfId="11197" builtinId="8" hidden="1"/>
    <cellStyle name="Hyperlink" xfId="11199" builtinId="8" hidden="1"/>
    <cellStyle name="Hyperlink" xfId="11201" builtinId="8" hidden="1"/>
    <cellStyle name="Hyperlink" xfId="11203" builtinId="8" hidden="1"/>
    <cellStyle name="Hyperlink" xfId="11205" builtinId="8" hidden="1"/>
    <cellStyle name="Hyperlink" xfId="11207" builtinId="8" hidden="1"/>
    <cellStyle name="Hyperlink" xfId="11209" builtinId="8" hidden="1"/>
    <cellStyle name="Hyperlink" xfId="11211" builtinId="8" hidden="1"/>
    <cellStyle name="Hyperlink" xfId="11213" builtinId="8" hidden="1"/>
    <cellStyle name="Hyperlink" xfId="11215" builtinId="8" hidden="1"/>
    <cellStyle name="Hyperlink" xfId="11217" builtinId="8" hidden="1"/>
    <cellStyle name="Hyperlink" xfId="11219" builtinId="8" hidden="1"/>
    <cellStyle name="Hyperlink" xfId="11221" builtinId="8" hidden="1"/>
    <cellStyle name="Hyperlink" xfId="11223" builtinId="8" hidden="1"/>
    <cellStyle name="Hyperlink" xfId="11225" builtinId="8" hidden="1"/>
    <cellStyle name="Hyperlink" xfId="11227" builtinId="8" hidden="1"/>
    <cellStyle name="Hyperlink" xfId="11229" builtinId="8" hidden="1"/>
    <cellStyle name="Hyperlink" xfId="11231" builtinId="8" hidden="1"/>
    <cellStyle name="Hyperlink" xfId="11233" builtinId="8" hidden="1"/>
    <cellStyle name="Hyperlink" xfId="11235" builtinId="8" hidden="1"/>
    <cellStyle name="Hyperlink" xfId="11237" builtinId="8" hidden="1"/>
    <cellStyle name="Hyperlink" xfId="11239" builtinId="8" hidden="1"/>
    <cellStyle name="Hyperlink" xfId="11241" builtinId="8" hidden="1"/>
    <cellStyle name="Hyperlink" xfId="11243" builtinId="8" hidden="1"/>
    <cellStyle name="Hyperlink" xfId="11245" builtinId="8" hidden="1"/>
    <cellStyle name="Hyperlink" xfId="11247" builtinId="8" hidden="1"/>
    <cellStyle name="Hyperlink" xfId="11249" builtinId="8" hidden="1"/>
    <cellStyle name="Hyperlink" xfId="11251" builtinId="8" hidden="1"/>
    <cellStyle name="Hyperlink" xfId="11253" builtinId="8" hidden="1"/>
    <cellStyle name="Hyperlink" xfId="11255" builtinId="8" hidden="1"/>
    <cellStyle name="Hyperlink" xfId="11257" builtinId="8" hidden="1"/>
    <cellStyle name="Hyperlink" xfId="11259" builtinId="8" hidden="1"/>
    <cellStyle name="Hyperlink" xfId="11261" builtinId="8" hidden="1"/>
    <cellStyle name="Hyperlink" xfId="11263" builtinId="8" hidden="1"/>
    <cellStyle name="Hyperlink" xfId="11265" builtinId="8" hidden="1"/>
    <cellStyle name="Hyperlink" xfId="11267" builtinId="8" hidden="1"/>
    <cellStyle name="Hyperlink" xfId="11269" builtinId="8" hidden="1"/>
    <cellStyle name="Hyperlink" xfId="11271" builtinId="8" hidden="1"/>
    <cellStyle name="Hyperlink" xfId="11273" builtinId="8" hidden="1"/>
    <cellStyle name="Hyperlink" xfId="11275" builtinId="8" hidden="1"/>
    <cellStyle name="Hyperlink" xfId="11277" builtinId="8" hidden="1"/>
    <cellStyle name="Hyperlink" xfId="11279" builtinId="8" hidden="1"/>
    <cellStyle name="Hyperlink" xfId="11281" builtinId="8" hidden="1"/>
    <cellStyle name="Hyperlink" xfId="11283" builtinId="8" hidden="1"/>
    <cellStyle name="Hyperlink" xfId="11285" builtinId="8" hidden="1"/>
    <cellStyle name="Hyperlink" xfId="11287" builtinId="8" hidden="1"/>
    <cellStyle name="Hyperlink" xfId="11289" builtinId="8" hidden="1"/>
    <cellStyle name="Hyperlink" xfId="11291" builtinId="8" hidden="1"/>
    <cellStyle name="Hyperlink" xfId="11293" builtinId="8" hidden="1"/>
    <cellStyle name="Hyperlink" xfId="11295" builtinId="8" hidden="1"/>
    <cellStyle name="Hyperlink" xfId="11297" builtinId="8" hidden="1"/>
    <cellStyle name="Hyperlink" xfId="11299" builtinId="8" hidden="1"/>
    <cellStyle name="Hyperlink" xfId="11301" builtinId="8" hidden="1"/>
    <cellStyle name="Hyperlink" xfId="11303" builtinId="8" hidden="1"/>
    <cellStyle name="Hyperlink" xfId="11305" builtinId="8" hidden="1"/>
    <cellStyle name="Hyperlink" xfId="11307" builtinId="8" hidden="1"/>
    <cellStyle name="Hyperlink" xfId="11309" builtinId="8" hidden="1"/>
    <cellStyle name="Hyperlink" xfId="11311" builtinId="8" hidden="1"/>
    <cellStyle name="Hyperlink" xfId="11313" builtinId="8" hidden="1"/>
    <cellStyle name="Hyperlink" xfId="11315" builtinId="8" hidden="1"/>
    <cellStyle name="Hyperlink" xfId="11317" builtinId="8" hidden="1"/>
    <cellStyle name="Hyperlink" xfId="11319" builtinId="8" hidden="1"/>
    <cellStyle name="Hyperlink" xfId="11321" builtinId="8" hidden="1"/>
    <cellStyle name="Hyperlink" xfId="11323" builtinId="8" hidden="1"/>
    <cellStyle name="Hyperlink" xfId="11325" builtinId="8" hidden="1"/>
    <cellStyle name="Hyperlink" xfId="11327" builtinId="8" hidden="1"/>
    <cellStyle name="Hyperlink" xfId="11329" builtinId="8" hidden="1"/>
    <cellStyle name="Hyperlink" xfId="11331" builtinId="8" hidden="1"/>
    <cellStyle name="Hyperlink" xfId="11333" builtinId="8" hidden="1"/>
    <cellStyle name="Hyperlink" xfId="11335" builtinId="8" hidden="1"/>
    <cellStyle name="Hyperlink" xfId="11337" builtinId="8" hidden="1"/>
    <cellStyle name="Hyperlink" xfId="11339" builtinId="8" hidden="1"/>
    <cellStyle name="Hyperlink" xfId="11341" builtinId="8" hidden="1"/>
    <cellStyle name="Hyperlink" xfId="11343" builtinId="8" hidden="1"/>
    <cellStyle name="Hyperlink" xfId="11345" builtinId="8" hidden="1"/>
    <cellStyle name="Hyperlink" xfId="11348" builtinId="8" hidden="1"/>
    <cellStyle name="Hyperlink" xfId="11350" builtinId="8" hidden="1"/>
    <cellStyle name="Hyperlink" xfId="11352" builtinId="8" hidden="1"/>
    <cellStyle name="Hyperlink" xfId="11354" builtinId="8" hidden="1"/>
    <cellStyle name="Hyperlink" xfId="11356" builtinId="8" hidden="1"/>
    <cellStyle name="Hyperlink" xfId="11358" builtinId="8" hidden="1"/>
    <cellStyle name="Hyperlink" xfId="11360" builtinId="8" hidden="1"/>
    <cellStyle name="Hyperlink" xfId="11362" builtinId="8" hidden="1"/>
    <cellStyle name="Hyperlink" xfId="11364" builtinId="8" hidden="1"/>
    <cellStyle name="Hyperlink" xfId="11366" builtinId="8" hidden="1"/>
    <cellStyle name="Hyperlink" xfId="11368" builtinId="8" hidden="1"/>
    <cellStyle name="Hyperlink" xfId="11370" builtinId="8" hidden="1"/>
    <cellStyle name="Hyperlink" xfId="11372" builtinId="8" hidden="1"/>
    <cellStyle name="Hyperlink" xfId="11374" builtinId="8" hidden="1"/>
    <cellStyle name="Hyperlink" xfId="11376" builtinId="8" hidden="1"/>
    <cellStyle name="Hyperlink" xfId="11378" builtinId="8" hidden="1"/>
    <cellStyle name="Hyperlink" xfId="11380" builtinId="8" hidden="1"/>
    <cellStyle name="Hyperlink" xfId="11382" builtinId="8" hidden="1"/>
    <cellStyle name="Hyperlink" xfId="11384" builtinId="8" hidden="1"/>
    <cellStyle name="Hyperlink" xfId="11386" builtinId="8" hidden="1"/>
    <cellStyle name="Hyperlink" xfId="11388" builtinId="8" hidden="1"/>
    <cellStyle name="Hyperlink" xfId="11390" builtinId="8" hidden="1"/>
    <cellStyle name="Hyperlink" xfId="11392" builtinId="8" hidden="1"/>
    <cellStyle name="Hyperlink" xfId="11394" builtinId="8" hidden="1"/>
    <cellStyle name="Hyperlink" xfId="11396" builtinId="8" hidden="1"/>
    <cellStyle name="Hyperlink" xfId="11398" builtinId="8" hidden="1"/>
    <cellStyle name="Hyperlink" xfId="11400" builtinId="8" hidden="1"/>
    <cellStyle name="Hyperlink" xfId="11402" builtinId="8" hidden="1"/>
    <cellStyle name="Hyperlink" xfId="11404" builtinId="8" hidden="1"/>
    <cellStyle name="Hyperlink" xfId="11406" builtinId="8" hidden="1"/>
    <cellStyle name="Hyperlink" xfId="11408" builtinId="8" hidden="1"/>
    <cellStyle name="Hyperlink" xfId="11410" builtinId="8" hidden="1"/>
    <cellStyle name="Hyperlink" xfId="11412" builtinId="8" hidden="1"/>
    <cellStyle name="Hyperlink" xfId="11414" builtinId="8" hidden="1"/>
    <cellStyle name="Hyperlink" xfId="11416" builtinId="8" hidden="1"/>
    <cellStyle name="Hyperlink" xfId="11418" builtinId="8" hidden="1"/>
    <cellStyle name="Hyperlink" xfId="11420" builtinId="8" hidden="1"/>
    <cellStyle name="Hyperlink" xfId="11422" builtinId="8" hidden="1"/>
    <cellStyle name="Hyperlink" xfId="11424" builtinId="8" hidden="1"/>
    <cellStyle name="Hyperlink" xfId="11426" builtinId="8" hidden="1"/>
    <cellStyle name="Hyperlink" xfId="11428" builtinId="8" hidden="1"/>
    <cellStyle name="Hyperlink" xfId="11430" builtinId="8" hidden="1"/>
    <cellStyle name="Hyperlink" xfId="11432" builtinId="8" hidden="1"/>
    <cellStyle name="Hyperlink" xfId="11434" builtinId="8" hidden="1"/>
    <cellStyle name="Hyperlink" xfId="11436" builtinId="8" hidden="1"/>
    <cellStyle name="Hyperlink" xfId="11438" builtinId="8" hidden="1"/>
    <cellStyle name="Hyperlink" xfId="11440" builtinId="8" hidden="1"/>
    <cellStyle name="Hyperlink" xfId="11442" builtinId="8" hidden="1"/>
    <cellStyle name="Hyperlink" xfId="11444" builtinId="8" hidden="1"/>
    <cellStyle name="Hyperlink" xfId="11446" builtinId="8" hidden="1"/>
    <cellStyle name="Hyperlink" xfId="11448" builtinId="8" hidden="1"/>
    <cellStyle name="Hyperlink" xfId="11450" builtinId="8" hidden="1"/>
    <cellStyle name="Hyperlink" xfId="11452" builtinId="8" hidden="1"/>
    <cellStyle name="Hyperlink" xfId="11454" builtinId="8" hidden="1"/>
    <cellStyle name="Hyperlink" xfId="11456" builtinId="8" hidden="1"/>
    <cellStyle name="Hyperlink" xfId="11458" builtinId="8" hidden="1"/>
    <cellStyle name="Hyperlink" xfId="11460" builtinId="8" hidden="1"/>
    <cellStyle name="Hyperlink" xfId="11462" builtinId="8" hidden="1"/>
    <cellStyle name="Hyperlink" xfId="11464" builtinId="8" hidden="1"/>
    <cellStyle name="Hyperlink" xfId="11466" builtinId="8" hidden="1"/>
    <cellStyle name="Hyperlink" xfId="11347" builtinId="8" hidden="1"/>
    <cellStyle name="Hyperlink" xfId="11469" builtinId="8" hidden="1"/>
    <cellStyle name="Hyperlink" xfId="11471" builtinId="8" hidden="1"/>
    <cellStyle name="Hyperlink" xfId="11473" builtinId="8" hidden="1"/>
    <cellStyle name="Hyperlink" xfId="11475" builtinId="8" hidden="1"/>
    <cellStyle name="Hyperlink" xfId="11477" builtinId="8" hidden="1"/>
    <cellStyle name="Hyperlink" xfId="11479" builtinId="8" hidden="1"/>
    <cellStyle name="Hyperlink" xfId="11481" builtinId="8" hidden="1"/>
    <cellStyle name="Hyperlink" xfId="11483" builtinId="8" hidden="1"/>
    <cellStyle name="Hyperlink" xfId="11485" builtinId="8" hidden="1"/>
    <cellStyle name="Hyperlink" xfId="11487" builtinId="8" hidden="1"/>
    <cellStyle name="Hyperlink" xfId="11489" builtinId="8" hidden="1"/>
    <cellStyle name="Hyperlink" xfId="11491" builtinId="8" hidden="1"/>
    <cellStyle name="Hyperlink" xfId="11493" builtinId="8" hidden="1"/>
    <cellStyle name="Hyperlink" xfId="11495" builtinId="8" hidden="1"/>
    <cellStyle name="Hyperlink" xfId="11497" builtinId="8" hidden="1"/>
    <cellStyle name="Hyperlink" xfId="11499" builtinId="8" hidden="1"/>
    <cellStyle name="Hyperlink" xfId="11501" builtinId="8" hidden="1"/>
    <cellStyle name="Hyperlink" xfId="11503" builtinId="8" hidden="1"/>
    <cellStyle name="Hyperlink" xfId="11505" builtinId="8" hidden="1"/>
    <cellStyle name="Hyperlink" xfId="11507" builtinId="8" hidden="1"/>
    <cellStyle name="Hyperlink" xfId="11509" builtinId="8" hidden="1"/>
    <cellStyle name="Hyperlink" xfId="11511" builtinId="8" hidden="1"/>
    <cellStyle name="Hyperlink" xfId="11513" builtinId="8" hidden="1"/>
    <cellStyle name="Hyperlink" xfId="11515" builtinId="8" hidden="1"/>
    <cellStyle name="Hyperlink" xfId="11517" builtinId="8" hidden="1"/>
    <cellStyle name="Hyperlink" xfId="11519" builtinId="8" hidden="1"/>
    <cellStyle name="Hyperlink" xfId="11521" builtinId="8" hidden="1"/>
    <cellStyle name="Hyperlink" xfId="11523" builtinId="8" hidden="1"/>
    <cellStyle name="Hyperlink" xfId="11525" builtinId="8" hidden="1"/>
    <cellStyle name="Hyperlink" xfId="11527" builtinId="8" hidden="1"/>
    <cellStyle name="Hyperlink" xfId="11529" builtinId="8" hidden="1"/>
    <cellStyle name="Hyperlink" xfId="11531" builtinId="8" hidden="1"/>
    <cellStyle name="Hyperlink" xfId="11533" builtinId="8" hidden="1"/>
    <cellStyle name="Hyperlink" xfId="11535" builtinId="8" hidden="1"/>
    <cellStyle name="Hyperlink" xfId="11537" builtinId="8" hidden="1"/>
    <cellStyle name="Hyperlink" xfId="11539" builtinId="8" hidden="1"/>
    <cellStyle name="Hyperlink" xfId="11541" builtinId="8" hidden="1"/>
    <cellStyle name="Hyperlink" xfId="11543" builtinId="8" hidden="1"/>
    <cellStyle name="Hyperlink" xfId="11545" builtinId="8" hidden="1"/>
    <cellStyle name="Hyperlink" xfId="11547" builtinId="8" hidden="1"/>
    <cellStyle name="Hyperlink" xfId="11549" builtinId="8" hidden="1"/>
    <cellStyle name="Hyperlink" xfId="11551" builtinId="8" hidden="1"/>
    <cellStyle name="Hyperlink" xfId="11553" builtinId="8" hidden="1"/>
    <cellStyle name="Hyperlink" xfId="11555" builtinId="8" hidden="1"/>
    <cellStyle name="Hyperlink" xfId="11557" builtinId="8" hidden="1"/>
    <cellStyle name="Hyperlink" xfId="11559" builtinId="8" hidden="1"/>
    <cellStyle name="Hyperlink" xfId="11561" builtinId="8" hidden="1"/>
    <cellStyle name="Hyperlink" xfId="11563" builtinId="8" hidden="1"/>
    <cellStyle name="Hyperlink" xfId="11565" builtinId="8" hidden="1"/>
    <cellStyle name="Hyperlink" xfId="11567" builtinId="8" hidden="1"/>
    <cellStyle name="Hyperlink" xfId="11569" builtinId="8" hidden="1"/>
    <cellStyle name="Hyperlink" xfId="11571" builtinId="8" hidden="1"/>
    <cellStyle name="Hyperlink" xfId="11573" builtinId="8" hidden="1"/>
    <cellStyle name="Hyperlink" xfId="11575" builtinId="8" hidden="1"/>
    <cellStyle name="Hyperlink" xfId="11577" builtinId="8" hidden="1"/>
    <cellStyle name="Hyperlink" xfId="11579" builtinId="8" hidden="1"/>
    <cellStyle name="Hyperlink" xfId="11581" builtinId="8" hidden="1"/>
    <cellStyle name="Hyperlink" xfId="11583" builtinId="8" hidden="1"/>
    <cellStyle name="Hyperlink" xfId="11585" builtinId="8" hidden="1"/>
    <cellStyle name="Hyperlink" xfId="11587" builtinId="8" hidden="1"/>
    <cellStyle name="Hyperlink" xfId="11589" builtinId="8" hidden="1"/>
    <cellStyle name="Hyperlink" xfId="11591" builtinId="8" hidden="1"/>
    <cellStyle name="Hyperlink" xfId="11593" builtinId="8" hidden="1"/>
    <cellStyle name="Hyperlink" xfId="11595" builtinId="8" hidden="1"/>
    <cellStyle name="Hyperlink" xfId="11597" builtinId="8" hidden="1"/>
    <cellStyle name="Hyperlink" xfId="11599" builtinId="8" hidden="1"/>
    <cellStyle name="Hyperlink" xfId="11601" builtinId="8" hidden="1"/>
    <cellStyle name="Hyperlink" xfId="11603" builtinId="8" hidden="1"/>
    <cellStyle name="Hyperlink" xfId="11605" builtinId="8" hidden="1"/>
    <cellStyle name="Hyperlink" xfId="11607" builtinId="8" hidden="1"/>
    <cellStyle name="Hyperlink" xfId="11609" builtinId="8" hidden="1"/>
    <cellStyle name="Hyperlink" xfId="11611" builtinId="8" hidden="1"/>
    <cellStyle name="Hyperlink" xfId="11613" builtinId="8" hidden="1"/>
    <cellStyle name="Hyperlink" xfId="11615" builtinId="8" hidden="1"/>
    <cellStyle name="Hyperlink" xfId="11617" builtinId="8" hidden="1"/>
    <cellStyle name="Hyperlink" xfId="11619" builtinId="8" hidden="1"/>
    <cellStyle name="Hyperlink" xfId="11621" builtinId="8" hidden="1"/>
    <cellStyle name="Hyperlink" xfId="11623" builtinId="8" hidden="1"/>
    <cellStyle name="Hyperlink" xfId="11625" builtinId="8" hidden="1"/>
    <cellStyle name="Hyperlink" xfId="11627" builtinId="8" hidden="1"/>
    <cellStyle name="Hyperlink" xfId="11629" builtinId="8" hidden="1"/>
    <cellStyle name="Hyperlink" xfId="11631" builtinId="8" hidden="1"/>
    <cellStyle name="Hyperlink" xfId="11633" builtinId="8" hidden="1"/>
    <cellStyle name="Hyperlink" xfId="11635" builtinId="8" hidden="1"/>
    <cellStyle name="Hyperlink" xfId="11637" builtinId="8" hidden="1"/>
    <cellStyle name="Hyperlink" xfId="11639" builtinId="8" hidden="1"/>
    <cellStyle name="Hyperlink" xfId="11641" builtinId="8" hidden="1"/>
    <cellStyle name="Hyperlink" xfId="11643" builtinId="8" hidden="1"/>
    <cellStyle name="Hyperlink" xfId="11645" builtinId="8" hidden="1"/>
    <cellStyle name="Hyperlink" xfId="11647" builtinId="8" hidden="1"/>
    <cellStyle name="Hyperlink" xfId="11649" builtinId="8" hidden="1"/>
    <cellStyle name="Hyperlink" xfId="11651" builtinId="8" hidden="1"/>
    <cellStyle name="Hyperlink" xfId="11653" builtinId="8" hidden="1"/>
    <cellStyle name="Hyperlink" xfId="11655" builtinId="8" hidden="1"/>
    <cellStyle name="Hyperlink" xfId="11657" builtinId="8" hidden="1"/>
    <cellStyle name="Hyperlink" xfId="11659" builtinId="8" hidden="1"/>
    <cellStyle name="Hyperlink" xfId="11661" builtinId="8" hidden="1"/>
    <cellStyle name="Hyperlink" xfId="11663" builtinId="8" hidden="1"/>
    <cellStyle name="Hyperlink" xfId="11665" builtinId="8" hidden="1"/>
    <cellStyle name="Hyperlink" xfId="11667" builtinId="8" hidden="1"/>
    <cellStyle name="Hyperlink" xfId="11669" builtinId="8" hidden="1"/>
    <cellStyle name="Hyperlink" xfId="11671" builtinId="8" hidden="1"/>
    <cellStyle name="Hyperlink" xfId="11673" builtinId="8" hidden="1"/>
    <cellStyle name="Hyperlink" xfId="11675" builtinId="8" hidden="1"/>
    <cellStyle name="Hyperlink" xfId="11677" builtinId="8" hidden="1"/>
    <cellStyle name="Hyperlink" xfId="11679" builtinId="8" hidden="1"/>
    <cellStyle name="Hyperlink" xfId="11681" builtinId="8" hidden="1"/>
    <cellStyle name="Hyperlink" xfId="11683" builtinId="8" hidden="1"/>
    <cellStyle name="Hyperlink" xfId="11685" builtinId="8" hidden="1"/>
    <cellStyle name="Hyperlink" xfId="11687" builtinId="8" hidden="1"/>
    <cellStyle name="Hyperlink" xfId="11689" builtinId="8" hidden="1"/>
    <cellStyle name="Hyperlink" xfId="11691" builtinId="8" hidden="1"/>
    <cellStyle name="Hyperlink" xfId="11693" builtinId="8" hidden="1"/>
    <cellStyle name="Hyperlink" xfId="11695" builtinId="8" hidden="1"/>
    <cellStyle name="Hyperlink" xfId="11697" builtinId="8" hidden="1"/>
    <cellStyle name="Hyperlink" xfId="11699" builtinId="8" hidden="1"/>
    <cellStyle name="Hyperlink" xfId="11701" builtinId="8" hidden="1"/>
    <cellStyle name="Hyperlink" xfId="11703" builtinId="8" hidden="1"/>
    <cellStyle name="Hyperlink" xfId="11705" builtinId="8" hidden="1"/>
    <cellStyle name="Hyperlink" xfId="11707" builtinId="8" hidden="1"/>
    <cellStyle name="Hyperlink" xfId="11709" builtinId="8" hidden="1"/>
    <cellStyle name="Hyperlink" xfId="11711" builtinId="8" hidden="1"/>
    <cellStyle name="Hyperlink" xfId="11713" builtinId="8" hidden="1"/>
    <cellStyle name="Hyperlink" xfId="11715" builtinId="8" hidden="1"/>
    <cellStyle name="Hyperlink" xfId="11717" builtinId="8" hidden="1"/>
    <cellStyle name="Hyperlink" xfId="11719" builtinId="8" hidden="1"/>
    <cellStyle name="Hyperlink" xfId="11721" builtinId="8" hidden="1"/>
    <cellStyle name="Hyperlink" xfId="11723" builtinId="8" hidden="1"/>
    <cellStyle name="Hyperlink" xfId="11725" builtinId="8" hidden="1"/>
    <cellStyle name="Hyperlink" xfId="11727" builtinId="8" hidden="1"/>
    <cellStyle name="Hyperlink" xfId="11729" builtinId="8" hidden="1"/>
    <cellStyle name="Hyperlink" xfId="11731" builtinId="8" hidden="1"/>
    <cellStyle name="Hyperlink" xfId="11733" builtinId="8" hidden="1"/>
    <cellStyle name="Hyperlink" xfId="11735" builtinId="8" hidden="1"/>
    <cellStyle name="Hyperlink" xfId="11737" builtinId="8" hidden="1"/>
    <cellStyle name="Hyperlink" xfId="11739" builtinId="8" hidden="1"/>
    <cellStyle name="Hyperlink" xfId="11741" builtinId="8" hidden="1"/>
    <cellStyle name="Hyperlink" xfId="11743" builtinId="8" hidden="1"/>
    <cellStyle name="Hyperlink" xfId="11745" builtinId="8" hidden="1"/>
    <cellStyle name="Hyperlink" xfId="11747" builtinId="8" hidden="1"/>
    <cellStyle name="Hyperlink" xfId="11749" builtinId="8" hidden="1"/>
    <cellStyle name="Hyperlink" xfId="11751" builtinId="8" hidden="1"/>
    <cellStyle name="Hyperlink" xfId="11753" builtinId="8" hidden="1"/>
    <cellStyle name="Hyperlink" xfId="11755" builtinId="8" hidden="1"/>
    <cellStyle name="Hyperlink" xfId="11757" builtinId="8" hidden="1"/>
    <cellStyle name="Hyperlink" xfId="11759" builtinId="8" hidden="1"/>
    <cellStyle name="Hyperlink" xfId="11761" builtinId="8" hidden="1"/>
    <cellStyle name="Hyperlink" xfId="11763" builtinId="8" hidden="1"/>
    <cellStyle name="Hyperlink" xfId="11765" builtinId="8" hidden="1"/>
    <cellStyle name="Hyperlink" xfId="11767" builtinId="8" hidden="1"/>
    <cellStyle name="Hyperlink" xfId="11769" builtinId="8" hidden="1"/>
    <cellStyle name="Hyperlink" xfId="11771" builtinId="8" hidden="1"/>
    <cellStyle name="Hyperlink" xfId="11773" builtinId="8" hidden="1"/>
    <cellStyle name="Hyperlink" xfId="11775" builtinId="8" hidden="1"/>
    <cellStyle name="Hyperlink" xfId="11777" builtinId="8" hidden="1"/>
    <cellStyle name="Hyperlink" xfId="11779" builtinId="8" hidden="1"/>
    <cellStyle name="Hyperlink" xfId="11781" builtinId="8" hidden="1"/>
    <cellStyle name="Hyperlink" xfId="11783" builtinId="8" hidden="1"/>
    <cellStyle name="Hyperlink" xfId="11785" builtinId="8" hidden="1"/>
    <cellStyle name="Hyperlink" xfId="11787" builtinId="8" hidden="1"/>
    <cellStyle name="Hyperlink" xfId="11789" builtinId="8" hidden="1"/>
    <cellStyle name="Hyperlink" xfId="11791" builtinId="8" hidden="1"/>
    <cellStyle name="Hyperlink" xfId="11793" builtinId="8" hidden="1"/>
    <cellStyle name="Hyperlink" xfId="11795" builtinId="8" hidden="1"/>
    <cellStyle name="Hyperlink" xfId="11797" builtinId="8" hidden="1"/>
    <cellStyle name="Hyperlink" xfId="11799" builtinId="8" hidden="1"/>
    <cellStyle name="Hyperlink" xfId="11801" builtinId="8" hidden="1"/>
    <cellStyle name="Hyperlink" xfId="11803" builtinId="8" hidden="1"/>
    <cellStyle name="Hyperlink" xfId="11805" builtinId="8" hidden="1"/>
    <cellStyle name="Hyperlink" xfId="11807" builtinId="8" hidden="1"/>
    <cellStyle name="Hyperlink" xfId="11809" builtinId="8" hidden="1"/>
    <cellStyle name="Hyperlink" xfId="11811" builtinId="8" hidden="1"/>
    <cellStyle name="Hyperlink" xfId="11813" builtinId="8" hidden="1"/>
    <cellStyle name="Hyperlink" xfId="11815" builtinId="8" hidden="1"/>
    <cellStyle name="Hyperlink" xfId="11817" builtinId="8" hidden="1"/>
    <cellStyle name="Hyperlink" xfId="11819" builtinId="8" hidden="1"/>
    <cellStyle name="Hyperlink" xfId="11821" builtinId="8" hidden="1"/>
    <cellStyle name="Hyperlink" xfId="11823" builtinId="8" hidden="1"/>
    <cellStyle name="Hyperlink" xfId="11825" builtinId="8" hidden="1"/>
    <cellStyle name="Hyperlink" xfId="11827" builtinId="8" hidden="1"/>
    <cellStyle name="Hyperlink" xfId="11829" builtinId="8" hidden="1"/>
    <cellStyle name="Hyperlink" xfId="11831" builtinId="8" hidden="1"/>
    <cellStyle name="Hyperlink" xfId="11833" builtinId="8" hidden="1"/>
    <cellStyle name="Hyperlink" xfId="11835" builtinId="8" hidden="1"/>
    <cellStyle name="Hyperlink" xfId="11837" builtinId="8" hidden="1"/>
    <cellStyle name="Hyperlink" xfId="11839" builtinId="8" hidden="1"/>
    <cellStyle name="Hyperlink" xfId="11841" builtinId="8" hidden="1"/>
    <cellStyle name="Hyperlink" xfId="11843" builtinId="8" hidden="1"/>
    <cellStyle name="Hyperlink" xfId="11845" builtinId="8" hidden="1"/>
    <cellStyle name="Hyperlink" xfId="11847" builtinId="8" hidden="1"/>
    <cellStyle name="Hyperlink" xfId="11849" builtinId="8" hidden="1"/>
    <cellStyle name="Hyperlink" xfId="11851" builtinId="8" hidden="1"/>
    <cellStyle name="Hyperlink" xfId="11853" builtinId="8" hidden="1"/>
    <cellStyle name="Hyperlink" xfId="11855" builtinId="8" hidden="1"/>
    <cellStyle name="Hyperlink" xfId="11857" builtinId="8" hidden="1"/>
    <cellStyle name="Hyperlink" xfId="11859" builtinId="8" hidden="1"/>
    <cellStyle name="Hyperlink" xfId="11861" builtinId="8" hidden="1"/>
    <cellStyle name="Hyperlink" xfId="11863" builtinId="8" hidden="1"/>
    <cellStyle name="Hyperlink" xfId="11865" builtinId="8" hidden="1"/>
    <cellStyle name="Hyperlink" xfId="11867" builtinId="8" hidden="1"/>
    <cellStyle name="Hyperlink" xfId="11869" builtinId="8" hidden="1"/>
    <cellStyle name="Hyperlink" xfId="11871" builtinId="8" hidden="1"/>
    <cellStyle name="Hyperlink" xfId="11873" builtinId="8" hidden="1"/>
    <cellStyle name="Hyperlink" xfId="11875" builtinId="8" hidden="1"/>
    <cellStyle name="Hyperlink" xfId="11877" builtinId="8" hidden="1"/>
    <cellStyle name="Hyperlink" xfId="11879" builtinId="8" hidden="1"/>
    <cellStyle name="Hyperlink" xfId="11881" builtinId="8" hidden="1"/>
    <cellStyle name="Hyperlink" xfId="11883" builtinId="8" hidden="1"/>
    <cellStyle name="Hyperlink" xfId="11885" builtinId="8" hidden="1"/>
    <cellStyle name="Hyperlink" xfId="11887" builtinId="8" hidden="1"/>
    <cellStyle name="Hyperlink" xfId="11889" builtinId="8" hidden="1"/>
    <cellStyle name="Hyperlink" xfId="11891" builtinId="8" hidden="1"/>
    <cellStyle name="Hyperlink" xfId="11893" builtinId="8" hidden="1"/>
    <cellStyle name="Hyperlink" xfId="11895" builtinId="8" hidden="1"/>
    <cellStyle name="Hyperlink" xfId="11897" builtinId="8" hidden="1"/>
    <cellStyle name="Hyperlink" xfId="11899" builtinId="8" hidden="1"/>
    <cellStyle name="Hyperlink" xfId="11901" builtinId="8" hidden="1"/>
    <cellStyle name="Hyperlink" xfId="11903" builtinId="8" hidden="1"/>
    <cellStyle name="Hyperlink" xfId="11905" builtinId="8" hidden="1"/>
    <cellStyle name="Neutral 2" xfId="846" xr:uid="{00000000-0005-0000-0000-0000802E0000}"/>
    <cellStyle name="Normal" xfId="0" builtinId="0"/>
    <cellStyle name="Normal 2" xfId="4" xr:uid="{00000000-0005-0000-0000-0000822E0000}"/>
  </cellStyles>
  <dxfs count="84">
    <dxf>
      <font>
        <strike val="0"/>
        <outline val="0"/>
        <shadow val="0"/>
        <vertAlign val="baseline"/>
        <sz val="10"/>
      </font>
      <fill>
        <patternFill patternType="solid">
          <fgColor indexed="64"/>
          <bgColor theme="6" tint="-0.24997711111789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1" tint="4.9989318521683403E-2"/>
      </font>
      <fill>
        <patternFill>
          <bgColor rgb="FFFFC000"/>
        </patternFill>
      </fill>
    </dxf>
    <dxf>
      <font>
        <strike val="0"/>
        <outline val="0"/>
        <shadow val="0"/>
        <vertAlign val="baseline"/>
        <sz val="10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0"/>
      </font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1" tint="4.9989318521683403E-2"/>
      </font>
      <fill>
        <patternFill>
          <bgColor rgb="FFFFC000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numFmt numFmtId="17" formatCode="#\ ?/?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numFmt numFmtId="17" formatCode="#\ ?/?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/>
        <name val="Calibri"/>
        <scheme val="minor"/>
      </font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alignment vertical="bottom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48"/>
        <color auto="1"/>
        <name val="Bar Code 39 d HR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bottom" textRotation="0" indent="0" justifyLastLine="0" shrinkToFit="0" readingOrder="0"/>
    </dxf>
    <dxf>
      <border>
        <bottom style="thin">
          <color auto="1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bottom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20"/>
      </font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u val="none"/>
        <vertAlign val="baseline"/>
        <sz val="20"/>
      </font>
      <numFmt numFmtId="164" formatCode="[$$-409]#,##0.00;[Red]\-[$$-409]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Calibri"/>
        <scheme val="minor"/>
      </font>
      <numFmt numFmtId="164" formatCode="[$$-409]#,##0.00;[Red]\-[$$-409]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127000</xdr:colOff>
      <xdr:row>4</xdr:row>
      <xdr:rowOff>116417</xdr:rowOff>
    </xdr:from>
    <xdr:to>
      <xdr:col>11</xdr:col>
      <xdr:colOff>1936750</xdr:colOff>
      <xdr:row>6</xdr:row>
      <xdr:rowOff>179917</xdr:rowOff>
    </xdr:to>
    <xdr:sp macro="[0]!Clearcell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482917" y="878417"/>
          <a:ext cx="1809750" cy="44450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Clear Cells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wner/Dropbox/MAIN%20WORK%20FILES/PAYROLL%20SHEET%20v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celist"/>
      <sheetName val="WEEKLY TOTAL"/>
      <sheetName val="ARMANDO A HUERTOS (KUP)"/>
      <sheetName val="APOLINAR GASPAR (KUP)"/>
      <sheetName val="GAUDENCIO GASPAR (KUP) "/>
      <sheetName val="JOSE M MOROYCQUI-PINUELAS(KUP)"/>
      <sheetName val="CARMELO SALAZAR(SUP)"/>
      <sheetName val="Module1"/>
      <sheetName val="MARTIN H SALAZAR(SUP)"/>
      <sheetName val="EMANUEL CRUZ(SUP)"/>
      <sheetName val="EM. PLOYEE"/>
    </sheetNames>
    <sheetDataSet>
      <sheetData sheetId="0">
        <row r="1">
          <cell r="A1" t="str">
            <v>Frame</v>
          </cell>
          <cell r="B1" t="str">
            <v>Frame Name</v>
          </cell>
          <cell r="C1">
            <v>0</v>
          </cell>
          <cell r="D1" t="str">
            <v>PRICE</v>
          </cell>
          <cell r="E1">
            <v>0</v>
          </cell>
          <cell r="G1">
            <v>0</v>
          </cell>
          <cell r="H1">
            <v>38951</v>
          </cell>
          <cell r="I1">
            <v>0</v>
          </cell>
          <cell r="J1">
            <v>0</v>
          </cell>
        </row>
        <row r="2">
          <cell r="A2">
            <v>0</v>
          </cell>
          <cell r="B2">
            <v>0</v>
          </cell>
          <cell r="C2" t="str">
            <v>KNOCK/UP</v>
          </cell>
          <cell r="D2" t="str">
            <v>SPRING/UP</v>
          </cell>
          <cell r="E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</row>
        <row r="3">
          <cell r="A3">
            <v>4732</v>
          </cell>
          <cell r="B3" t="str">
            <v>4732 – CHAIR BASE</v>
          </cell>
          <cell r="C3">
            <v>1</v>
          </cell>
          <cell r="D3">
            <v>1</v>
          </cell>
          <cell r="E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</row>
        <row r="4">
          <cell r="A4">
            <v>4733</v>
          </cell>
          <cell r="B4" t="str">
            <v>4733 – CHAIR BASE</v>
          </cell>
          <cell r="C4">
            <v>1</v>
          </cell>
          <cell r="D4">
            <v>1</v>
          </cell>
          <cell r="E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</row>
        <row r="5">
          <cell r="A5">
            <v>4734</v>
          </cell>
          <cell r="B5" t="str">
            <v>4734  - CHAIR BASE</v>
          </cell>
          <cell r="C5">
            <v>1</v>
          </cell>
          <cell r="D5">
            <v>1</v>
          </cell>
          <cell r="E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</row>
        <row r="6">
          <cell r="A6">
            <v>5850</v>
          </cell>
          <cell r="B6" t="str">
            <v>5850 APEL OTTOMAN</v>
          </cell>
          <cell r="C6">
            <v>1</v>
          </cell>
          <cell r="D6">
            <v>0.75</v>
          </cell>
          <cell r="E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</row>
        <row r="7">
          <cell r="A7">
            <v>5851</v>
          </cell>
          <cell r="B7" t="str">
            <v>5851 APEL OTTOMAN</v>
          </cell>
          <cell r="C7">
            <v>1.5</v>
          </cell>
          <cell r="D7">
            <v>1</v>
          </cell>
          <cell r="E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</row>
        <row r="8">
          <cell r="A8" t="str">
            <v>?</v>
          </cell>
          <cell r="B8" t="str">
            <v>600B OTTO</v>
          </cell>
          <cell r="C8">
            <v>0.5</v>
          </cell>
          <cell r="D8">
            <v>0.5</v>
          </cell>
          <cell r="E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</row>
        <row r="9">
          <cell r="A9" t="str">
            <v>?</v>
          </cell>
          <cell r="B9" t="str">
            <v>S53353 SOFA</v>
          </cell>
          <cell r="C9">
            <v>3.25</v>
          </cell>
          <cell r="D9">
            <v>13.5</v>
          </cell>
          <cell r="E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</row>
        <row r="10">
          <cell r="A10" t="str">
            <v>6803D</v>
          </cell>
          <cell r="B10" t="str">
            <v>6803 CHAIR</v>
          </cell>
          <cell r="C10">
            <v>1.5</v>
          </cell>
          <cell r="D10">
            <v>2</v>
          </cell>
          <cell r="E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</row>
        <row r="11">
          <cell r="A11" t="str">
            <v>F115A</v>
          </cell>
          <cell r="B11" t="str">
            <v>ST REGIS SOFA</v>
          </cell>
          <cell r="C11">
            <v>3.25</v>
          </cell>
          <cell r="D11">
            <v>2</v>
          </cell>
          <cell r="E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</row>
        <row r="12">
          <cell r="A12" t="str">
            <v>F115D</v>
          </cell>
          <cell r="B12" t="str">
            <v>ST REGIS LOVESEAT</v>
          </cell>
          <cell r="C12">
            <v>2.75</v>
          </cell>
          <cell r="D12">
            <v>1.5</v>
          </cell>
          <cell r="E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</row>
        <row r="13">
          <cell r="A13" t="str">
            <v>F115S</v>
          </cell>
          <cell r="B13" t="str">
            <v>ST REGIS CHAIR</v>
          </cell>
          <cell r="C13">
            <v>2.5</v>
          </cell>
          <cell r="D13">
            <v>1.25</v>
          </cell>
          <cell r="E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</row>
        <row r="14">
          <cell r="A14" t="str">
            <v>F564A</v>
          </cell>
          <cell r="B14" t="str">
            <v>WYNN SOFA</v>
          </cell>
          <cell r="C14">
            <v>3</v>
          </cell>
          <cell r="D14">
            <v>1.75</v>
          </cell>
          <cell r="E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</row>
        <row r="15">
          <cell r="A15" t="str">
            <v>F564D</v>
          </cell>
          <cell r="B15" t="str">
            <v>WYNN LOVESEAT</v>
          </cell>
          <cell r="C15">
            <v>2.75</v>
          </cell>
          <cell r="D15">
            <v>1.5</v>
          </cell>
          <cell r="E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F564J</v>
          </cell>
          <cell r="B16" t="str">
            <v>WYNN OTTOMAN</v>
          </cell>
          <cell r="C16">
            <v>0.75</v>
          </cell>
          <cell r="D16">
            <v>0.5</v>
          </cell>
          <cell r="E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F564S</v>
          </cell>
          <cell r="B17" t="str">
            <v xml:space="preserve">WYNN CHAIR </v>
          </cell>
          <cell r="C17">
            <v>2.5</v>
          </cell>
          <cell r="D17">
            <v>1.25</v>
          </cell>
          <cell r="E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</row>
        <row r="18">
          <cell r="A18" t="str">
            <v>F584C</v>
          </cell>
          <cell r="B18" t="str">
            <v>TROPICANA ARMLESS SOFA</v>
          </cell>
          <cell r="C18">
            <v>2</v>
          </cell>
          <cell r="D18">
            <v>1.5</v>
          </cell>
          <cell r="E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F584C</v>
          </cell>
          <cell r="B19" t="str">
            <v>TROPICANA ARMLESS SOFA</v>
          </cell>
          <cell r="C19">
            <v>2</v>
          </cell>
          <cell r="D19">
            <v>1.5</v>
          </cell>
          <cell r="E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F584CB</v>
          </cell>
          <cell r="B20" t="str">
            <v>TROPICANA RAF CHAISE</v>
          </cell>
          <cell r="C20">
            <v>2.75</v>
          </cell>
          <cell r="D20">
            <v>1.75</v>
          </cell>
          <cell r="E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F584CC</v>
          </cell>
          <cell r="B21" t="str">
            <v>TROPICANA CORNER</v>
          </cell>
          <cell r="C21">
            <v>2.5</v>
          </cell>
          <cell r="D21">
            <v>2.25</v>
          </cell>
          <cell r="E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</row>
        <row r="22">
          <cell r="A22" t="str">
            <v>F584CQ</v>
          </cell>
          <cell r="B22" t="str">
            <v>TROPICANA ARMLESS SLEEPER</v>
          </cell>
          <cell r="C22">
            <v>2</v>
          </cell>
          <cell r="D22">
            <v>1</v>
          </cell>
          <cell r="E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F584CZ</v>
          </cell>
          <cell r="B23" t="str">
            <v>TROPICANA LAF CHAISE</v>
          </cell>
          <cell r="C23">
            <v>2.75</v>
          </cell>
          <cell r="D23">
            <v>1.75</v>
          </cell>
          <cell r="E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F584E</v>
          </cell>
          <cell r="B24" t="str">
            <v>TROPICANA ONE ARM LOVESEAT RAF</v>
          </cell>
          <cell r="C24">
            <v>2.25</v>
          </cell>
          <cell r="D24">
            <v>1.5</v>
          </cell>
          <cell r="E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F584F</v>
          </cell>
          <cell r="B25" t="str">
            <v>TROPICANA ARMLESS LOVESEAT</v>
          </cell>
          <cell r="C25">
            <v>1.75</v>
          </cell>
          <cell r="D25">
            <v>1.5</v>
          </cell>
          <cell r="E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</row>
        <row r="26">
          <cell r="A26" t="str">
            <v>F584I</v>
          </cell>
          <cell r="B26" t="str">
            <v>TROPICANA ARMLESS CHAIR</v>
          </cell>
          <cell r="C26">
            <v>1.25</v>
          </cell>
          <cell r="D26">
            <v>1</v>
          </cell>
          <cell r="E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F584JB</v>
          </cell>
          <cell r="B27" t="str">
            <v>TROPICANA BUMPER OTTOMAN</v>
          </cell>
          <cell r="C27">
            <v>0.75</v>
          </cell>
          <cell r="D27">
            <v>0.5</v>
          </cell>
          <cell r="E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</row>
        <row r="28">
          <cell r="A28" t="str">
            <v>F584JL</v>
          </cell>
          <cell r="B28" t="str">
            <v>TROPICANA JUMBO OTTOMAN</v>
          </cell>
          <cell r="C28">
            <v>1</v>
          </cell>
          <cell r="D28">
            <v>0.75</v>
          </cell>
          <cell r="E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</row>
        <row r="29">
          <cell r="A29" t="str">
            <v>F584LA</v>
          </cell>
          <cell r="B29" t="str">
            <v>TROPICANA ONE ARM SOFA</v>
          </cell>
          <cell r="C29">
            <v>2.5</v>
          </cell>
          <cell r="D29">
            <v>1.75</v>
          </cell>
          <cell r="E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</row>
        <row r="30">
          <cell r="A30" t="str">
            <v>F584LC</v>
          </cell>
          <cell r="B30" t="str">
            <v>TROPICANA ONE ARM CHAIR</v>
          </cell>
          <cell r="C30">
            <v>2</v>
          </cell>
          <cell r="D30">
            <v>1.25</v>
          </cell>
          <cell r="E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</row>
        <row r="31">
          <cell r="A31" t="str">
            <v>F584P</v>
          </cell>
          <cell r="B31" t="str">
            <v>TROPICANA SOFA SECTIONAL</v>
          </cell>
          <cell r="C31">
            <v>3</v>
          </cell>
          <cell r="D31">
            <v>2</v>
          </cell>
          <cell r="E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F584RA</v>
          </cell>
          <cell r="B32" t="str">
            <v>TROPICANA ONE ARM SOFA</v>
          </cell>
          <cell r="C32">
            <v>2.5</v>
          </cell>
          <cell r="D32">
            <v>1.75</v>
          </cell>
          <cell r="E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F584U</v>
          </cell>
          <cell r="B33" t="str">
            <v>TROPICANA LAF 1 ARM LOVESEAT</v>
          </cell>
          <cell r="C33">
            <v>2.5</v>
          </cell>
          <cell r="D33">
            <v>1.5</v>
          </cell>
          <cell r="E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</row>
        <row r="34">
          <cell r="A34" t="str">
            <v>F584U</v>
          </cell>
          <cell r="B34" t="str">
            <v>TROPICANA LAF 1 ARM SECT SOFA</v>
          </cell>
          <cell r="C34">
            <v>2.5</v>
          </cell>
          <cell r="D34">
            <v>2</v>
          </cell>
          <cell r="E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F584Y</v>
          </cell>
          <cell r="B35" t="str">
            <v>TROPICANA RAF 1 ARM SECT SOFA</v>
          </cell>
          <cell r="C35">
            <v>2.5</v>
          </cell>
          <cell r="D35">
            <v>2</v>
          </cell>
          <cell r="E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</row>
        <row r="36">
          <cell r="A36" t="str">
            <v>F598A</v>
          </cell>
          <cell r="B36" t="str">
            <v>GRACIE SOFA</v>
          </cell>
          <cell r="C36">
            <v>3.5</v>
          </cell>
          <cell r="D36">
            <v>2.75</v>
          </cell>
          <cell r="E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</row>
        <row r="37">
          <cell r="A37" t="str">
            <v>F598D</v>
          </cell>
          <cell r="B37" t="str">
            <v>GRACIE LOVESEAT</v>
          </cell>
          <cell r="C37">
            <v>3</v>
          </cell>
          <cell r="D37">
            <v>2.5</v>
          </cell>
          <cell r="E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</row>
        <row r="38">
          <cell r="A38" t="str">
            <v>F598S</v>
          </cell>
          <cell r="B38" t="str">
            <v>GRACIE CHAIR</v>
          </cell>
          <cell r="C38">
            <v>2.5</v>
          </cell>
          <cell r="D38">
            <v>2</v>
          </cell>
          <cell r="E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</row>
        <row r="39">
          <cell r="A39" t="str">
            <v>F612A</v>
          </cell>
          <cell r="B39" t="str">
            <v xml:space="preserve">BALLY SOFA </v>
          </cell>
          <cell r="C39">
            <v>3</v>
          </cell>
          <cell r="D39">
            <v>1.75</v>
          </cell>
          <cell r="E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</row>
        <row r="40">
          <cell r="A40" t="str">
            <v>F612D</v>
          </cell>
          <cell r="B40" t="str">
            <v>BALLY LOVESEAT</v>
          </cell>
          <cell r="C40">
            <v>2.5</v>
          </cell>
          <cell r="D40">
            <v>1.5</v>
          </cell>
          <cell r="E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</row>
        <row r="41">
          <cell r="A41" t="str">
            <v>F612J</v>
          </cell>
          <cell r="B41" t="str">
            <v>BALLY LARGE OTTOMAN</v>
          </cell>
          <cell r="C41">
            <v>1</v>
          </cell>
          <cell r="D41">
            <v>0.75</v>
          </cell>
          <cell r="E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</row>
        <row r="42">
          <cell r="A42" t="str">
            <v>F612S</v>
          </cell>
          <cell r="B42" t="str">
            <v>BALLY CHAIR</v>
          </cell>
          <cell r="C42">
            <v>2</v>
          </cell>
          <cell r="D42">
            <v>1.25</v>
          </cell>
          <cell r="E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</row>
        <row r="43">
          <cell r="A43" t="str">
            <v>F622CZ</v>
          </cell>
          <cell r="B43" t="str">
            <v>TROPICANA CHAISE</v>
          </cell>
          <cell r="C43">
            <v>2.75</v>
          </cell>
          <cell r="D43">
            <v>1.75</v>
          </cell>
          <cell r="E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</row>
        <row r="44">
          <cell r="A44" t="str">
            <v>F622RA</v>
          </cell>
          <cell r="B44" t="str">
            <v>TROPICANA RETURN ARM SFA</v>
          </cell>
          <cell r="C44">
            <v>2.5</v>
          </cell>
          <cell r="D44">
            <v>2</v>
          </cell>
          <cell r="E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</row>
        <row r="45">
          <cell r="A45" t="str">
            <v>F641C</v>
          </cell>
          <cell r="B45" t="str">
            <v>GRAND ISLAND ARMLESS SOFA</v>
          </cell>
          <cell r="C45">
            <v>2.25</v>
          </cell>
          <cell r="D45">
            <v>1.75</v>
          </cell>
          <cell r="E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</row>
        <row r="46">
          <cell r="A46" t="str">
            <v>F641CB</v>
          </cell>
          <cell r="B46" t="str">
            <v>GRAND ISLAND ONE ARM CHAISE</v>
          </cell>
          <cell r="C46">
            <v>3</v>
          </cell>
          <cell r="D46">
            <v>1.75</v>
          </cell>
          <cell r="E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</row>
        <row r="47">
          <cell r="A47" t="str">
            <v>F641CC</v>
          </cell>
          <cell r="B47" t="str">
            <v>GRAND ISLAND CORNER</v>
          </cell>
          <cell r="C47">
            <v>3</v>
          </cell>
          <cell r="D47">
            <v>2.25</v>
          </cell>
          <cell r="E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F641CQ</v>
          </cell>
          <cell r="B48" t="str">
            <v>GRAND ISLAND QUEEN ARMLESS SLEEPER</v>
          </cell>
          <cell r="C48">
            <v>2</v>
          </cell>
          <cell r="D48">
            <v>1</v>
          </cell>
          <cell r="E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F641CZ</v>
          </cell>
          <cell r="B49" t="str">
            <v>GRAND ISLAND LAF 1 ARM CHAISE</v>
          </cell>
          <cell r="C49">
            <v>3</v>
          </cell>
          <cell r="D49">
            <v>1.75</v>
          </cell>
          <cell r="E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</row>
        <row r="50">
          <cell r="A50" t="str">
            <v>F641E</v>
          </cell>
          <cell r="B50" t="str">
            <v>GRAND ISLAND RAF 1 ARM LOVESEAT</v>
          </cell>
          <cell r="C50">
            <v>2.25</v>
          </cell>
          <cell r="D50">
            <v>1.5</v>
          </cell>
          <cell r="E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F641F</v>
          </cell>
          <cell r="B51" t="str">
            <v>GRAND ISLAND ARMLESS LOVESEAT</v>
          </cell>
          <cell r="C51">
            <v>1.5</v>
          </cell>
          <cell r="D51">
            <v>1.5</v>
          </cell>
          <cell r="E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F641I</v>
          </cell>
          <cell r="B52" t="str">
            <v>GRAND ISLAND ARMLESS CHAIR</v>
          </cell>
          <cell r="C52">
            <v>1.25</v>
          </cell>
          <cell r="D52">
            <v>1</v>
          </cell>
          <cell r="E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F641JB</v>
          </cell>
          <cell r="B53" t="str">
            <v>GRAND ISLAND BUMPER OTTOMAN</v>
          </cell>
          <cell r="C53">
            <v>0.75</v>
          </cell>
          <cell r="D53">
            <v>0.5</v>
          </cell>
          <cell r="E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</row>
        <row r="54">
          <cell r="A54" t="str">
            <v>F641JL</v>
          </cell>
          <cell r="B54" t="str">
            <v>GRAND ISLAND OVERSIZE OTTOMAN</v>
          </cell>
          <cell r="C54">
            <v>1</v>
          </cell>
          <cell r="D54">
            <v>0.75</v>
          </cell>
          <cell r="E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F641LA</v>
          </cell>
          <cell r="B55" t="str">
            <v>GRAND ISLAND LAF ONE ARM SOFA</v>
          </cell>
          <cell r="C55">
            <v>2.5</v>
          </cell>
          <cell r="D55">
            <v>2.25</v>
          </cell>
          <cell r="E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F641LF</v>
          </cell>
          <cell r="B56" t="str">
            <v>GRAND ISLAND ONE ARM CHAIR</v>
          </cell>
          <cell r="C56">
            <v>2</v>
          </cell>
          <cell r="D56">
            <v>1.5</v>
          </cell>
          <cell r="E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F641P</v>
          </cell>
          <cell r="B57" t="str">
            <v>GRAND ISLAND SOFA SECTIONAL RETURN</v>
          </cell>
          <cell r="C57">
            <v>3.5</v>
          </cell>
          <cell r="D57">
            <v>2.5</v>
          </cell>
          <cell r="E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</row>
        <row r="58">
          <cell r="A58" t="str">
            <v>F641RA</v>
          </cell>
          <cell r="B58" t="str">
            <v>GRAND ISLAND RAF ONE ARM SOFA</v>
          </cell>
          <cell r="C58">
            <v>2.5</v>
          </cell>
          <cell r="D58">
            <v>2.25</v>
          </cell>
          <cell r="E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F641U</v>
          </cell>
          <cell r="B59" t="str">
            <v>GRAND ISLAND ONE ARM LOVESEAT</v>
          </cell>
          <cell r="C59">
            <v>2.25</v>
          </cell>
          <cell r="D59">
            <v>1.5</v>
          </cell>
          <cell r="E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</row>
        <row r="60">
          <cell r="A60" t="str">
            <v>F641Y</v>
          </cell>
          <cell r="B60" t="str">
            <v>GRAND ISLAND LAF 1 ARM SOFA SECTIONAL</v>
          </cell>
          <cell r="C60">
            <v>3.5</v>
          </cell>
          <cell r="D60">
            <v>2.5</v>
          </cell>
          <cell r="E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</row>
        <row r="61">
          <cell r="A61" t="str">
            <v>F644A</v>
          </cell>
          <cell r="B61" t="str">
            <v>VOLARE SOFA</v>
          </cell>
          <cell r="C61">
            <v>3</v>
          </cell>
          <cell r="D61">
            <v>2</v>
          </cell>
          <cell r="E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</row>
        <row r="62">
          <cell r="A62" t="str">
            <v>F644S</v>
          </cell>
          <cell r="B62" t="str">
            <v>VOLARE CHAIR</v>
          </cell>
          <cell r="C62">
            <v>3</v>
          </cell>
          <cell r="D62">
            <v>1.5</v>
          </cell>
          <cell r="E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</row>
        <row r="63">
          <cell r="A63" t="str">
            <v>F664A</v>
          </cell>
          <cell r="B63" t="str">
            <v>PENTHOUSE SOFA</v>
          </cell>
          <cell r="C63">
            <v>3.5</v>
          </cell>
          <cell r="D63">
            <v>4</v>
          </cell>
          <cell r="E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F664d</v>
          </cell>
          <cell r="B64" t="str">
            <v>PENTHOUSE LOVESEAT</v>
          </cell>
          <cell r="C64">
            <v>2.75</v>
          </cell>
          <cell r="D64">
            <v>3</v>
          </cell>
          <cell r="E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F664S</v>
          </cell>
          <cell r="B65" t="str">
            <v>PENTHOUSE CHAIR</v>
          </cell>
          <cell r="C65">
            <v>2.5</v>
          </cell>
          <cell r="D65">
            <v>2.5</v>
          </cell>
          <cell r="E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</row>
        <row r="66">
          <cell r="A66" t="str">
            <v>F667C</v>
          </cell>
          <cell r="B66" t="str">
            <v>LOLA ARMLESS SOFA</v>
          </cell>
          <cell r="C66">
            <v>2.5</v>
          </cell>
          <cell r="D66">
            <v>1.75</v>
          </cell>
          <cell r="E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F667CB</v>
          </cell>
          <cell r="B67" t="str">
            <v>LOLA RAF CHAISE</v>
          </cell>
          <cell r="C67">
            <v>3</v>
          </cell>
          <cell r="D67">
            <v>1.75</v>
          </cell>
          <cell r="E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</row>
        <row r="68">
          <cell r="A68" t="str">
            <v>F667CZ</v>
          </cell>
          <cell r="B68" t="str">
            <v>LOLA CHAISE</v>
          </cell>
          <cell r="C68">
            <v>3</v>
          </cell>
          <cell r="D68">
            <v>1.75</v>
          </cell>
          <cell r="E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</row>
        <row r="69">
          <cell r="A69" t="str">
            <v>F667F</v>
          </cell>
          <cell r="B69" t="str">
            <v>LOLA ARMLESS LOVESEAT</v>
          </cell>
          <cell r="C69">
            <v>2</v>
          </cell>
          <cell r="D69">
            <v>1.5</v>
          </cell>
          <cell r="E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</row>
        <row r="70">
          <cell r="A70" t="str">
            <v>F667JL</v>
          </cell>
          <cell r="B70" t="str">
            <v>LOLA OVERSIZED OTTOMAN</v>
          </cell>
          <cell r="C70">
            <v>1</v>
          </cell>
          <cell r="D70">
            <v>0.75</v>
          </cell>
          <cell r="E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</row>
        <row r="71">
          <cell r="A71" t="str">
            <v>F667LA</v>
          </cell>
          <cell r="B71" t="str">
            <v>LOLA ONE ARM SOFA</v>
          </cell>
          <cell r="C71">
            <v>2.5</v>
          </cell>
          <cell r="D71">
            <v>1.75</v>
          </cell>
          <cell r="E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</row>
        <row r="72">
          <cell r="A72" t="str">
            <v>F667P</v>
          </cell>
          <cell r="B72" t="str">
            <v>LOLA SECTIONALRETURN SOFA</v>
          </cell>
          <cell r="C72">
            <v>3.5</v>
          </cell>
          <cell r="D72">
            <v>1.75</v>
          </cell>
          <cell r="E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</row>
        <row r="73">
          <cell r="A73" t="str">
            <v>F667U</v>
          </cell>
          <cell r="B73" t="str">
            <v>LOLA ONE ARM LOVESEAT</v>
          </cell>
          <cell r="C73">
            <v>2.25</v>
          </cell>
          <cell r="D73">
            <v>1.75</v>
          </cell>
          <cell r="E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</row>
        <row r="74">
          <cell r="A74" t="str">
            <v>F667Y</v>
          </cell>
          <cell r="B74" t="str">
            <v>LOLA RAF SECT SOFA</v>
          </cell>
          <cell r="C74">
            <v>3.5</v>
          </cell>
          <cell r="D74">
            <v>1.75</v>
          </cell>
          <cell r="E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</row>
        <row r="75">
          <cell r="A75" t="str">
            <v>F678A</v>
          </cell>
          <cell r="B75" t="str">
            <v>CORNELL SOFA</v>
          </cell>
          <cell r="C75">
            <v>3.5</v>
          </cell>
          <cell r="D75">
            <v>2</v>
          </cell>
          <cell r="E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</row>
        <row r="76">
          <cell r="A76" t="str">
            <v>F678D</v>
          </cell>
          <cell r="B76" t="str">
            <v>CORNELL LOVESEAT</v>
          </cell>
          <cell r="C76">
            <v>3.5</v>
          </cell>
          <cell r="D76">
            <v>1.75</v>
          </cell>
          <cell r="E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</row>
        <row r="77">
          <cell r="A77" t="str">
            <v>F678N</v>
          </cell>
          <cell r="B77" t="str">
            <v>CORNELL DAYBED</v>
          </cell>
          <cell r="C77">
            <v>2.5</v>
          </cell>
          <cell r="D77">
            <v>1.5</v>
          </cell>
          <cell r="E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</row>
        <row r="78">
          <cell r="A78" t="str">
            <v>F678S</v>
          </cell>
          <cell r="B78" t="str">
            <v>CORNELL CHAIR</v>
          </cell>
          <cell r="C78">
            <v>3</v>
          </cell>
          <cell r="D78">
            <v>1.5</v>
          </cell>
          <cell r="E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</row>
        <row r="79">
          <cell r="A79" t="str">
            <v>F680A</v>
          </cell>
          <cell r="B79" t="str">
            <v>PLAYER SOFA</v>
          </cell>
          <cell r="C79">
            <v>3.25</v>
          </cell>
          <cell r="D79">
            <v>1.75</v>
          </cell>
          <cell r="E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F680J</v>
          </cell>
          <cell r="B80" t="str">
            <v>PENTHOUSE OTTOMAN</v>
          </cell>
          <cell r="C80">
            <v>0.75</v>
          </cell>
          <cell r="D80">
            <v>0.5</v>
          </cell>
          <cell r="E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F684JL</v>
          </cell>
          <cell r="B81" t="str">
            <v>BARBADOS OVERSIZED OTTOMAN</v>
          </cell>
          <cell r="C81">
            <v>1</v>
          </cell>
          <cell r="D81">
            <v>0.75</v>
          </cell>
          <cell r="E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</row>
        <row r="82">
          <cell r="A82" t="str">
            <v>F687A</v>
          </cell>
          <cell r="B82" t="str">
            <v>COOPER SOFA</v>
          </cell>
          <cell r="C82">
            <v>3.5</v>
          </cell>
          <cell r="D82">
            <v>1.75</v>
          </cell>
          <cell r="E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F687D</v>
          </cell>
          <cell r="B83" t="str">
            <v>COOPER LOVESEAT</v>
          </cell>
          <cell r="C83">
            <v>3</v>
          </cell>
          <cell r="D83">
            <v>1.5</v>
          </cell>
          <cell r="E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F687J</v>
          </cell>
          <cell r="B84" t="str">
            <v>COOPER OTTOMAN</v>
          </cell>
          <cell r="C84">
            <v>0.75</v>
          </cell>
          <cell r="D84">
            <v>0.5</v>
          </cell>
          <cell r="E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F687S</v>
          </cell>
          <cell r="B85" t="str">
            <v>COOPER CHAIR</v>
          </cell>
          <cell r="C85">
            <v>2.5</v>
          </cell>
          <cell r="D85">
            <v>1.25</v>
          </cell>
          <cell r="E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</row>
        <row r="86">
          <cell r="A86" t="str">
            <v>F688J</v>
          </cell>
          <cell r="B86" t="str">
            <v>BEL-AIR OTTOMAN</v>
          </cell>
          <cell r="C86">
            <v>0.75</v>
          </cell>
          <cell r="D86">
            <v>0.5</v>
          </cell>
          <cell r="E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F7588J</v>
          </cell>
          <cell r="B87" t="str">
            <v>GRACIE OTTOMAN</v>
          </cell>
          <cell r="C87">
            <v>0.75</v>
          </cell>
          <cell r="D87">
            <v>0.5</v>
          </cell>
          <cell r="E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</row>
        <row r="88">
          <cell r="A88" t="str">
            <v>F7588S</v>
          </cell>
          <cell r="B88" t="str">
            <v>GRACIE OCCASIONAL CHAIR</v>
          </cell>
          <cell r="C88">
            <v>3</v>
          </cell>
          <cell r="D88">
            <v>2.25</v>
          </cell>
          <cell r="E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</row>
        <row r="89">
          <cell r="A89" t="str">
            <v>SS-0385</v>
          </cell>
          <cell r="B89" t="str">
            <v>CARLISLE CHAIR</v>
          </cell>
          <cell r="C89">
            <v>2.5</v>
          </cell>
          <cell r="D89">
            <v>3.25</v>
          </cell>
          <cell r="E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</row>
        <row r="90">
          <cell r="A90" t="str">
            <v>SS-0385</v>
          </cell>
          <cell r="B90" t="str">
            <v>CARLISLE CHAIR</v>
          </cell>
          <cell r="C90">
            <v>2</v>
          </cell>
          <cell r="D90">
            <v>2</v>
          </cell>
          <cell r="E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</row>
        <row r="91">
          <cell r="A91" t="str">
            <v>SS-0387</v>
          </cell>
          <cell r="B91" t="str">
            <v>CARLISLE SOFA</v>
          </cell>
          <cell r="C91">
            <v>3.75</v>
          </cell>
          <cell r="D91">
            <v>4</v>
          </cell>
          <cell r="E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</row>
        <row r="92">
          <cell r="A92" t="str">
            <v>SS-0392</v>
          </cell>
          <cell r="B92" t="str">
            <v>GREENWICH CHAIR</v>
          </cell>
          <cell r="C92">
            <v>3</v>
          </cell>
          <cell r="D92">
            <v>3.25</v>
          </cell>
          <cell r="E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</row>
        <row r="93">
          <cell r="A93" t="str">
            <v>SS-0393</v>
          </cell>
          <cell r="B93" t="str">
            <v>GREENWICH LOVESEAT</v>
          </cell>
          <cell r="C93">
            <v>3.25</v>
          </cell>
          <cell r="D93">
            <v>3.75</v>
          </cell>
          <cell r="E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</row>
        <row r="94">
          <cell r="A94" t="str">
            <v>SS-0394</v>
          </cell>
          <cell r="B94" t="str">
            <v>GREENWICH OTTO</v>
          </cell>
          <cell r="C94">
            <v>1</v>
          </cell>
          <cell r="D94">
            <v>1</v>
          </cell>
          <cell r="E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</row>
        <row r="95">
          <cell r="A95" t="str">
            <v>SS-0395</v>
          </cell>
          <cell r="B95" t="str">
            <v>GREENWICH SOFA</v>
          </cell>
          <cell r="C95">
            <v>3.5</v>
          </cell>
          <cell r="D95">
            <v>4</v>
          </cell>
          <cell r="E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</row>
        <row r="96">
          <cell r="A96" t="str">
            <v>SS-0416</v>
          </cell>
          <cell r="B96" t="str">
            <v>PB GRAND SOFA</v>
          </cell>
          <cell r="C96">
            <v>3.5</v>
          </cell>
          <cell r="D96">
            <v>2.5</v>
          </cell>
          <cell r="E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</row>
        <row r="97">
          <cell r="A97" t="str">
            <v>SS-0423</v>
          </cell>
          <cell r="B97" t="str">
            <v>PB REGULAR CHAIR</v>
          </cell>
          <cell r="C97">
            <v>2.5</v>
          </cell>
          <cell r="D97">
            <v>2</v>
          </cell>
          <cell r="E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</row>
        <row r="98">
          <cell r="A98" t="str">
            <v>SS-0425</v>
          </cell>
          <cell r="B98" t="str">
            <v>PB GRAND CHAIR</v>
          </cell>
          <cell r="C98">
            <v>2.5</v>
          </cell>
          <cell r="D98">
            <v>2</v>
          </cell>
          <cell r="E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</row>
        <row r="99">
          <cell r="A99" t="str">
            <v>SS-0426</v>
          </cell>
          <cell r="B99" t="str">
            <v>PBC GRAND SOFA</v>
          </cell>
          <cell r="C99">
            <v>3.5</v>
          </cell>
          <cell r="D99">
            <v>2.5</v>
          </cell>
          <cell r="E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</row>
        <row r="100">
          <cell r="A100" t="str">
            <v>SS-0437</v>
          </cell>
          <cell r="B100" t="str">
            <v>PB REGULAR SOFA</v>
          </cell>
          <cell r="C100">
            <v>3</v>
          </cell>
          <cell r="D100">
            <v>2.25</v>
          </cell>
          <cell r="E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</row>
        <row r="101">
          <cell r="A101" t="str">
            <v>SS-0462</v>
          </cell>
          <cell r="B101" t="str">
            <v>PEARCE ARMLESS LOVESEAT</v>
          </cell>
          <cell r="C101">
            <v>2.5</v>
          </cell>
          <cell r="D101">
            <v>2.25</v>
          </cell>
          <cell r="E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</row>
        <row r="102">
          <cell r="A102" t="str">
            <v>SS-0464</v>
          </cell>
          <cell r="B102" t="str">
            <v>PEARCE ONE ARM CHAIR</v>
          </cell>
          <cell r="C102">
            <v>2.5</v>
          </cell>
          <cell r="D102">
            <v>2.5</v>
          </cell>
          <cell r="E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</row>
        <row r="103">
          <cell r="A103" t="str">
            <v>SS-0465</v>
          </cell>
          <cell r="B103" t="str">
            <v>PEARCE CHAISE</v>
          </cell>
          <cell r="C103">
            <v>3</v>
          </cell>
          <cell r="D103">
            <v>2.5</v>
          </cell>
          <cell r="E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SS-0466</v>
          </cell>
          <cell r="B104" t="str">
            <v>PEARCE LAF LOVESEAT</v>
          </cell>
          <cell r="C104">
            <v>3</v>
          </cell>
          <cell r="D104">
            <v>2.75</v>
          </cell>
          <cell r="E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</row>
        <row r="105">
          <cell r="A105" t="str">
            <v>SS-0468</v>
          </cell>
          <cell r="B105" t="str">
            <v>PEARCE LAF RETURN SOFA</v>
          </cell>
          <cell r="C105">
            <v>4.5</v>
          </cell>
          <cell r="D105">
            <v>4</v>
          </cell>
          <cell r="E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</row>
        <row r="106">
          <cell r="A106" t="str">
            <v>SS-0473</v>
          </cell>
          <cell r="B106" t="str">
            <v>PEARCE RAF LOVESEAT</v>
          </cell>
          <cell r="C106">
            <v>3</v>
          </cell>
          <cell r="D106">
            <v>2.5</v>
          </cell>
          <cell r="E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</row>
        <row r="107">
          <cell r="A107" t="str">
            <v>SS-0475</v>
          </cell>
          <cell r="B107" t="str">
            <v>PEARCE RAF RETURN SOFA</v>
          </cell>
          <cell r="C107">
            <v>4.5</v>
          </cell>
          <cell r="D107">
            <v>4</v>
          </cell>
          <cell r="E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</row>
        <row r="108">
          <cell r="A108" t="str">
            <v>SS-0478</v>
          </cell>
          <cell r="B108" t="str">
            <v>PEARCE WEDGE</v>
          </cell>
          <cell r="C108">
            <v>3.5</v>
          </cell>
          <cell r="D108">
            <v>3</v>
          </cell>
          <cell r="E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</row>
        <row r="109">
          <cell r="A109" t="str">
            <v>SS-0479</v>
          </cell>
          <cell r="B109" t="str">
            <v>RALEIGH QUEEN HDBD</v>
          </cell>
          <cell r="C109">
            <v>2.25</v>
          </cell>
          <cell r="D109">
            <v>2</v>
          </cell>
          <cell r="E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</row>
        <row r="110">
          <cell r="A110" t="str">
            <v>SS-0481</v>
          </cell>
          <cell r="B110" t="str">
            <v>SEABURY ARMLESS CHAIR</v>
          </cell>
          <cell r="C110">
            <v>1.5</v>
          </cell>
          <cell r="D110">
            <v>1.5</v>
          </cell>
          <cell r="E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</row>
        <row r="111">
          <cell r="A111" t="str">
            <v>SS-0482</v>
          </cell>
          <cell r="B111" t="str">
            <v>SEABURY ARMLESS LOVESEAT</v>
          </cell>
          <cell r="C111">
            <v>1.75</v>
          </cell>
          <cell r="D111">
            <v>1.5</v>
          </cell>
          <cell r="E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</row>
        <row r="112">
          <cell r="A112" t="str">
            <v>SS-0482</v>
          </cell>
          <cell r="B112" t="str">
            <v>SEABURY ARMLESS LOVESEAT</v>
          </cell>
          <cell r="C112">
            <v>2</v>
          </cell>
          <cell r="D112">
            <v>2</v>
          </cell>
          <cell r="E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</row>
        <row r="113">
          <cell r="A113" t="str">
            <v>SS-0483</v>
          </cell>
          <cell r="B113" t="str">
            <v>SEABURY CHAIR</v>
          </cell>
          <cell r="C113">
            <v>2.75</v>
          </cell>
          <cell r="D113">
            <v>2.75</v>
          </cell>
          <cell r="E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</row>
        <row r="114">
          <cell r="A114" t="str">
            <v>SS-0484</v>
          </cell>
          <cell r="B114" t="str">
            <v>SEABURY ONE ARM CHAIR</v>
          </cell>
          <cell r="C114">
            <v>2</v>
          </cell>
          <cell r="D114">
            <v>2</v>
          </cell>
          <cell r="E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</row>
        <row r="115">
          <cell r="A115" t="str">
            <v>SS-0485</v>
          </cell>
          <cell r="B115" t="str">
            <v>SEABURY ONE ARM CHAISE</v>
          </cell>
          <cell r="C115">
            <v>2.5</v>
          </cell>
          <cell r="D115">
            <v>2.5</v>
          </cell>
          <cell r="E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</row>
        <row r="116">
          <cell r="A116" t="str">
            <v>SS-0486</v>
          </cell>
          <cell r="B116" t="str">
            <v>SEABURY ONE ARM LOVESEAT</v>
          </cell>
          <cell r="C116">
            <v>2.5</v>
          </cell>
          <cell r="D116">
            <v>2.5</v>
          </cell>
          <cell r="E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</row>
        <row r="117">
          <cell r="A117" t="str">
            <v>SS-0487</v>
          </cell>
          <cell r="B117" t="str">
            <v>SEABURY RETURN ARM SOFA</v>
          </cell>
          <cell r="C117">
            <v>3.25</v>
          </cell>
          <cell r="D117">
            <v>3</v>
          </cell>
          <cell r="E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</row>
        <row r="118">
          <cell r="A118" t="str">
            <v>SS-0488</v>
          </cell>
          <cell r="B118" t="str">
            <v>SEABURY LONG SOFA</v>
          </cell>
          <cell r="C118">
            <v>3.5</v>
          </cell>
          <cell r="D118">
            <v>3.75</v>
          </cell>
          <cell r="E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</row>
        <row r="119">
          <cell r="A119" t="str">
            <v>SS-0489</v>
          </cell>
          <cell r="B119" t="str">
            <v>SEABURY OTTO</v>
          </cell>
          <cell r="C119">
            <v>1</v>
          </cell>
          <cell r="D119">
            <v>1</v>
          </cell>
          <cell r="E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</row>
        <row r="120">
          <cell r="A120" t="str">
            <v>SS-0490</v>
          </cell>
          <cell r="B120" t="str">
            <v>SEABURY RAF CHAIR</v>
          </cell>
          <cell r="C120">
            <v>2.75</v>
          </cell>
          <cell r="D120">
            <v>2.75</v>
          </cell>
          <cell r="E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</row>
        <row r="121">
          <cell r="A121" t="str">
            <v>SS-0491</v>
          </cell>
          <cell r="B121" t="str">
            <v>SEABURY RAF CHAISE</v>
          </cell>
          <cell r="C121">
            <v>2.5</v>
          </cell>
          <cell r="D121">
            <v>2.5</v>
          </cell>
          <cell r="E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</row>
        <row r="122">
          <cell r="A122" t="str">
            <v>SS-0492</v>
          </cell>
          <cell r="B122" t="str">
            <v>SEABURY RAF LOVESEAT</v>
          </cell>
          <cell r="C122">
            <v>2.5</v>
          </cell>
          <cell r="D122">
            <v>2.5</v>
          </cell>
          <cell r="E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</row>
        <row r="123">
          <cell r="A123" t="str">
            <v>SS-0494</v>
          </cell>
          <cell r="B123" t="str">
            <v>SEABURY SOFA</v>
          </cell>
          <cell r="C123">
            <v>3</v>
          </cell>
          <cell r="D123">
            <v>3.75</v>
          </cell>
          <cell r="E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</row>
        <row r="124">
          <cell r="A124" t="str">
            <v>SS-0495</v>
          </cell>
          <cell r="B124" t="str">
            <v>SEABURY SLEEPER</v>
          </cell>
          <cell r="C124">
            <v>2.5</v>
          </cell>
          <cell r="D124">
            <v>2</v>
          </cell>
          <cell r="E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</row>
        <row r="125">
          <cell r="A125" t="str">
            <v>SS-0496</v>
          </cell>
          <cell r="B125" t="str">
            <v>SEABURY WEDGE</v>
          </cell>
          <cell r="C125">
            <v>2.5</v>
          </cell>
          <cell r="D125">
            <v>2.25</v>
          </cell>
          <cell r="E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</row>
        <row r="126">
          <cell r="A126" t="str">
            <v>SS-0941</v>
          </cell>
          <cell r="B126" t="str">
            <v>CARLISLE APT SOFA</v>
          </cell>
          <cell r="C126">
            <v>3.75</v>
          </cell>
          <cell r="D126">
            <v>4</v>
          </cell>
          <cell r="E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</row>
        <row r="127">
          <cell r="A127" t="str">
            <v>SS-0984</v>
          </cell>
          <cell r="B127" t="str">
            <v>DIAMOND FULL HDBD</v>
          </cell>
          <cell r="C127">
            <v>1.75</v>
          </cell>
          <cell r="D127">
            <v>1.3</v>
          </cell>
          <cell r="E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</row>
        <row r="128">
          <cell r="A128" t="str">
            <v>SS-0985</v>
          </cell>
          <cell r="B128" t="str">
            <v>DIAMOND KING HDBD</v>
          </cell>
          <cell r="C128">
            <v>2</v>
          </cell>
          <cell r="D128">
            <v>1.4</v>
          </cell>
          <cell r="E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</row>
        <row r="129">
          <cell r="A129" t="str">
            <v>SS-0986</v>
          </cell>
          <cell r="B129" t="str">
            <v>DIAMOND QUEEN HDBD</v>
          </cell>
          <cell r="C129">
            <v>2</v>
          </cell>
          <cell r="D129">
            <v>1.3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</row>
        <row r="130">
          <cell r="A130" t="str">
            <v>SS-0987</v>
          </cell>
          <cell r="B130" t="str">
            <v>DIAMOND TWIN</v>
          </cell>
          <cell r="C130">
            <v>1.5</v>
          </cell>
          <cell r="D130">
            <v>1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</row>
        <row r="131">
          <cell r="A131" t="str">
            <v>SS-0988</v>
          </cell>
          <cell r="B131" t="str">
            <v>GRID FULL HDBD</v>
          </cell>
          <cell r="C131">
            <v>1.75</v>
          </cell>
          <cell r="D131">
            <v>1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</row>
        <row r="132">
          <cell r="A132" t="str">
            <v>SS-0989</v>
          </cell>
          <cell r="B132" t="str">
            <v>GRID KING HDBD</v>
          </cell>
          <cell r="C132">
            <v>2</v>
          </cell>
          <cell r="D132">
            <v>1.25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</row>
        <row r="133">
          <cell r="A133" t="str">
            <v>SS-0990</v>
          </cell>
          <cell r="B133" t="str">
            <v>GRID QUEEN HDBD</v>
          </cell>
          <cell r="C133">
            <v>2</v>
          </cell>
          <cell r="D133">
            <v>1.25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</row>
        <row r="134">
          <cell r="A134" t="str">
            <v>SS-0991</v>
          </cell>
          <cell r="B134" t="str">
            <v>GRID TWIN HDBD</v>
          </cell>
          <cell r="C134">
            <v>1.5</v>
          </cell>
          <cell r="D134">
            <v>1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</row>
        <row r="135">
          <cell r="A135" t="str">
            <v>SS-0993</v>
          </cell>
          <cell r="B135" t="str">
            <v>NAILHEAD FULL HDBD</v>
          </cell>
          <cell r="C135">
            <v>1.75</v>
          </cell>
          <cell r="D135">
            <v>1.3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</row>
        <row r="136">
          <cell r="A136" t="str">
            <v>SS-0994</v>
          </cell>
          <cell r="B136" t="str">
            <v>NAILHEAD KING HDBD</v>
          </cell>
          <cell r="C136">
            <v>2</v>
          </cell>
          <cell r="D136">
            <v>1.5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</row>
        <row r="137">
          <cell r="A137" t="str">
            <v>SS-0995</v>
          </cell>
          <cell r="B137" t="str">
            <v>NAILHEAD QUEEN HDBD</v>
          </cell>
          <cell r="C137">
            <v>2</v>
          </cell>
          <cell r="D137">
            <v>1.5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</row>
        <row r="138">
          <cell r="A138" t="str">
            <v>SS-0996</v>
          </cell>
          <cell r="B138" t="str">
            <v>NAILHEAD TWIN HDBD</v>
          </cell>
          <cell r="C138">
            <v>1.5</v>
          </cell>
          <cell r="D138">
            <v>1.3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</row>
        <row r="139">
          <cell r="A139" t="str">
            <v>SS-0997</v>
          </cell>
          <cell r="B139" t="str">
            <v>RALEIGH COMPLETE KING FOOTBOARD</v>
          </cell>
          <cell r="C139">
            <v>1.5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</row>
        <row r="140">
          <cell r="A140" t="str">
            <v>SS-0998</v>
          </cell>
          <cell r="B140" t="str">
            <v>RALEIGH  FULL FOOTBOARD</v>
          </cell>
          <cell r="C140">
            <v>1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</row>
        <row r="141">
          <cell r="A141" t="str">
            <v>SS-0999</v>
          </cell>
          <cell r="B141" t="str">
            <v>RALEIGH COMPLETE KING FOOTBOARD</v>
          </cell>
          <cell r="C141">
            <v>1.5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</row>
        <row r="142">
          <cell r="A142" t="str">
            <v>SS-1000</v>
          </cell>
          <cell r="B142" t="str">
            <v>RALEIGH QUEEN FOOTBOARD</v>
          </cell>
          <cell r="C142">
            <v>1.1000000000000001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</row>
        <row r="143">
          <cell r="A143" t="str">
            <v>SS-1001</v>
          </cell>
          <cell r="B143" t="str">
            <v>RALEIGH COMP CAL KING HDBD</v>
          </cell>
          <cell r="C143">
            <v>2.5</v>
          </cell>
          <cell r="D143">
            <v>2.5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</row>
        <row r="144">
          <cell r="A144" t="str">
            <v>SS-1002</v>
          </cell>
          <cell r="B144" t="str">
            <v>RALEIGH COMPLETE FULL HEADBOARD</v>
          </cell>
          <cell r="C144">
            <v>2.15</v>
          </cell>
          <cell r="D144">
            <v>1.85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</row>
        <row r="145">
          <cell r="A145" t="str">
            <v>SS-1003</v>
          </cell>
          <cell r="B145" t="str">
            <v>RALEIGH COMPLETE KING HEADBOARD</v>
          </cell>
          <cell r="C145">
            <v>2.5</v>
          </cell>
          <cell r="D145">
            <v>2.5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</row>
        <row r="146">
          <cell r="A146" t="str">
            <v>SS-1004</v>
          </cell>
          <cell r="B146" t="str">
            <v>RALEIGH COMPLETE QUEEN HDBD</v>
          </cell>
          <cell r="C146">
            <v>2.25</v>
          </cell>
          <cell r="D146">
            <v>2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</row>
        <row r="147">
          <cell r="A147" t="str">
            <v>SS-1004</v>
          </cell>
          <cell r="B147" t="str">
            <v>RALEIGH COMPLETE QUEEN HEADBOARD</v>
          </cell>
          <cell r="C147">
            <v>2.25</v>
          </cell>
          <cell r="D147">
            <v>2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</row>
        <row r="148">
          <cell r="A148" t="str">
            <v>SS-1006</v>
          </cell>
          <cell r="B148" t="str">
            <v>RALEIGH SQUARE FULL HDBD</v>
          </cell>
          <cell r="C148">
            <v>1.75</v>
          </cell>
          <cell r="D148">
            <v>1.5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</row>
        <row r="149">
          <cell r="A149" t="str">
            <v>SS-1007</v>
          </cell>
          <cell r="B149" t="str">
            <v>RALEIGH SQUARE KING HDBD</v>
          </cell>
          <cell r="C149">
            <v>2.25</v>
          </cell>
          <cell r="D149">
            <v>2.5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</row>
        <row r="150">
          <cell r="A150" t="str">
            <v>SS-1008</v>
          </cell>
          <cell r="B150" t="str">
            <v>RALEIGH SQUARE QUEEN HDBD</v>
          </cell>
          <cell r="C150">
            <v>2</v>
          </cell>
          <cell r="D150">
            <v>2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</row>
        <row r="151">
          <cell r="A151" t="str">
            <v>SS-1013</v>
          </cell>
          <cell r="B151" t="str">
            <v>RALEIGH SQUARE COMP CAL KING HDBD</v>
          </cell>
          <cell r="C151">
            <v>2.25</v>
          </cell>
          <cell r="D151">
            <v>2.5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</row>
        <row r="152">
          <cell r="A152" t="str">
            <v>SS-1014</v>
          </cell>
          <cell r="B152" t="str">
            <v>RALEIGH SQUARE COMP FULL HDBD</v>
          </cell>
          <cell r="C152">
            <v>1.75</v>
          </cell>
          <cell r="D152">
            <v>1.5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</row>
        <row r="153">
          <cell r="A153" t="str">
            <v>SS-1015</v>
          </cell>
          <cell r="B153" t="str">
            <v>RALEIGH SQUARE COMP QUEEN HDBD</v>
          </cell>
          <cell r="C153">
            <v>2</v>
          </cell>
          <cell r="D153">
            <v>2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</row>
        <row r="154">
          <cell r="A154" t="str">
            <v>SS-1016</v>
          </cell>
          <cell r="B154" t="str">
            <v>RALEIGH SQUARE COMPLETE QUEEN HEADBOARD</v>
          </cell>
          <cell r="C154">
            <v>2</v>
          </cell>
          <cell r="D154">
            <v>2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</row>
        <row r="155">
          <cell r="A155" t="str">
            <v>SS-1017</v>
          </cell>
          <cell r="B155" t="str">
            <v>RALEIGH CAL KING</v>
          </cell>
          <cell r="C155">
            <v>2.5</v>
          </cell>
          <cell r="D155">
            <v>2.5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</row>
        <row r="156">
          <cell r="A156" t="str">
            <v>SS-1018</v>
          </cell>
          <cell r="B156" t="str">
            <v>RALEIGH FULL HDBD</v>
          </cell>
          <cell r="C156">
            <v>2.15</v>
          </cell>
          <cell r="D156">
            <v>1.85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</row>
        <row r="157">
          <cell r="A157" t="str">
            <v>SS-1019</v>
          </cell>
          <cell r="B157" t="str">
            <v>RALEIGH KING HDBD</v>
          </cell>
          <cell r="C157">
            <v>2.5</v>
          </cell>
          <cell r="D157">
            <v>2.5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</row>
        <row r="158">
          <cell r="A158" t="str">
            <v>SS-1020</v>
          </cell>
          <cell r="B158" t="str">
            <v>SCROLL FULL HDBD</v>
          </cell>
          <cell r="C158">
            <v>1.8</v>
          </cell>
          <cell r="D158">
            <v>1.5</v>
          </cell>
          <cell r="E158">
            <v>0</v>
          </cell>
          <cell r="F158">
            <v>0</v>
          </cell>
          <cell r="G158">
            <v>0</v>
          </cell>
        </row>
        <row r="159">
          <cell r="A159" t="str">
            <v>SS-1021</v>
          </cell>
          <cell r="B159" t="str">
            <v>SCROLL KING HDBD</v>
          </cell>
          <cell r="C159">
            <v>2.5</v>
          </cell>
          <cell r="D159">
            <v>2</v>
          </cell>
          <cell r="E159">
            <v>0</v>
          </cell>
          <cell r="F159">
            <v>0</v>
          </cell>
          <cell r="G159">
            <v>0</v>
          </cell>
        </row>
        <row r="160">
          <cell r="A160" t="str">
            <v>SS-1022</v>
          </cell>
          <cell r="B160" t="str">
            <v>SCROLL QUEEN HDBD</v>
          </cell>
          <cell r="C160">
            <v>2.25</v>
          </cell>
          <cell r="D160">
            <v>1.75</v>
          </cell>
          <cell r="E160">
            <v>0</v>
          </cell>
          <cell r="F160">
            <v>0</v>
          </cell>
          <cell r="G160">
            <v>0</v>
          </cell>
        </row>
        <row r="161">
          <cell r="A161" t="str">
            <v>SS-1023</v>
          </cell>
          <cell r="B161" t="str">
            <v>SCROLL TWIN HDBD</v>
          </cell>
          <cell r="C161">
            <v>1.75</v>
          </cell>
          <cell r="D161">
            <v>1.5</v>
          </cell>
          <cell r="E161">
            <v>0</v>
          </cell>
          <cell r="F161">
            <v>0</v>
          </cell>
          <cell r="G161">
            <v>0</v>
          </cell>
        </row>
        <row r="162">
          <cell r="A162" t="str">
            <v>SS-1269</v>
          </cell>
          <cell r="B162" t="str">
            <v>STEWART SOFA</v>
          </cell>
          <cell r="C162">
            <v>3</v>
          </cell>
          <cell r="D162">
            <v>3</v>
          </cell>
          <cell r="E162">
            <v>0</v>
          </cell>
          <cell r="F162">
            <v>0</v>
          </cell>
          <cell r="G162">
            <v>0</v>
          </cell>
        </row>
        <row r="163">
          <cell r="A163" t="str">
            <v>SS-1282</v>
          </cell>
          <cell r="B163" t="str">
            <v>LANDON CHAIR</v>
          </cell>
          <cell r="C163">
            <v>2</v>
          </cell>
          <cell r="D163">
            <v>2</v>
          </cell>
          <cell r="E163">
            <v>0</v>
          </cell>
          <cell r="F163">
            <v>0</v>
          </cell>
          <cell r="G163">
            <v>0</v>
          </cell>
        </row>
        <row r="164">
          <cell r="A164" t="str">
            <v>SS-1283</v>
          </cell>
          <cell r="B164" t="str">
            <v>LANDON SOFA</v>
          </cell>
          <cell r="C164">
            <v>3</v>
          </cell>
          <cell r="D164">
            <v>3</v>
          </cell>
          <cell r="E164">
            <v>0</v>
          </cell>
          <cell r="F164">
            <v>0</v>
          </cell>
          <cell r="G164">
            <v>0</v>
          </cell>
        </row>
        <row r="165">
          <cell r="A165" t="str">
            <v>SS-1288</v>
          </cell>
          <cell r="B165" t="str">
            <v>LANDON OTTOMAN</v>
          </cell>
          <cell r="C165">
            <v>1</v>
          </cell>
          <cell r="D165">
            <v>0.5</v>
          </cell>
          <cell r="E165">
            <v>0</v>
          </cell>
          <cell r="F165">
            <v>0</v>
          </cell>
          <cell r="G165">
            <v>0</v>
          </cell>
        </row>
        <row r="166">
          <cell r="A166" t="str">
            <v>SS-1289</v>
          </cell>
          <cell r="B166" t="str">
            <v>CARLISLE UPH OTTOMAN</v>
          </cell>
          <cell r="C166">
            <v>0.75</v>
          </cell>
          <cell r="D166">
            <v>0.5</v>
          </cell>
          <cell r="E166">
            <v>0</v>
          </cell>
          <cell r="F166">
            <v>0</v>
          </cell>
          <cell r="G166">
            <v>0</v>
          </cell>
        </row>
        <row r="167">
          <cell r="A167" t="str">
            <v>SS-1411</v>
          </cell>
          <cell r="B167" t="str">
            <v>TALL GRID TWIN HEADBOARD</v>
          </cell>
          <cell r="C167">
            <v>1.5</v>
          </cell>
          <cell r="D167">
            <v>1</v>
          </cell>
          <cell r="E167">
            <v>0</v>
          </cell>
          <cell r="F167">
            <v>0</v>
          </cell>
          <cell r="G167">
            <v>0</v>
          </cell>
        </row>
        <row r="168">
          <cell r="A168" t="str">
            <v>SS-1412</v>
          </cell>
          <cell r="B168" t="str">
            <v>TALL GRID FULL HDBD</v>
          </cell>
          <cell r="C168">
            <v>1.75</v>
          </cell>
          <cell r="D168">
            <v>1</v>
          </cell>
          <cell r="E168">
            <v>0</v>
          </cell>
          <cell r="F168">
            <v>0</v>
          </cell>
          <cell r="G168">
            <v>0</v>
          </cell>
        </row>
        <row r="169">
          <cell r="A169" t="str">
            <v>SS-1413</v>
          </cell>
          <cell r="B169" t="str">
            <v>TALL GRID QUEEN HEADBOARD</v>
          </cell>
          <cell r="C169">
            <v>2</v>
          </cell>
          <cell r="D169">
            <v>1.25</v>
          </cell>
          <cell r="E169">
            <v>0</v>
          </cell>
          <cell r="F169">
            <v>0</v>
          </cell>
          <cell r="G169">
            <v>0</v>
          </cell>
        </row>
        <row r="170">
          <cell r="A170" t="str">
            <v>SS-1414</v>
          </cell>
          <cell r="B170" t="str">
            <v>TALL GRID KING HEADBOARD</v>
          </cell>
          <cell r="C170">
            <v>2</v>
          </cell>
          <cell r="D170">
            <v>1.25</v>
          </cell>
          <cell r="E170">
            <v>0</v>
          </cell>
          <cell r="F170">
            <v>0</v>
          </cell>
          <cell r="G170">
            <v>0</v>
          </cell>
        </row>
        <row r="171">
          <cell r="A171" t="str">
            <v>SS-1415</v>
          </cell>
          <cell r="B171" t="str">
            <v>TALL NAILHEAD TWIN HEADBOARD</v>
          </cell>
          <cell r="C171">
            <v>1.5</v>
          </cell>
          <cell r="D171">
            <v>1.3</v>
          </cell>
          <cell r="E171">
            <v>0</v>
          </cell>
          <cell r="F171">
            <v>0</v>
          </cell>
          <cell r="G171">
            <v>0</v>
          </cell>
        </row>
        <row r="172">
          <cell r="A172" t="str">
            <v>SS-1416</v>
          </cell>
          <cell r="B172" t="str">
            <v>TALL NAILHEAD FULL HDBD</v>
          </cell>
          <cell r="C172">
            <v>1.75</v>
          </cell>
          <cell r="D172">
            <v>1.3</v>
          </cell>
          <cell r="E172">
            <v>0</v>
          </cell>
          <cell r="F172">
            <v>0</v>
          </cell>
          <cell r="G172">
            <v>0</v>
          </cell>
        </row>
        <row r="173">
          <cell r="A173" t="str">
            <v>SS-1417</v>
          </cell>
          <cell r="B173" t="str">
            <v>TALL NAILHEAD QUEEN HEADBOARD</v>
          </cell>
          <cell r="C173">
            <v>2</v>
          </cell>
          <cell r="D173">
            <v>1.25</v>
          </cell>
          <cell r="E173">
            <v>0</v>
          </cell>
          <cell r="F173">
            <v>0</v>
          </cell>
          <cell r="G173">
            <v>0</v>
          </cell>
        </row>
        <row r="174">
          <cell r="A174" t="str">
            <v>SS-1418</v>
          </cell>
          <cell r="B174" t="str">
            <v>TALL NAILHEAD KING HEADBOARD</v>
          </cell>
          <cell r="C174">
            <v>2</v>
          </cell>
          <cell r="D174">
            <v>1.5</v>
          </cell>
          <cell r="E174">
            <v>0</v>
          </cell>
          <cell r="F174">
            <v>0</v>
          </cell>
          <cell r="G174">
            <v>0</v>
          </cell>
        </row>
        <row r="175">
          <cell r="A175" t="str">
            <v>SS-1435</v>
          </cell>
          <cell r="B175" t="str">
            <v>STEWART ALS CHAIR</v>
          </cell>
          <cell r="C175">
            <v>2</v>
          </cell>
          <cell r="D175">
            <v>2</v>
          </cell>
          <cell r="E175">
            <v>0</v>
          </cell>
          <cell r="F175">
            <v>0</v>
          </cell>
          <cell r="G175">
            <v>0</v>
          </cell>
        </row>
        <row r="176">
          <cell r="A176" t="str">
            <v>SS-1436</v>
          </cell>
          <cell r="B176" t="str">
            <v>STEWART OTTOMAN</v>
          </cell>
          <cell r="C176">
            <v>1</v>
          </cell>
          <cell r="D176">
            <v>1</v>
          </cell>
          <cell r="E176">
            <v>0</v>
          </cell>
          <cell r="F176">
            <v>0</v>
          </cell>
          <cell r="G176">
            <v>0</v>
          </cell>
        </row>
        <row r="177">
          <cell r="A177" t="str">
            <v>SS-1494</v>
          </cell>
          <cell r="B177" t="str">
            <v>PBK CAMEL TWIN HEADBOARD</v>
          </cell>
          <cell r="C177">
            <v>2</v>
          </cell>
          <cell r="D177">
            <v>1.75</v>
          </cell>
          <cell r="E177">
            <v>0</v>
          </cell>
          <cell r="F177">
            <v>0</v>
          </cell>
          <cell r="G177">
            <v>0</v>
          </cell>
        </row>
        <row r="178">
          <cell r="A178" t="str">
            <v>SS-1580</v>
          </cell>
          <cell r="B178" t="str">
            <v>PBK FOOTBOARD TWIN</v>
          </cell>
          <cell r="C178">
            <v>1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</row>
        <row r="179">
          <cell r="A179" t="str">
            <v>SS-1600</v>
          </cell>
          <cell r="B179" t="str">
            <v>PBK CAMEL FULL HEADBOARD</v>
          </cell>
          <cell r="C179">
            <v>2.15</v>
          </cell>
          <cell r="D179">
            <v>1.85</v>
          </cell>
          <cell r="E179">
            <v>0</v>
          </cell>
          <cell r="F179">
            <v>0</v>
          </cell>
          <cell r="G179">
            <v>0</v>
          </cell>
        </row>
        <row r="180">
          <cell r="A180" t="str">
            <v>SS-1602</v>
          </cell>
          <cell r="B180" t="str">
            <v>PBK FOOTBOARD FULL</v>
          </cell>
          <cell r="C180">
            <v>1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</row>
        <row r="181">
          <cell r="A181" t="str">
            <v>TEMP001</v>
          </cell>
          <cell r="B181" t="str">
            <v>PASADENA ONE ARM LOVESEAT</v>
          </cell>
          <cell r="C181">
            <v>2.25</v>
          </cell>
          <cell r="D181">
            <v>1.75</v>
          </cell>
          <cell r="E181">
            <v>0</v>
          </cell>
          <cell r="F181">
            <v>0</v>
          </cell>
          <cell r="G181">
            <v>0</v>
          </cell>
        </row>
        <row r="182">
          <cell r="A182" t="str">
            <v>V-100</v>
          </cell>
          <cell r="B182" t="str">
            <v>601D SOFA</v>
          </cell>
          <cell r="C182">
            <v>3.25</v>
          </cell>
          <cell r="D182">
            <v>11.5</v>
          </cell>
          <cell r="E182">
            <v>0</v>
          </cell>
          <cell r="F182">
            <v>0</v>
          </cell>
          <cell r="G182">
            <v>0</v>
          </cell>
        </row>
        <row r="183">
          <cell r="A183" t="str">
            <v>V-101</v>
          </cell>
          <cell r="B183" t="str">
            <v>601E CHAIR</v>
          </cell>
          <cell r="C183">
            <v>2.75</v>
          </cell>
          <cell r="D183">
            <v>8.5</v>
          </cell>
          <cell r="E183">
            <v>0</v>
          </cell>
          <cell r="F183">
            <v>0</v>
          </cell>
          <cell r="G183">
            <v>0</v>
          </cell>
        </row>
        <row r="184">
          <cell r="A184" t="str">
            <v>V-200</v>
          </cell>
          <cell r="B184" t="str">
            <v>600D SOFA</v>
          </cell>
          <cell r="C184">
            <v>3</v>
          </cell>
          <cell r="D184">
            <v>11.5</v>
          </cell>
          <cell r="E184">
            <v>0</v>
          </cell>
          <cell r="F184">
            <v>0</v>
          </cell>
          <cell r="G184">
            <v>0</v>
          </cell>
        </row>
        <row r="185">
          <cell r="A185" t="str">
            <v>V-201</v>
          </cell>
          <cell r="B185" t="str">
            <v>600E CHAIR</v>
          </cell>
          <cell r="C185">
            <v>2.5</v>
          </cell>
          <cell r="D185">
            <v>8</v>
          </cell>
          <cell r="E185">
            <v>0</v>
          </cell>
          <cell r="F185">
            <v>0</v>
          </cell>
          <cell r="G185">
            <v>0</v>
          </cell>
        </row>
        <row r="186">
          <cell r="A186" t="str">
            <v>V-202</v>
          </cell>
          <cell r="B186" t="str">
            <v>600A LOVESEAT</v>
          </cell>
          <cell r="C186">
            <v>2.75</v>
          </cell>
          <cell r="D186">
            <v>8.5</v>
          </cell>
          <cell r="E186">
            <v>0</v>
          </cell>
          <cell r="F186">
            <v>0</v>
          </cell>
          <cell r="G186">
            <v>0</v>
          </cell>
        </row>
        <row r="187">
          <cell r="A187" t="str">
            <v>V-203</v>
          </cell>
          <cell r="B187" t="str">
            <v>600Z SLEEPER</v>
          </cell>
          <cell r="C187">
            <v>1.5</v>
          </cell>
          <cell r="D187">
            <v>1.75</v>
          </cell>
          <cell r="E187">
            <v>0</v>
          </cell>
          <cell r="F187">
            <v>0</v>
          </cell>
          <cell r="G187">
            <v>0</v>
          </cell>
        </row>
        <row r="188">
          <cell r="A188" t="str">
            <v>V-300</v>
          </cell>
          <cell r="B188" t="str">
            <v>603 D SOFA</v>
          </cell>
          <cell r="C188">
            <v>3.5</v>
          </cell>
          <cell r="D188">
            <v>11.5</v>
          </cell>
          <cell r="E188">
            <v>0</v>
          </cell>
          <cell r="F188">
            <v>0</v>
          </cell>
          <cell r="G188">
            <v>0</v>
          </cell>
        </row>
        <row r="189">
          <cell r="A189" t="str">
            <v>V-304</v>
          </cell>
          <cell r="B189" t="str">
            <v>C18D SOFA</v>
          </cell>
          <cell r="C189">
            <v>4</v>
          </cell>
          <cell r="D189">
            <v>17.5</v>
          </cell>
          <cell r="E189">
            <v>0</v>
          </cell>
          <cell r="F189">
            <v>0</v>
          </cell>
          <cell r="G189">
            <v>0</v>
          </cell>
        </row>
        <row r="190">
          <cell r="A190" t="str">
            <v>V-307</v>
          </cell>
          <cell r="B190" t="str">
            <v>C18 E CHAIR</v>
          </cell>
          <cell r="C190">
            <v>3</v>
          </cell>
          <cell r="D190">
            <v>8.5</v>
          </cell>
          <cell r="E190">
            <v>0</v>
          </cell>
          <cell r="F190">
            <v>0</v>
          </cell>
          <cell r="G190">
            <v>0</v>
          </cell>
        </row>
        <row r="191">
          <cell r="A191">
            <v>0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</row>
        <row r="192">
          <cell r="A192">
            <v>0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</row>
        <row r="193">
          <cell r="A193">
            <v>0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</row>
        <row r="194">
          <cell r="A194" t="str">
            <v>1280L</v>
          </cell>
          <cell r="B194">
            <v>0</v>
          </cell>
          <cell r="C194">
            <v>1.75</v>
          </cell>
          <cell r="D194">
            <v>2.5</v>
          </cell>
          <cell r="E194">
            <v>0</v>
          </cell>
          <cell r="F194">
            <v>0</v>
          </cell>
          <cell r="G194">
            <v>0</v>
          </cell>
        </row>
        <row r="195">
          <cell r="A195" t="str">
            <v>SS-925</v>
          </cell>
          <cell r="B195">
            <v>0</v>
          </cell>
          <cell r="C195">
            <v>15.6457</v>
          </cell>
          <cell r="D195">
            <v>15.19</v>
          </cell>
          <cell r="E195">
            <v>1.03</v>
          </cell>
          <cell r="F195">
            <v>0</v>
          </cell>
          <cell r="G195">
            <v>0</v>
          </cell>
        </row>
        <row r="196">
          <cell r="A196" t="str">
            <v>1283L</v>
          </cell>
          <cell r="B196">
            <v>0</v>
          </cell>
          <cell r="C196">
            <v>60.903900000000007</v>
          </cell>
          <cell r="D196">
            <v>59.13</v>
          </cell>
          <cell r="E196">
            <v>1.03</v>
          </cell>
          <cell r="F196">
            <v>0</v>
          </cell>
          <cell r="G196">
            <v>0</v>
          </cell>
        </row>
        <row r="197">
          <cell r="A197" t="str">
            <v>1284L</v>
          </cell>
          <cell r="B197">
            <v>0</v>
          </cell>
          <cell r="C197">
            <v>47.369700000000002</v>
          </cell>
          <cell r="D197">
            <v>45.99</v>
          </cell>
          <cell r="E197">
            <v>1.03</v>
          </cell>
          <cell r="F197">
            <v>0</v>
          </cell>
          <cell r="G197">
            <v>0</v>
          </cell>
        </row>
        <row r="198">
          <cell r="A198" t="str">
            <v>1285L</v>
          </cell>
          <cell r="B198">
            <v>0</v>
          </cell>
          <cell r="C198">
            <v>55.887799999999999</v>
          </cell>
          <cell r="D198">
            <v>54.26</v>
          </cell>
          <cell r="E198">
            <v>1.03</v>
          </cell>
          <cell r="F198">
            <v>0</v>
          </cell>
          <cell r="G198">
            <v>0</v>
          </cell>
        </row>
        <row r="199">
          <cell r="A199" t="str">
            <v>1286L</v>
          </cell>
          <cell r="B199">
            <v>0</v>
          </cell>
          <cell r="C199">
            <v>85.428200000000004</v>
          </cell>
          <cell r="D199">
            <v>82.94</v>
          </cell>
          <cell r="E199">
            <v>1.03</v>
          </cell>
          <cell r="F199">
            <v>0</v>
          </cell>
          <cell r="G199">
            <v>0</v>
          </cell>
        </row>
        <row r="200">
          <cell r="A200" t="str">
            <v>1287L</v>
          </cell>
          <cell r="B200">
            <v>0</v>
          </cell>
          <cell r="C200">
            <v>86.406700000000001</v>
          </cell>
          <cell r="D200">
            <v>83.89</v>
          </cell>
          <cell r="E200">
            <v>1.03</v>
          </cell>
          <cell r="F200">
            <v>0</v>
          </cell>
          <cell r="G200">
            <v>0</v>
          </cell>
        </row>
        <row r="201">
          <cell r="A201" t="str">
            <v>1288L</v>
          </cell>
          <cell r="B201">
            <v>0</v>
          </cell>
          <cell r="C201">
            <v>59.873900000000006</v>
          </cell>
          <cell r="D201">
            <v>58.13</v>
          </cell>
          <cell r="E201">
            <v>1.03</v>
          </cell>
          <cell r="F201">
            <v>0</v>
          </cell>
          <cell r="G201">
            <v>0</v>
          </cell>
        </row>
        <row r="202">
          <cell r="A202" t="str">
            <v>1303L</v>
          </cell>
          <cell r="B202">
            <v>0</v>
          </cell>
          <cell r="C202">
            <v>8.4499999999999993</v>
          </cell>
          <cell r="D202">
            <v>8.4499999999999993</v>
          </cell>
          <cell r="E202">
            <v>0</v>
          </cell>
          <cell r="F202">
            <v>0</v>
          </cell>
          <cell r="G202">
            <v>0</v>
          </cell>
        </row>
        <row r="203">
          <cell r="A203" t="str">
            <v>1305L</v>
          </cell>
          <cell r="B203">
            <v>0</v>
          </cell>
          <cell r="C203">
            <v>18.756300000000003</v>
          </cell>
          <cell r="D203">
            <v>18.21</v>
          </cell>
          <cell r="E203">
            <v>1.03</v>
          </cell>
          <cell r="F203">
            <v>0</v>
          </cell>
          <cell r="G203">
            <v>0</v>
          </cell>
        </row>
        <row r="204">
          <cell r="A204" t="str">
            <v>1491L</v>
          </cell>
          <cell r="B204">
            <v>0</v>
          </cell>
          <cell r="C204">
            <v>63.03</v>
          </cell>
          <cell r="D204">
            <v>61.19</v>
          </cell>
          <cell r="E204">
            <v>0</v>
          </cell>
          <cell r="F204">
            <v>0</v>
          </cell>
          <cell r="G204">
            <v>0</v>
          </cell>
        </row>
        <row r="205">
          <cell r="A205" t="str">
            <v>1492L</v>
          </cell>
          <cell r="B205">
            <v>0</v>
          </cell>
          <cell r="C205">
            <v>63.03</v>
          </cell>
          <cell r="D205">
            <v>61.19</v>
          </cell>
          <cell r="E205">
            <v>0</v>
          </cell>
          <cell r="F205">
            <v>0</v>
          </cell>
          <cell r="G205">
            <v>0</v>
          </cell>
        </row>
        <row r="206">
          <cell r="A206" t="str">
            <v>2330L</v>
          </cell>
          <cell r="B206">
            <v>0</v>
          </cell>
          <cell r="C206">
            <v>24.19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</row>
        <row r="207">
          <cell r="A207" t="str">
            <v>2337L</v>
          </cell>
          <cell r="B207">
            <v>0</v>
          </cell>
          <cell r="C207">
            <v>42.044600000000003</v>
          </cell>
          <cell r="D207">
            <v>40.82</v>
          </cell>
          <cell r="E207">
            <v>1.03</v>
          </cell>
          <cell r="F207">
            <v>0</v>
          </cell>
          <cell r="G207">
            <v>0</v>
          </cell>
        </row>
        <row r="208">
          <cell r="A208" t="str">
            <v>2338L</v>
          </cell>
          <cell r="B208">
            <v>0</v>
          </cell>
          <cell r="C208">
            <v>42.044600000000003</v>
          </cell>
          <cell r="D208">
            <v>40.82</v>
          </cell>
          <cell r="E208">
            <v>1.03</v>
          </cell>
          <cell r="F208">
            <v>0</v>
          </cell>
          <cell r="G208">
            <v>0</v>
          </cell>
        </row>
        <row r="209">
          <cell r="A209" t="str">
            <v>2341L</v>
          </cell>
          <cell r="B209">
            <v>0</v>
          </cell>
          <cell r="C209">
            <v>45.495100000000001</v>
          </cell>
          <cell r="D209">
            <v>44.17</v>
          </cell>
          <cell r="E209">
            <v>1.03</v>
          </cell>
          <cell r="F209">
            <v>0</v>
          </cell>
          <cell r="G209">
            <v>0</v>
          </cell>
        </row>
        <row r="210">
          <cell r="A210" t="str">
            <v>2342L</v>
          </cell>
          <cell r="B210">
            <v>0</v>
          </cell>
          <cell r="C210">
            <v>45.495100000000001</v>
          </cell>
          <cell r="D210">
            <v>44.17</v>
          </cell>
          <cell r="E210">
            <v>1.03</v>
          </cell>
          <cell r="F210">
            <v>0</v>
          </cell>
          <cell r="G210">
            <v>0</v>
          </cell>
        </row>
        <row r="211">
          <cell r="A211" t="str">
            <v>2691L</v>
          </cell>
          <cell r="B211">
            <v>0</v>
          </cell>
          <cell r="C211">
            <v>15.264600000000002</v>
          </cell>
          <cell r="D211">
            <v>14.82</v>
          </cell>
          <cell r="E211">
            <v>1.03</v>
          </cell>
          <cell r="F211">
            <v>0</v>
          </cell>
          <cell r="G211">
            <v>0</v>
          </cell>
        </row>
        <row r="212">
          <cell r="A212" t="str">
            <v>2692L</v>
          </cell>
          <cell r="B212">
            <v>0</v>
          </cell>
          <cell r="C212">
            <v>55.012299999999996</v>
          </cell>
          <cell r="D212">
            <v>53.41</v>
          </cell>
          <cell r="E212">
            <v>1.03</v>
          </cell>
          <cell r="F212">
            <v>0</v>
          </cell>
          <cell r="G212">
            <v>0</v>
          </cell>
        </row>
        <row r="213">
          <cell r="A213" t="str">
            <v>2694L</v>
          </cell>
          <cell r="B213">
            <v>0</v>
          </cell>
          <cell r="C213">
            <v>57.700600000000001</v>
          </cell>
          <cell r="D213">
            <v>56.02</v>
          </cell>
          <cell r="E213">
            <v>1.03</v>
          </cell>
          <cell r="F213">
            <v>0</v>
          </cell>
          <cell r="G213">
            <v>0</v>
          </cell>
        </row>
        <row r="214">
          <cell r="A214" t="str">
            <v>2695L</v>
          </cell>
          <cell r="B214">
            <v>0</v>
          </cell>
          <cell r="C214">
            <v>69.349900000000005</v>
          </cell>
          <cell r="D214">
            <v>67.33</v>
          </cell>
          <cell r="E214">
            <v>1.03</v>
          </cell>
          <cell r="F214">
            <v>0</v>
          </cell>
          <cell r="G214">
            <v>0</v>
          </cell>
        </row>
        <row r="215">
          <cell r="A215" t="str">
            <v>2697L</v>
          </cell>
          <cell r="B215">
            <v>0</v>
          </cell>
          <cell r="C215">
            <v>77.857700000000008</v>
          </cell>
          <cell r="D215">
            <v>75.59</v>
          </cell>
          <cell r="E215">
            <v>1.03</v>
          </cell>
          <cell r="F215">
            <v>0</v>
          </cell>
          <cell r="G215">
            <v>0</v>
          </cell>
        </row>
        <row r="216">
          <cell r="A216" t="str">
            <v>2891L</v>
          </cell>
          <cell r="B216">
            <v>0</v>
          </cell>
          <cell r="C216">
            <v>10.3103</v>
          </cell>
          <cell r="D216">
            <v>10.01</v>
          </cell>
          <cell r="E216">
            <v>1.03</v>
          </cell>
          <cell r="F216">
            <v>0</v>
          </cell>
          <cell r="G216">
            <v>0</v>
          </cell>
        </row>
        <row r="217">
          <cell r="A217" t="str">
            <v>2892L</v>
          </cell>
          <cell r="B217">
            <v>0</v>
          </cell>
          <cell r="C217">
            <v>36.688600000000001</v>
          </cell>
          <cell r="D217">
            <v>35.619999999999997</v>
          </cell>
          <cell r="E217">
            <v>1.03</v>
          </cell>
          <cell r="F217">
            <v>0</v>
          </cell>
          <cell r="G217">
            <v>0</v>
          </cell>
        </row>
        <row r="218">
          <cell r="A218" t="str">
            <v>2897L</v>
          </cell>
          <cell r="B218">
            <v>0</v>
          </cell>
          <cell r="C218">
            <v>52.478500000000004</v>
          </cell>
          <cell r="D218">
            <v>50.95</v>
          </cell>
          <cell r="E218">
            <v>1.03</v>
          </cell>
          <cell r="F218">
            <v>0</v>
          </cell>
          <cell r="G218">
            <v>0</v>
          </cell>
        </row>
        <row r="219">
          <cell r="A219" t="str">
            <v>2897LS</v>
          </cell>
          <cell r="B219">
            <v>0</v>
          </cell>
          <cell r="C219">
            <v>46.442700000000002</v>
          </cell>
          <cell r="D219">
            <v>45.09</v>
          </cell>
          <cell r="E219">
            <v>1.03</v>
          </cell>
          <cell r="F219">
            <v>0</v>
          </cell>
          <cell r="G219">
            <v>0</v>
          </cell>
        </row>
        <row r="220">
          <cell r="A220" t="str">
            <v>2900L</v>
          </cell>
          <cell r="B220">
            <v>0</v>
          </cell>
          <cell r="C220">
            <v>20.84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</row>
        <row r="221">
          <cell r="A221" t="str">
            <v>2991L</v>
          </cell>
          <cell r="B221">
            <v>0</v>
          </cell>
          <cell r="C221">
            <v>47.23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</row>
        <row r="222">
          <cell r="A222" t="str">
            <v>2992L</v>
          </cell>
          <cell r="B222">
            <v>0</v>
          </cell>
          <cell r="C222">
            <v>47.23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</row>
        <row r="223">
          <cell r="A223" t="str">
            <v>3171L</v>
          </cell>
          <cell r="B223">
            <v>0</v>
          </cell>
          <cell r="C223">
            <v>15.3058</v>
          </cell>
          <cell r="D223">
            <v>14.86</v>
          </cell>
          <cell r="E223">
            <v>1.03</v>
          </cell>
          <cell r="F223">
            <v>0</v>
          </cell>
          <cell r="G223">
            <v>0</v>
          </cell>
        </row>
        <row r="224">
          <cell r="A224" t="str">
            <v>3172L</v>
          </cell>
          <cell r="B224">
            <v>0</v>
          </cell>
          <cell r="C224">
            <v>43.805900000000001</v>
          </cell>
          <cell r="D224">
            <v>42.53</v>
          </cell>
          <cell r="E224">
            <v>1.03</v>
          </cell>
          <cell r="F224">
            <v>0</v>
          </cell>
          <cell r="G224">
            <v>0</v>
          </cell>
        </row>
        <row r="225">
          <cell r="A225" t="str">
            <v>3175L</v>
          </cell>
          <cell r="B225">
            <v>0</v>
          </cell>
          <cell r="C225">
            <v>51.1</v>
          </cell>
          <cell r="D225">
            <v>49.61</v>
          </cell>
          <cell r="E225">
            <v>0</v>
          </cell>
          <cell r="F225">
            <v>0</v>
          </cell>
          <cell r="G225">
            <v>0</v>
          </cell>
        </row>
        <row r="226">
          <cell r="A226" t="str">
            <v>3177L</v>
          </cell>
          <cell r="B226">
            <v>0</v>
          </cell>
          <cell r="C226">
            <v>57.731499999999997</v>
          </cell>
          <cell r="D226">
            <v>56.05</v>
          </cell>
          <cell r="E226">
            <v>1.03</v>
          </cell>
          <cell r="F226">
            <v>0</v>
          </cell>
          <cell r="G226">
            <v>0</v>
          </cell>
        </row>
        <row r="227">
          <cell r="A227" t="str">
            <v>3181L</v>
          </cell>
          <cell r="B227">
            <v>0</v>
          </cell>
          <cell r="C227">
            <v>12.823499999999999</v>
          </cell>
          <cell r="D227">
            <v>12.45</v>
          </cell>
          <cell r="E227">
            <v>1.03</v>
          </cell>
          <cell r="F227">
            <v>0</v>
          </cell>
          <cell r="G227">
            <v>0</v>
          </cell>
        </row>
        <row r="228">
          <cell r="A228" t="str">
            <v>3182L</v>
          </cell>
          <cell r="B228">
            <v>0</v>
          </cell>
          <cell r="C228">
            <v>20.023200000000003</v>
          </cell>
          <cell r="D228">
            <v>19.440000000000001</v>
          </cell>
          <cell r="E228">
            <v>1.03</v>
          </cell>
          <cell r="F228">
            <v>0</v>
          </cell>
          <cell r="G228">
            <v>0</v>
          </cell>
        </row>
        <row r="229">
          <cell r="A229" t="str">
            <v>3187L</v>
          </cell>
          <cell r="B229">
            <v>0</v>
          </cell>
          <cell r="C229">
            <v>33.567700000000002</v>
          </cell>
          <cell r="D229">
            <v>32.590000000000003</v>
          </cell>
          <cell r="E229">
            <v>1.03</v>
          </cell>
          <cell r="F229">
            <v>0</v>
          </cell>
          <cell r="G229">
            <v>0</v>
          </cell>
        </row>
        <row r="230">
          <cell r="A230" t="str">
            <v>3251L</v>
          </cell>
          <cell r="B230">
            <v>0</v>
          </cell>
          <cell r="C230">
            <v>11.288800000000002</v>
          </cell>
          <cell r="D230">
            <v>10.96</v>
          </cell>
          <cell r="E230">
            <v>1.03</v>
          </cell>
          <cell r="F230">
            <v>0</v>
          </cell>
          <cell r="G230">
            <v>0</v>
          </cell>
        </row>
        <row r="231">
          <cell r="A231" t="str">
            <v>3252L</v>
          </cell>
          <cell r="B231">
            <v>0</v>
          </cell>
          <cell r="C231">
            <v>50.562700000000007</v>
          </cell>
          <cell r="D231">
            <v>49.09</v>
          </cell>
          <cell r="E231">
            <v>1.03</v>
          </cell>
          <cell r="F231">
            <v>0</v>
          </cell>
          <cell r="G231">
            <v>0</v>
          </cell>
        </row>
        <row r="232">
          <cell r="A232" t="str">
            <v>3255L</v>
          </cell>
          <cell r="B232">
            <v>0</v>
          </cell>
          <cell r="C232">
            <v>59.832700000000003</v>
          </cell>
          <cell r="D232">
            <v>58.09</v>
          </cell>
          <cell r="E232">
            <v>1.03</v>
          </cell>
          <cell r="F232">
            <v>0</v>
          </cell>
          <cell r="G232">
            <v>0</v>
          </cell>
        </row>
        <row r="233">
          <cell r="A233" t="str">
            <v>3257L</v>
          </cell>
          <cell r="B233">
            <v>0</v>
          </cell>
          <cell r="C233">
            <v>68.227199999999996</v>
          </cell>
          <cell r="D233">
            <v>66.239999999999995</v>
          </cell>
          <cell r="E233">
            <v>1.03</v>
          </cell>
          <cell r="F233">
            <v>0</v>
          </cell>
          <cell r="G233">
            <v>0</v>
          </cell>
        </row>
        <row r="234">
          <cell r="A234" t="str">
            <v>3990L</v>
          </cell>
          <cell r="B234">
            <v>0</v>
          </cell>
          <cell r="C234">
            <v>15.470599999999999</v>
          </cell>
          <cell r="D234">
            <v>15.02</v>
          </cell>
          <cell r="E234">
            <v>1.03</v>
          </cell>
          <cell r="F234">
            <v>0</v>
          </cell>
          <cell r="G234">
            <v>0</v>
          </cell>
        </row>
        <row r="235">
          <cell r="A235" t="str">
            <v>3991L</v>
          </cell>
          <cell r="B235">
            <v>0</v>
          </cell>
          <cell r="C235">
            <v>15.470599999999999</v>
          </cell>
          <cell r="D235">
            <v>15.02</v>
          </cell>
          <cell r="E235">
            <v>1.03</v>
          </cell>
          <cell r="F235">
            <v>0</v>
          </cell>
          <cell r="G235">
            <v>0</v>
          </cell>
        </row>
        <row r="236">
          <cell r="A236" t="str">
            <v>3992L</v>
          </cell>
          <cell r="B236">
            <v>0</v>
          </cell>
          <cell r="C236">
            <v>39.407800000000002</v>
          </cell>
          <cell r="D236">
            <v>38.26</v>
          </cell>
          <cell r="E236">
            <v>1.03</v>
          </cell>
          <cell r="F236">
            <v>0</v>
          </cell>
          <cell r="G236">
            <v>0</v>
          </cell>
        </row>
        <row r="237">
          <cell r="A237" t="str">
            <v>3994L</v>
          </cell>
          <cell r="B237">
            <v>0</v>
          </cell>
          <cell r="C237">
            <v>40.005200000000002</v>
          </cell>
          <cell r="D237">
            <v>38.840000000000003</v>
          </cell>
          <cell r="E237">
            <v>1.03</v>
          </cell>
          <cell r="F237">
            <v>0</v>
          </cell>
          <cell r="G237">
            <v>0</v>
          </cell>
        </row>
        <row r="238">
          <cell r="A238" t="str">
            <v>3997L</v>
          </cell>
          <cell r="B238">
            <v>0</v>
          </cell>
          <cell r="C238">
            <v>55.856899999999996</v>
          </cell>
          <cell r="D238">
            <v>54.23</v>
          </cell>
          <cell r="E238">
            <v>1.03</v>
          </cell>
          <cell r="F238">
            <v>0</v>
          </cell>
          <cell r="G238">
            <v>0</v>
          </cell>
        </row>
        <row r="239">
          <cell r="A239" t="str">
            <v>3998L</v>
          </cell>
          <cell r="B239">
            <v>0</v>
          </cell>
          <cell r="C239">
            <v>56.454300000000003</v>
          </cell>
          <cell r="D239">
            <v>54.81</v>
          </cell>
          <cell r="E239">
            <v>1.03</v>
          </cell>
          <cell r="F239">
            <v>0</v>
          </cell>
          <cell r="G239">
            <v>0</v>
          </cell>
        </row>
        <row r="240">
          <cell r="A240" t="str">
            <v>4031L</v>
          </cell>
          <cell r="B240">
            <v>0</v>
          </cell>
          <cell r="C240">
            <v>15.759</v>
          </cell>
          <cell r="D240">
            <v>15.3</v>
          </cell>
          <cell r="E240">
            <v>1.03</v>
          </cell>
          <cell r="F240">
            <v>0</v>
          </cell>
          <cell r="G240">
            <v>0</v>
          </cell>
        </row>
        <row r="241">
          <cell r="A241" t="str">
            <v>4032L</v>
          </cell>
          <cell r="B241">
            <v>0</v>
          </cell>
          <cell r="C241">
            <v>37.873100000000001</v>
          </cell>
          <cell r="D241">
            <v>36.770000000000003</v>
          </cell>
          <cell r="E241">
            <v>1.03</v>
          </cell>
          <cell r="F241">
            <v>0</v>
          </cell>
          <cell r="G241">
            <v>0</v>
          </cell>
        </row>
        <row r="242">
          <cell r="A242" t="str">
            <v>4037L</v>
          </cell>
          <cell r="B242">
            <v>0</v>
          </cell>
          <cell r="C242">
            <v>53.7866</v>
          </cell>
          <cell r="D242">
            <v>52.22</v>
          </cell>
          <cell r="E242">
            <v>1.03</v>
          </cell>
          <cell r="F242">
            <v>0</v>
          </cell>
          <cell r="G242">
            <v>0</v>
          </cell>
        </row>
        <row r="243">
          <cell r="A243" t="str">
            <v>4091L</v>
          </cell>
          <cell r="B243">
            <v>0</v>
          </cell>
          <cell r="C243">
            <v>10.557500000000001</v>
          </cell>
          <cell r="D243">
            <v>10.25</v>
          </cell>
          <cell r="E243">
            <v>1.03</v>
          </cell>
          <cell r="F243">
            <v>0</v>
          </cell>
          <cell r="G243">
            <v>0</v>
          </cell>
        </row>
        <row r="244">
          <cell r="A244" t="str">
            <v>4092L</v>
          </cell>
          <cell r="B244">
            <v>0</v>
          </cell>
          <cell r="C244">
            <v>31.672499999999999</v>
          </cell>
          <cell r="D244">
            <v>30.75</v>
          </cell>
          <cell r="E244">
            <v>1.03</v>
          </cell>
          <cell r="F244">
            <v>0</v>
          </cell>
          <cell r="G244">
            <v>0</v>
          </cell>
        </row>
        <row r="245">
          <cell r="A245" t="str">
            <v>4097L</v>
          </cell>
          <cell r="B245">
            <v>0</v>
          </cell>
          <cell r="C245">
            <v>48.245200000000004</v>
          </cell>
          <cell r="D245">
            <v>46.84</v>
          </cell>
          <cell r="E245">
            <v>1.03</v>
          </cell>
          <cell r="F245">
            <v>0</v>
          </cell>
          <cell r="G245">
            <v>0</v>
          </cell>
        </row>
        <row r="246">
          <cell r="A246" t="str">
            <v>5290L</v>
          </cell>
          <cell r="B246">
            <v>0</v>
          </cell>
          <cell r="C246">
            <v>12.184900000000001</v>
          </cell>
          <cell r="D246">
            <v>11.83</v>
          </cell>
          <cell r="E246">
            <v>1.03</v>
          </cell>
          <cell r="F246">
            <v>0</v>
          </cell>
          <cell r="G246">
            <v>0</v>
          </cell>
        </row>
        <row r="247">
          <cell r="A247" t="str">
            <v>5291L</v>
          </cell>
          <cell r="B247">
            <v>0</v>
          </cell>
          <cell r="C247">
            <v>12.184900000000001</v>
          </cell>
          <cell r="D247">
            <v>11.83</v>
          </cell>
          <cell r="E247">
            <v>1.03</v>
          </cell>
          <cell r="F247">
            <v>0</v>
          </cell>
          <cell r="G247">
            <v>0</v>
          </cell>
        </row>
        <row r="248">
          <cell r="A248" t="str">
            <v>5294L</v>
          </cell>
          <cell r="B248">
            <v>0</v>
          </cell>
          <cell r="C248">
            <v>40.549999999999997</v>
          </cell>
          <cell r="D248">
            <v>39.369999999999997</v>
          </cell>
          <cell r="E248">
            <v>0</v>
          </cell>
          <cell r="F248">
            <v>0</v>
          </cell>
          <cell r="G248">
            <v>0</v>
          </cell>
        </row>
        <row r="249">
          <cell r="A249" t="str">
            <v>5296L</v>
          </cell>
          <cell r="B249">
            <v>0</v>
          </cell>
          <cell r="C249">
            <v>50.35</v>
          </cell>
          <cell r="D249">
            <v>48.88</v>
          </cell>
          <cell r="E249">
            <v>0</v>
          </cell>
          <cell r="F249">
            <v>0</v>
          </cell>
          <cell r="G249">
            <v>0</v>
          </cell>
        </row>
        <row r="250">
          <cell r="A250" t="str">
            <v>5298L</v>
          </cell>
          <cell r="B250">
            <v>0</v>
          </cell>
          <cell r="C250">
            <v>57.91</v>
          </cell>
          <cell r="D250">
            <v>56.22</v>
          </cell>
          <cell r="E250">
            <v>0</v>
          </cell>
          <cell r="F250">
            <v>0</v>
          </cell>
          <cell r="G250">
            <v>0</v>
          </cell>
        </row>
        <row r="251">
          <cell r="A251" t="str">
            <v>5491L</v>
          </cell>
          <cell r="B251">
            <v>0</v>
          </cell>
          <cell r="C251">
            <v>10.279400000000001</v>
          </cell>
          <cell r="D251">
            <v>9.98</v>
          </cell>
          <cell r="E251">
            <v>1.03</v>
          </cell>
          <cell r="F251">
            <v>0</v>
          </cell>
          <cell r="G251">
            <v>0</v>
          </cell>
        </row>
        <row r="252">
          <cell r="A252" t="str">
            <v>5492L</v>
          </cell>
          <cell r="B252">
            <v>0</v>
          </cell>
          <cell r="C252">
            <v>42.569899999999997</v>
          </cell>
          <cell r="D252">
            <v>41.33</v>
          </cell>
          <cell r="E252">
            <v>1.03</v>
          </cell>
          <cell r="F252">
            <v>0</v>
          </cell>
          <cell r="G252">
            <v>0</v>
          </cell>
        </row>
        <row r="253">
          <cell r="A253" t="str">
            <v>5495L</v>
          </cell>
          <cell r="B253">
            <v>0</v>
          </cell>
          <cell r="C253">
            <v>48.925000000000004</v>
          </cell>
          <cell r="D253">
            <v>47.5</v>
          </cell>
          <cell r="E253">
            <v>1.03</v>
          </cell>
          <cell r="F253">
            <v>0</v>
          </cell>
          <cell r="G253">
            <v>0</v>
          </cell>
        </row>
        <row r="254">
          <cell r="A254" t="str">
            <v>5497L</v>
          </cell>
          <cell r="B254">
            <v>0</v>
          </cell>
          <cell r="C254">
            <v>56.938400000000001</v>
          </cell>
          <cell r="D254">
            <v>55.28</v>
          </cell>
          <cell r="E254">
            <v>1.03</v>
          </cell>
          <cell r="F254">
            <v>0</v>
          </cell>
          <cell r="G254">
            <v>0</v>
          </cell>
        </row>
        <row r="255">
          <cell r="A255" t="str">
            <v>5621L</v>
          </cell>
          <cell r="B255">
            <v>0</v>
          </cell>
          <cell r="C255">
            <v>11.36</v>
          </cell>
          <cell r="D255">
            <v>11.03</v>
          </cell>
          <cell r="E255">
            <v>0</v>
          </cell>
          <cell r="F255">
            <v>0</v>
          </cell>
          <cell r="G255">
            <v>0</v>
          </cell>
        </row>
        <row r="256">
          <cell r="A256" t="str">
            <v>5622L</v>
          </cell>
          <cell r="B256">
            <v>0</v>
          </cell>
          <cell r="C256">
            <v>51.21</v>
          </cell>
          <cell r="D256">
            <v>49.72</v>
          </cell>
          <cell r="E256">
            <v>0</v>
          </cell>
          <cell r="F256">
            <v>0</v>
          </cell>
          <cell r="G256">
            <v>0</v>
          </cell>
        </row>
        <row r="257">
          <cell r="A257" t="str">
            <v>5625L</v>
          </cell>
          <cell r="B257">
            <v>0</v>
          </cell>
          <cell r="C257">
            <v>64.89</v>
          </cell>
          <cell r="D257">
            <v>63</v>
          </cell>
          <cell r="E257">
            <v>0</v>
          </cell>
          <cell r="F257">
            <v>0</v>
          </cell>
          <cell r="G257">
            <v>0</v>
          </cell>
        </row>
        <row r="258">
          <cell r="A258" t="str">
            <v>5627L</v>
          </cell>
          <cell r="B258">
            <v>0</v>
          </cell>
          <cell r="C258">
            <v>77.78</v>
          </cell>
          <cell r="D258">
            <v>75.510000000000005</v>
          </cell>
          <cell r="E258">
            <v>0</v>
          </cell>
          <cell r="F258">
            <v>0</v>
          </cell>
          <cell r="G258">
            <v>0</v>
          </cell>
        </row>
        <row r="259">
          <cell r="A259" t="str">
            <v>8520L</v>
          </cell>
          <cell r="B259">
            <v>0</v>
          </cell>
          <cell r="C259">
            <v>11.4536</v>
          </cell>
          <cell r="D259">
            <v>11.12</v>
          </cell>
          <cell r="E259">
            <v>1.03</v>
          </cell>
          <cell r="F259">
            <v>0</v>
          </cell>
          <cell r="G259">
            <v>0</v>
          </cell>
        </row>
        <row r="260">
          <cell r="A260" t="str">
            <v>8524L</v>
          </cell>
          <cell r="B260">
            <v>0</v>
          </cell>
          <cell r="C260">
            <v>37.409600000000005</v>
          </cell>
          <cell r="D260">
            <v>36.32</v>
          </cell>
          <cell r="E260">
            <v>1.03</v>
          </cell>
          <cell r="F260">
            <v>0</v>
          </cell>
          <cell r="G260">
            <v>0</v>
          </cell>
        </row>
        <row r="261">
          <cell r="A261" t="str">
            <v>8528L</v>
          </cell>
          <cell r="B261">
            <v>0</v>
          </cell>
          <cell r="C261">
            <v>53.137700000000002</v>
          </cell>
          <cell r="D261">
            <v>51.59</v>
          </cell>
          <cell r="E261">
            <v>1.03</v>
          </cell>
          <cell r="F261">
            <v>0</v>
          </cell>
          <cell r="G261">
            <v>0</v>
          </cell>
        </row>
        <row r="262">
          <cell r="A262" t="str">
            <v>B1003</v>
          </cell>
          <cell r="B262">
            <v>0</v>
          </cell>
          <cell r="C262">
            <v>8.6829000000000001</v>
          </cell>
          <cell r="D262">
            <v>8.43</v>
          </cell>
          <cell r="E262">
            <v>1.03</v>
          </cell>
          <cell r="G262">
            <v>0</v>
          </cell>
        </row>
        <row r="263">
          <cell r="A263" t="str">
            <v>B1004</v>
          </cell>
          <cell r="B263">
            <v>0</v>
          </cell>
          <cell r="C263">
            <v>15.54</v>
          </cell>
          <cell r="D263">
            <v>15.09</v>
          </cell>
          <cell r="G263">
            <v>0</v>
          </cell>
        </row>
        <row r="264">
          <cell r="A264" t="str">
            <v>B1030</v>
          </cell>
          <cell r="B264">
            <v>0</v>
          </cell>
          <cell r="C264">
            <v>23.885700000000003</v>
          </cell>
          <cell r="D264">
            <v>23.19</v>
          </cell>
          <cell r="E264">
            <v>1.03</v>
          </cell>
          <cell r="G264">
            <v>0</v>
          </cell>
        </row>
        <row r="265">
          <cell r="A265" t="str">
            <v>B1031</v>
          </cell>
          <cell r="B265">
            <v>0</v>
          </cell>
          <cell r="C265">
            <v>12.93</v>
          </cell>
          <cell r="D265">
            <v>12.55</v>
          </cell>
          <cell r="G265">
            <v>0</v>
          </cell>
        </row>
        <row r="266">
          <cell r="A266" t="str">
            <v>B1145</v>
          </cell>
          <cell r="B266">
            <v>0</v>
          </cell>
          <cell r="C266">
            <v>53.9617</v>
          </cell>
          <cell r="D266">
            <v>52.39</v>
          </cell>
          <cell r="E266">
            <v>1.03</v>
          </cell>
          <cell r="G266">
            <v>0</v>
          </cell>
        </row>
        <row r="267">
          <cell r="A267" t="str">
            <v>B1150</v>
          </cell>
          <cell r="B267">
            <v>0</v>
          </cell>
          <cell r="C267">
            <v>23.5458</v>
          </cell>
          <cell r="D267">
            <v>22.86</v>
          </cell>
          <cell r="E267">
            <v>1.03</v>
          </cell>
          <cell r="G267">
            <v>0</v>
          </cell>
        </row>
        <row r="268">
          <cell r="A268" t="str">
            <v>B1171</v>
          </cell>
          <cell r="B268">
            <v>0</v>
          </cell>
          <cell r="C268">
            <v>11.56</v>
          </cell>
          <cell r="D268">
            <v>11.22</v>
          </cell>
          <cell r="G268">
            <v>0</v>
          </cell>
        </row>
        <row r="269">
          <cell r="A269" t="str">
            <v>B1172</v>
          </cell>
          <cell r="B269">
            <v>0</v>
          </cell>
          <cell r="C269">
            <v>51.5</v>
          </cell>
          <cell r="D269">
            <v>50</v>
          </cell>
          <cell r="G269">
            <v>0</v>
          </cell>
        </row>
        <row r="270">
          <cell r="A270" t="str">
            <v>B1177</v>
          </cell>
          <cell r="B270">
            <v>0</v>
          </cell>
          <cell r="C270">
            <v>62.94</v>
          </cell>
          <cell r="D270">
            <v>61.11</v>
          </cell>
          <cell r="G270">
            <v>0</v>
          </cell>
        </row>
        <row r="271">
          <cell r="A271" t="str">
            <v>B1177S</v>
          </cell>
          <cell r="B271">
            <v>0</v>
          </cell>
          <cell r="C271">
            <v>57.587299999999999</v>
          </cell>
          <cell r="D271">
            <v>55.91</v>
          </cell>
          <cell r="E271">
            <v>1.03</v>
          </cell>
          <cell r="G271">
            <v>0</v>
          </cell>
        </row>
        <row r="272">
          <cell r="A272" t="str">
            <v>B1181</v>
          </cell>
          <cell r="B272">
            <v>0</v>
          </cell>
          <cell r="C272">
            <v>10.16</v>
          </cell>
          <cell r="D272">
            <v>10.16</v>
          </cell>
          <cell r="G272">
            <v>0</v>
          </cell>
        </row>
        <row r="273">
          <cell r="A273" t="str">
            <v>B1182</v>
          </cell>
          <cell r="B273">
            <v>0</v>
          </cell>
          <cell r="C273">
            <v>36.4</v>
          </cell>
          <cell r="D273">
            <v>36.4</v>
          </cell>
          <cell r="G273">
            <v>0</v>
          </cell>
        </row>
        <row r="274">
          <cell r="A274" t="str">
            <v>B1185</v>
          </cell>
          <cell r="B274">
            <v>0</v>
          </cell>
          <cell r="C274">
            <v>45.77</v>
          </cell>
          <cell r="D274">
            <v>45.77</v>
          </cell>
          <cell r="G274">
            <v>0</v>
          </cell>
        </row>
        <row r="275">
          <cell r="A275" t="str">
            <v>B1187</v>
          </cell>
          <cell r="B275">
            <v>0</v>
          </cell>
          <cell r="C275">
            <v>47.81</v>
          </cell>
          <cell r="D275">
            <v>47.81</v>
          </cell>
          <cell r="G275">
            <v>0</v>
          </cell>
        </row>
        <row r="276">
          <cell r="A276" t="str">
            <v>B1201</v>
          </cell>
          <cell r="B276">
            <v>0</v>
          </cell>
          <cell r="C276">
            <v>10.4648</v>
          </cell>
          <cell r="D276">
            <v>10.16</v>
          </cell>
          <cell r="E276">
            <v>1.03</v>
          </cell>
          <cell r="G276">
            <v>0</v>
          </cell>
        </row>
        <row r="277">
          <cell r="A277" t="str">
            <v>B1203</v>
          </cell>
          <cell r="B277">
            <v>0</v>
          </cell>
          <cell r="C277">
            <v>8.9816000000000003</v>
          </cell>
          <cell r="D277">
            <v>8.7200000000000006</v>
          </cell>
          <cell r="E277">
            <v>1.03</v>
          </cell>
          <cell r="G277">
            <v>0</v>
          </cell>
        </row>
        <row r="278">
          <cell r="A278" t="str">
            <v>B1223</v>
          </cell>
          <cell r="B278">
            <v>0</v>
          </cell>
          <cell r="C278">
            <v>38.614700000000006</v>
          </cell>
          <cell r="D278">
            <v>37.49</v>
          </cell>
          <cell r="E278">
            <v>1.03</v>
          </cell>
          <cell r="G278">
            <v>0</v>
          </cell>
        </row>
        <row r="279">
          <cell r="A279" t="str">
            <v>B1236</v>
          </cell>
          <cell r="B279">
            <v>0</v>
          </cell>
          <cell r="C279">
            <v>29.3</v>
          </cell>
          <cell r="D279">
            <v>28.45</v>
          </cell>
          <cell r="G279">
            <v>0</v>
          </cell>
        </row>
        <row r="280">
          <cell r="A280" t="str">
            <v>B1241</v>
          </cell>
          <cell r="B280">
            <v>0</v>
          </cell>
          <cell r="C280">
            <v>50.459700000000005</v>
          </cell>
          <cell r="D280">
            <v>48.99</v>
          </cell>
          <cell r="E280">
            <v>1.03</v>
          </cell>
          <cell r="G280">
            <v>0</v>
          </cell>
        </row>
        <row r="281">
          <cell r="A281" t="str">
            <v>B1300</v>
          </cell>
          <cell r="B281">
            <v>0</v>
          </cell>
          <cell r="C281">
            <v>16.32</v>
          </cell>
          <cell r="D281">
            <v>16.32</v>
          </cell>
          <cell r="G281">
            <v>0</v>
          </cell>
        </row>
        <row r="282">
          <cell r="A282" t="str">
            <v>B1301</v>
          </cell>
          <cell r="B282">
            <v>0</v>
          </cell>
          <cell r="C282">
            <v>10.49</v>
          </cell>
          <cell r="D282">
            <v>10.49</v>
          </cell>
          <cell r="G282">
            <v>0</v>
          </cell>
        </row>
        <row r="283">
          <cell r="A283" t="str">
            <v>B1302</v>
          </cell>
          <cell r="B283">
            <v>0</v>
          </cell>
          <cell r="C283">
            <v>8.3000000000000007</v>
          </cell>
          <cell r="D283">
            <v>8.3000000000000007</v>
          </cell>
          <cell r="G283">
            <v>0</v>
          </cell>
        </row>
        <row r="284">
          <cell r="A284" t="str">
            <v>B1351</v>
          </cell>
          <cell r="B284">
            <v>0</v>
          </cell>
          <cell r="C284">
            <v>11.5463</v>
          </cell>
          <cell r="D284">
            <v>11.21</v>
          </cell>
          <cell r="E284">
            <v>1.03</v>
          </cell>
          <cell r="G284">
            <v>0</v>
          </cell>
        </row>
        <row r="285">
          <cell r="A285" t="str">
            <v>B1352</v>
          </cell>
          <cell r="B285">
            <v>0</v>
          </cell>
          <cell r="C285">
            <v>53.508500000000005</v>
          </cell>
          <cell r="D285">
            <v>51.95</v>
          </cell>
          <cell r="E285">
            <v>1.03</v>
          </cell>
          <cell r="G285">
            <v>0</v>
          </cell>
        </row>
        <row r="286">
          <cell r="A286" t="str">
            <v>B1357</v>
          </cell>
          <cell r="B286">
            <v>0</v>
          </cell>
          <cell r="C286">
            <v>81.802599999999998</v>
          </cell>
          <cell r="D286">
            <v>79.42</v>
          </cell>
          <cell r="E286">
            <v>1.03</v>
          </cell>
          <cell r="G286">
            <v>0</v>
          </cell>
        </row>
        <row r="287">
          <cell r="A287" t="str">
            <v>B1371</v>
          </cell>
          <cell r="B287">
            <v>0</v>
          </cell>
          <cell r="C287">
            <v>10.536900000000001</v>
          </cell>
          <cell r="D287">
            <v>10.23</v>
          </cell>
          <cell r="E287">
            <v>1.03</v>
          </cell>
          <cell r="G287">
            <v>0</v>
          </cell>
        </row>
        <row r="288">
          <cell r="A288" t="str">
            <v>B1372</v>
          </cell>
          <cell r="B288">
            <v>0</v>
          </cell>
          <cell r="C288">
            <v>44.794700000000006</v>
          </cell>
          <cell r="D288">
            <v>43.49</v>
          </cell>
          <cell r="E288">
            <v>1.03</v>
          </cell>
          <cell r="G288">
            <v>0</v>
          </cell>
        </row>
        <row r="289">
          <cell r="A289" t="str">
            <v>B1375</v>
          </cell>
          <cell r="B289">
            <v>0</v>
          </cell>
          <cell r="C289">
            <v>53.508500000000005</v>
          </cell>
          <cell r="D289">
            <v>51.95</v>
          </cell>
          <cell r="E289">
            <v>1.03</v>
          </cell>
          <cell r="G289">
            <v>0</v>
          </cell>
        </row>
        <row r="290">
          <cell r="A290" t="str">
            <v>B1377</v>
          </cell>
          <cell r="B290">
            <v>0</v>
          </cell>
          <cell r="C290">
            <v>60.41</v>
          </cell>
          <cell r="D290">
            <v>58.56</v>
          </cell>
          <cell r="E290">
            <v>1.03</v>
          </cell>
          <cell r="G290">
            <v>0</v>
          </cell>
        </row>
        <row r="291">
          <cell r="A291" t="str">
            <v>B1377S</v>
          </cell>
          <cell r="B291">
            <v>0</v>
          </cell>
          <cell r="C291">
            <v>49.5</v>
          </cell>
          <cell r="D291">
            <v>48.06</v>
          </cell>
          <cell r="E291">
            <v>1.03</v>
          </cell>
          <cell r="G291">
            <v>0</v>
          </cell>
        </row>
        <row r="292">
          <cell r="A292" t="str">
            <v>1391L</v>
          </cell>
          <cell r="B292">
            <v>0</v>
          </cell>
          <cell r="C292">
            <v>79.11</v>
          </cell>
          <cell r="D292">
            <v>79.11</v>
          </cell>
          <cell r="G292">
            <v>0</v>
          </cell>
        </row>
        <row r="293">
          <cell r="A293" t="str">
            <v>1392L</v>
          </cell>
          <cell r="B293">
            <v>0</v>
          </cell>
          <cell r="C293">
            <v>79.11</v>
          </cell>
          <cell r="D293">
            <v>79.11</v>
          </cell>
          <cell r="G293">
            <v>0</v>
          </cell>
        </row>
        <row r="294">
          <cell r="A294" t="str">
            <v>B1400</v>
          </cell>
          <cell r="B294">
            <v>0</v>
          </cell>
          <cell r="C294">
            <v>22.9175</v>
          </cell>
          <cell r="D294">
            <v>22.25</v>
          </cell>
          <cell r="E294">
            <v>1.03</v>
          </cell>
          <cell r="G294">
            <v>0</v>
          </cell>
        </row>
        <row r="295">
          <cell r="A295" t="str">
            <v>B1451</v>
          </cell>
          <cell r="B295">
            <v>0</v>
          </cell>
          <cell r="C295">
            <v>10.26</v>
          </cell>
          <cell r="D295">
            <v>9.9600000000000009</v>
          </cell>
          <cell r="G295">
            <v>0</v>
          </cell>
        </row>
        <row r="296">
          <cell r="A296" t="str">
            <v>B1452</v>
          </cell>
          <cell r="B296">
            <v>0</v>
          </cell>
          <cell r="C296">
            <v>53.86</v>
          </cell>
          <cell r="D296">
            <v>52.29</v>
          </cell>
          <cell r="G296">
            <v>0</v>
          </cell>
        </row>
        <row r="297">
          <cell r="A297" t="str">
            <v>B1457</v>
          </cell>
          <cell r="B297">
            <v>0</v>
          </cell>
          <cell r="C297">
            <v>77.651700000000005</v>
          </cell>
          <cell r="D297">
            <v>75.39</v>
          </cell>
          <cell r="E297">
            <v>1.03</v>
          </cell>
          <cell r="G297">
            <v>0</v>
          </cell>
        </row>
        <row r="298">
          <cell r="A298" t="str">
            <v>B1471</v>
          </cell>
          <cell r="B298">
            <v>0</v>
          </cell>
          <cell r="C298">
            <v>12.565999999999999</v>
          </cell>
          <cell r="D298">
            <v>12.2</v>
          </cell>
          <cell r="E298">
            <v>1.03</v>
          </cell>
          <cell r="G298">
            <v>0</v>
          </cell>
        </row>
        <row r="299">
          <cell r="A299" t="str">
            <v>B1472</v>
          </cell>
          <cell r="B299">
            <v>0</v>
          </cell>
          <cell r="C299">
            <v>49.985900000000001</v>
          </cell>
          <cell r="D299">
            <v>48.53</v>
          </cell>
          <cell r="E299">
            <v>1.03</v>
          </cell>
          <cell r="G299">
            <v>0</v>
          </cell>
        </row>
        <row r="300">
          <cell r="A300" t="str">
            <v>B1475</v>
          </cell>
          <cell r="B300">
            <v>0</v>
          </cell>
          <cell r="C300">
            <v>63.046300000000002</v>
          </cell>
          <cell r="D300">
            <v>61.21</v>
          </cell>
          <cell r="E300">
            <v>1.03</v>
          </cell>
        </row>
        <row r="301">
          <cell r="A301" t="str">
            <v>B1477</v>
          </cell>
          <cell r="B301">
            <v>0</v>
          </cell>
          <cell r="C301">
            <v>68.474400000000003</v>
          </cell>
          <cell r="D301">
            <v>66.48</v>
          </cell>
          <cell r="E301">
            <v>1.03</v>
          </cell>
        </row>
        <row r="302">
          <cell r="A302" t="str">
            <v>B1477S</v>
          </cell>
          <cell r="B302">
            <v>0</v>
          </cell>
          <cell r="C302">
            <v>63.653999999999996</v>
          </cell>
          <cell r="D302">
            <v>61.8</v>
          </cell>
          <cell r="E302">
            <v>1.03</v>
          </cell>
        </row>
        <row r="303">
          <cell r="A303" t="str">
            <v>B1481</v>
          </cell>
          <cell r="B303">
            <v>0</v>
          </cell>
          <cell r="C303">
            <v>10.9283</v>
          </cell>
          <cell r="D303">
            <v>10.61</v>
          </cell>
          <cell r="E303">
            <v>1.03</v>
          </cell>
        </row>
        <row r="304">
          <cell r="A304" t="str">
            <v>B1482</v>
          </cell>
          <cell r="B304">
            <v>0</v>
          </cell>
          <cell r="C304">
            <v>43.4557</v>
          </cell>
          <cell r="D304">
            <v>42.19</v>
          </cell>
          <cell r="E304">
            <v>1.03</v>
          </cell>
        </row>
        <row r="305">
          <cell r="A305" t="str">
            <v>B1487</v>
          </cell>
          <cell r="B305">
            <v>0</v>
          </cell>
          <cell r="C305">
            <v>58.401000000000003</v>
          </cell>
          <cell r="D305">
            <v>56.7</v>
          </cell>
          <cell r="E305">
            <v>1.03</v>
          </cell>
        </row>
        <row r="306">
          <cell r="A306" t="str">
            <v>B1487S</v>
          </cell>
          <cell r="B306">
            <v>0</v>
          </cell>
          <cell r="C306">
            <v>54.281000000000006</v>
          </cell>
          <cell r="D306">
            <v>52.7</v>
          </cell>
          <cell r="E306">
            <v>1.03</v>
          </cell>
        </row>
        <row r="307">
          <cell r="A307" t="str">
            <v>1491L</v>
          </cell>
          <cell r="B307">
            <v>0</v>
          </cell>
          <cell r="C307">
            <v>63.025700000000001</v>
          </cell>
          <cell r="D307">
            <v>61.19</v>
          </cell>
          <cell r="E307">
            <v>1.03</v>
          </cell>
        </row>
        <row r="308">
          <cell r="A308" t="str">
            <v>1492L</v>
          </cell>
          <cell r="B308">
            <v>0</v>
          </cell>
          <cell r="C308">
            <v>63.025700000000001</v>
          </cell>
          <cell r="D308">
            <v>61.19</v>
          </cell>
          <cell r="E308">
            <v>1.03</v>
          </cell>
        </row>
        <row r="309">
          <cell r="A309" t="str">
            <v>B1791</v>
          </cell>
          <cell r="B309">
            <v>0</v>
          </cell>
          <cell r="C309">
            <v>58.59</v>
          </cell>
          <cell r="D309">
            <v>56.88</v>
          </cell>
        </row>
        <row r="310">
          <cell r="A310" t="str">
            <v>B1792</v>
          </cell>
          <cell r="B310">
            <v>0</v>
          </cell>
          <cell r="C310">
            <v>58.59</v>
          </cell>
          <cell r="D310">
            <v>56.88</v>
          </cell>
        </row>
        <row r="311">
          <cell r="A311" t="str">
            <v>B2009</v>
          </cell>
          <cell r="B311">
            <v>0</v>
          </cell>
          <cell r="C311">
            <v>10.56</v>
          </cell>
        </row>
        <row r="312">
          <cell r="A312" t="str">
            <v>B2019</v>
          </cell>
          <cell r="B312">
            <v>0</v>
          </cell>
          <cell r="C312">
            <v>31.09</v>
          </cell>
          <cell r="D312">
            <v>31.09</v>
          </cell>
        </row>
        <row r="313">
          <cell r="A313" t="str">
            <v>B2025</v>
          </cell>
          <cell r="B313">
            <v>0</v>
          </cell>
          <cell r="C313">
            <v>49.285500000000006</v>
          </cell>
          <cell r="D313">
            <v>47.85</v>
          </cell>
          <cell r="E313">
            <v>1.03</v>
          </cell>
        </row>
        <row r="314">
          <cell r="A314" t="str">
            <v>B2040</v>
          </cell>
          <cell r="B314">
            <v>0</v>
          </cell>
          <cell r="C314">
            <v>64.19</v>
          </cell>
          <cell r="D314">
            <v>64.19</v>
          </cell>
        </row>
        <row r="315">
          <cell r="A315" t="str">
            <v>B2500</v>
          </cell>
          <cell r="B315">
            <v>0</v>
          </cell>
          <cell r="C315">
            <v>16.294599999999999</v>
          </cell>
          <cell r="D315">
            <v>15.82</v>
          </cell>
          <cell r="E315">
            <v>1.03</v>
          </cell>
        </row>
        <row r="316">
          <cell r="A316" t="str">
            <v>B2530</v>
          </cell>
          <cell r="B316">
            <v>0</v>
          </cell>
          <cell r="C316">
            <v>26.821200000000001</v>
          </cell>
          <cell r="D316">
            <v>26.04</v>
          </cell>
          <cell r="E316">
            <v>1.03</v>
          </cell>
        </row>
        <row r="317">
          <cell r="A317" t="str">
            <v>B2537</v>
          </cell>
          <cell r="B317">
            <v>0</v>
          </cell>
          <cell r="C317">
            <v>64.045400000000001</v>
          </cell>
          <cell r="D317">
            <v>62.18</v>
          </cell>
          <cell r="E317">
            <v>1.03</v>
          </cell>
        </row>
        <row r="318">
          <cell r="A318" t="str">
            <v>B2538</v>
          </cell>
          <cell r="B318">
            <v>0</v>
          </cell>
          <cell r="C318">
            <v>64.045400000000001</v>
          </cell>
          <cell r="D318">
            <v>62.18</v>
          </cell>
          <cell r="E318">
            <v>1.03</v>
          </cell>
        </row>
        <row r="319">
          <cell r="A319" t="str">
            <v>B2541</v>
          </cell>
          <cell r="B319">
            <v>0</v>
          </cell>
          <cell r="C319">
            <v>56.989899999999999</v>
          </cell>
          <cell r="D319">
            <v>55.33</v>
          </cell>
          <cell r="E319">
            <v>1.03</v>
          </cell>
        </row>
        <row r="320">
          <cell r="A320" t="str">
            <v>B2542</v>
          </cell>
          <cell r="B320">
            <v>0</v>
          </cell>
          <cell r="C320">
            <v>56.989899999999999</v>
          </cell>
          <cell r="D320">
            <v>55.33</v>
          </cell>
          <cell r="E320">
            <v>1.03</v>
          </cell>
        </row>
        <row r="321">
          <cell r="A321" t="str">
            <v>B2552</v>
          </cell>
          <cell r="B321">
            <v>0</v>
          </cell>
          <cell r="C321">
            <v>51.6751</v>
          </cell>
          <cell r="D321">
            <v>50.17</v>
          </cell>
          <cell r="E321">
            <v>1.03</v>
          </cell>
        </row>
        <row r="322">
          <cell r="A322" t="str">
            <v>B2554</v>
          </cell>
          <cell r="B322">
            <v>0</v>
          </cell>
          <cell r="C322">
            <v>58.730600000000003</v>
          </cell>
          <cell r="D322">
            <v>57.02</v>
          </cell>
          <cell r="E322">
            <v>1.03</v>
          </cell>
        </row>
        <row r="323">
          <cell r="A323" t="str">
            <v>B2555</v>
          </cell>
          <cell r="B323">
            <v>0</v>
          </cell>
          <cell r="C323">
            <v>72.141200000000012</v>
          </cell>
          <cell r="D323">
            <v>70.040000000000006</v>
          </cell>
          <cell r="E323">
            <v>1.03</v>
          </cell>
        </row>
        <row r="324">
          <cell r="A324" t="str">
            <v>B2557</v>
          </cell>
          <cell r="B324">
            <v>0</v>
          </cell>
          <cell r="C324">
            <v>83.934699999999992</v>
          </cell>
          <cell r="D324">
            <v>81.489999999999995</v>
          </cell>
          <cell r="E324">
            <v>1.03</v>
          </cell>
        </row>
        <row r="325">
          <cell r="A325" t="str">
            <v>B2560</v>
          </cell>
          <cell r="B325">
            <v>0</v>
          </cell>
          <cell r="C325">
            <v>43.970700000000001</v>
          </cell>
          <cell r="D325">
            <v>42.69</v>
          </cell>
          <cell r="E325">
            <v>1.03</v>
          </cell>
        </row>
        <row r="326">
          <cell r="A326" t="str">
            <v>B2561</v>
          </cell>
          <cell r="B326">
            <v>0</v>
          </cell>
          <cell r="C326">
            <v>13.884400000000001</v>
          </cell>
          <cell r="D326">
            <v>13.48</v>
          </cell>
          <cell r="E326">
            <v>1.03</v>
          </cell>
        </row>
        <row r="327">
          <cell r="A327" t="str">
            <v>B2563</v>
          </cell>
          <cell r="B327">
            <v>0</v>
          </cell>
          <cell r="C327">
            <v>44.774099999999997</v>
          </cell>
          <cell r="D327">
            <v>43.47</v>
          </cell>
          <cell r="E327">
            <v>1.03</v>
          </cell>
        </row>
        <row r="328">
          <cell r="A328" t="str">
            <v>B2565</v>
          </cell>
          <cell r="B328">
            <v>0</v>
          </cell>
          <cell r="C328">
            <v>49.45</v>
          </cell>
          <cell r="D328">
            <v>48.01</v>
          </cell>
          <cell r="E328">
            <v>1.03</v>
          </cell>
        </row>
        <row r="329">
          <cell r="A329" t="str">
            <v>B2566</v>
          </cell>
          <cell r="B329">
            <v>0</v>
          </cell>
          <cell r="C329">
            <v>56.85</v>
          </cell>
          <cell r="D329">
            <v>55.19</v>
          </cell>
          <cell r="E329">
            <v>1.03</v>
          </cell>
        </row>
        <row r="330">
          <cell r="A330" t="str">
            <v>B2567</v>
          </cell>
          <cell r="B330">
            <v>0</v>
          </cell>
          <cell r="C330">
            <v>57.05</v>
          </cell>
          <cell r="D330">
            <v>55.39</v>
          </cell>
        </row>
        <row r="331">
          <cell r="A331" t="str">
            <v>B2591</v>
          </cell>
          <cell r="B331">
            <v>0</v>
          </cell>
          <cell r="C331">
            <v>17.8</v>
          </cell>
          <cell r="D331">
            <v>17.28</v>
          </cell>
        </row>
        <row r="332">
          <cell r="A332" t="str">
            <v>B2592</v>
          </cell>
          <cell r="B332">
            <v>0</v>
          </cell>
          <cell r="C332">
            <v>46.8</v>
          </cell>
          <cell r="D332">
            <v>45.44</v>
          </cell>
        </row>
        <row r="333">
          <cell r="A333" t="str">
            <v>B2593</v>
          </cell>
          <cell r="B333">
            <v>0</v>
          </cell>
          <cell r="C333">
            <v>55.692100000000003</v>
          </cell>
          <cell r="D333">
            <v>54.07</v>
          </cell>
          <cell r="E333">
            <v>1.03</v>
          </cell>
        </row>
        <row r="334">
          <cell r="A334" t="str">
            <v>B2595</v>
          </cell>
          <cell r="B334">
            <v>0</v>
          </cell>
          <cell r="C334">
            <v>63.45</v>
          </cell>
          <cell r="D334">
            <v>61.6</v>
          </cell>
        </row>
        <row r="335">
          <cell r="A335" t="str">
            <v>B2597</v>
          </cell>
          <cell r="B335">
            <v>0</v>
          </cell>
          <cell r="C335">
            <v>68.371399999999994</v>
          </cell>
          <cell r="D335">
            <v>66.38</v>
          </cell>
          <cell r="E335">
            <v>1.03</v>
          </cell>
        </row>
        <row r="336">
          <cell r="A336" t="str">
            <v>B2598</v>
          </cell>
          <cell r="B336">
            <v>0</v>
          </cell>
          <cell r="C336">
            <v>68.37</v>
          </cell>
          <cell r="D336">
            <v>66.38</v>
          </cell>
        </row>
        <row r="337">
          <cell r="A337" t="str">
            <v>B2630</v>
          </cell>
          <cell r="B337">
            <v>0</v>
          </cell>
          <cell r="C337">
            <v>23.51</v>
          </cell>
        </row>
        <row r="338">
          <cell r="A338" t="str">
            <v>B2633</v>
          </cell>
          <cell r="B338">
            <v>0</v>
          </cell>
          <cell r="C338">
            <v>32.64</v>
          </cell>
        </row>
        <row r="339">
          <cell r="A339" t="str">
            <v>B2635</v>
          </cell>
          <cell r="B339">
            <v>0</v>
          </cell>
          <cell r="C339">
            <v>35.630000000000003</v>
          </cell>
        </row>
        <row r="340">
          <cell r="A340" t="str">
            <v>B2636</v>
          </cell>
          <cell r="B340">
            <v>0</v>
          </cell>
          <cell r="C340">
            <v>35.630000000000003</v>
          </cell>
        </row>
        <row r="341">
          <cell r="A341" t="str">
            <v>B2637</v>
          </cell>
          <cell r="B341">
            <v>0</v>
          </cell>
          <cell r="C341">
            <v>41</v>
          </cell>
        </row>
        <row r="342">
          <cell r="A342" t="str">
            <v>B2638</v>
          </cell>
          <cell r="B342">
            <v>0</v>
          </cell>
          <cell r="C342">
            <v>41</v>
          </cell>
        </row>
        <row r="343">
          <cell r="A343" t="str">
            <v>B2640</v>
          </cell>
          <cell r="B343">
            <v>0</v>
          </cell>
          <cell r="C343">
            <v>35.94</v>
          </cell>
        </row>
        <row r="344">
          <cell r="A344" t="str">
            <v>B2641</v>
          </cell>
          <cell r="B344">
            <v>0</v>
          </cell>
          <cell r="C344">
            <v>43.95</v>
          </cell>
        </row>
        <row r="345">
          <cell r="A345" t="str">
            <v>B2642</v>
          </cell>
          <cell r="B345">
            <v>0</v>
          </cell>
          <cell r="C345">
            <v>43.95</v>
          </cell>
        </row>
        <row r="346">
          <cell r="A346" t="str">
            <v>B3730</v>
          </cell>
          <cell r="B346">
            <v>0</v>
          </cell>
          <cell r="C346">
            <v>23.957800000000002</v>
          </cell>
          <cell r="D346">
            <v>23.26</v>
          </cell>
          <cell r="E346">
            <v>1.03</v>
          </cell>
        </row>
        <row r="347">
          <cell r="A347" t="str">
            <v>B3731</v>
          </cell>
          <cell r="B347">
            <v>0</v>
          </cell>
          <cell r="C347">
            <v>13.81</v>
          </cell>
          <cell r="D347">
            <v>13.41</v>
          </cell>
          <cell r="E347">
            <v>1.03</v>
          </cell>
        </row>
        <row r="348">
          <cell r="A348" t="str">
            <v>B3732</v>
          </cell>
          <cell r="B348">
            <v>0</v>
          </cell>
          <cell r="C348">
            <v>36.4208</v>
          </cell>
          <cell r="D348">
            <v>35.36</v>
          </cell>
          <cell r="E348">
            <v>1.03</v>
          </cell>
        </row>
        <row r="349">
          <cell r="A349" t="str">
            <v>B3733</v>
          </cell>
          <cell r="B349">
            <v>0</v>
          </cell>
          <cell r="C349">
            <v>36.42</v>
          </cell>
          <cell r="D349">
            <v>35.36</v>
          </cell>
        </row>
        <row r="350">
          <cell r="A350" t="str">
            <v>B3735</v>
          </cell>
          <cell r="B350">
            <v>0</v>
          </cell>
          <cell r="C350">
            <v>37.24</v>
          </cell>
          <cell r="D350">
            <v>36.159999999999997</v>
          </cell>
        </row>
        <row r="351">
          <cell r="A351" t="str">
            <v>B3736</v>
          </cell>
          <cell r="B351">
            <v>0</v>
          </cell>
          <cell r="C351">
            <v>37.24</v>
          </cell>
          <cell r="D351">
            <v>36.159999999999997</v>
          </cell>
        </row>
        <row r="352">
          <cell r="A352" t="str">
            <v>B3737</v>
          </cell>
          <cell r="B352">
            <v>0</v>
          </cell>
          <cell r="C352">
            <v>47.88</v>
          </cell>
          <cell r="D352">
            <v>46.46</v>
          </cell>
        </row>
        <row r="353">
          <cell r="A353" t="str">
            <v>B3738</v>
          </cell>
          <cell r="B353">
            <v>0</v>
          </cell>
          <cell r="C353">
            <v>47.88</v>
          </cell>
          <cell r="D353">
            <v>46.46</v>
          </cell>
        </row>
        <row r="354">
          <cell r="A354" t="str">
            <v>B3740</v>
          </cell>
          <cell r="B354">
            <v>0</v>
          </cell>
          <cell r="C354">
            <v>36.317799999999998</v>
          </cell>
          <cell r="D354">
            <v>35.26</v>
          </cell>
          <cell r="E354">
            <v>1.03</v>
          </cell>
        </row>
        <row r="355">
          <cell r="A355" t="str">
            <v>B3750</v>
          </cell>
          <cell r="B355">
            <v>0</v>
          </cell>
          <cell r="C355">
            <v>31.69</v>
          </cell>
          <cell r="D355">
            <v>30.77</v>
          </cell>
        </row>
        <row r="356">
          <cell r="A356" t="str">
            <v>B3761</v>
          </cell>
          <cell r="B356">
            <v>0</v>
          </cell>
          <cell r="C356">
            <v>10.84</v>
          </cell>
          <cell r="D356">
            <v>10.52</v>
          </cell>
        </row>
        <row r="357">
          <cell r="A357" t="str">
            <v>B3762</v>
          </cell>
          <cell r="B357">
            <v>0</v>
          </cell>
          <cell r="C357">
            <v>50.4</v>
          </cell>
          <cell r="D357">
            <v>48.93</v>
          </cell>
        </row>
        <row r="358">
          <cell r="A358" t="str">
            <v>B3765</v>
          </cell>
          <cell r="B358">
            <v>0</v>
          </cell>
          <cell r="C358">
            <v>55.93</v>
          </cell>
          <cell r="D358">
            <v>54.3</v>
          </cell>
        </row>
        <row r="359">
          <cell r="A359" t="str">
            <v>B3767</v>
          </cell>
          <cell r="B359">
            <v>0</v>
          </cell>
          <cell r="C359">
            <v>60.75</v>
          </cell>
          <cell r="D359">
            <v>60.75</v>
          </cell>
        </row>
        <row r="360">
          <cell r="A360" t="str">
            <v>B3830</v>
          </cell>
          <cell r="B360">
            <v>0</v>
          </cell>
          <cell r="C360">
            <v>23.18</v>
          </cell>
          <cell r="D360">
            <v>23.18</v>
          </cell>
        </row>
        <row r="361">
          <cell r="A361" t="str">
            <v>B3841</v>
          </cell>
          <cell r="B361">
            <v>0</v>
          </cell>
          <cell r="C361">
            <v>45.1</v>
          </cell>
          <cell r="D361">
            <v>45.1</v>
          </cell>
        </row>
        <row r="362">
          <cell r="A362" t="str">
            <v>B3842</v>
          </cell>
          <cell r="B362">
            <v>0</v>
          </cell>
          <cell r="C362">
            <v>45.1</v>
          </cell>
          <cell r="D362">
            <v>45.1</v>
          </cell>
        </row>
        <row r="363">
          <cell r="A363" t="str">
            <v>B3850</v>
          </cell>
          <cell r="B363">
            <v>0</v>
          </cell>
          <cell r="C363">
            <v>43.939799999999998</v>
          </cell>
          <cell r="D363">
            <v>42.66</v>
          </cell>
          <cell r="E363">
            <v>1.03</v>
          </cell>
        </row>
        <row r="364">
          <cell r="A364" t="str">
            <v>B3850S</v>
          </cell>
          <cell r="B364">
            <v>0</v>
          </cell>
          <cell r="C364">
            <v>42.6008</v>
          </cell>
          <cell r="D364">
            <v>41.36</v>
          </cell>
          <cell r="E364">
            <v>1.03</v>
          </cell>
        </row>
        <row r="365">
          <cell r="A365" t="str">
            <v>B3851</v>
          </cell>
          <cell r="B365">
            <v>0</v>
          </cell>
          <cell r="C365">
            <v>17.407</v>
          </cell>
          <cell r="D365">
            <v>16.899999999999999</v>
          </cell>
          <cell r="E365">
            <v>1.03</v>
          </cell>
        </row>
        <row r="366">
          <cell r="A366" t="str">
            <v>B3852</v>
          </cell>
          <cell r="B366">
            <v>0</v>
          </cell>
          <cell r="C366">
            <v>44.75</v>
          </cell>
          <cell r="D366">
            <v>43.45</v>
          </cell>
        </row>
        <row r="367">
          <cell r="A367" t="str">
            <v>B3860</v>
          </cell>
          <cell r="B367">
            <v>0</v>
          </cell>
          <cell r="C367">
            <v>39.15</v>
          </cell>
          <cell r="D367">
            <v>39.15</v>
          </cell>
        </row>
        <row r="368">
          <cell r="A368" t="str">
            <v>B3930</v>
          </cell>
          <cell r="B368">
            <v>0</v>
          </cell>
          <cell r="C368">
            <v>20.88</v>
          </cell>
          <cell r="D368">
            <v>20.88</v>
          </cell>
        </row>
        <row r="369">
          <cell r="A369" t="str">
            <v>B3941</v>
          </cell>
          <cell r="B369">
            <v>0</v>
          </cell>
          <cell r="C369">
            <v>36.6</v>
          </cell>
          <cell r="D369">
            <v>36.6</v>
          </cell>
        </row>
        <row r="370">
          <cell r="A370" t="str">
            <v>B3942</v>
          </cell>
          <cell r="B370">
            <v>0</v>
          </cell>
          <cell r="C370">
            <v>36.6</v>
          </cell>
          <cell r="D370">
            <v>36.6</v>
          </cell>
        </row>
        <row r="371">
          <cell r="A371" t="str">
            <v>B3951</v>
          </cell>
          <cell r="B371">
            <v>0</v>
          </cell>
          <cell r="C371">
            <v>10.5472</v>
          </cell>
          <cell r="D371">
            <v>10.24</v>
          </cell>
          <cell r="E371">
            <v>1.03</v>
          </cell>
        </row>
        <row r="372">
          <cell r="A372" t="str">
            <v>B3952</v>
          </cell>
          <cell r="B372">
            <v>0</v>
          </cell>
          <cell r="C372">
            <v>38.501400000000004</v>
          </cell>
          <cell r="D372">
            <v>37.380000000000003</v>
          </cell>
          <cell r="E372">
            <v>1.03</v>
          </cell>
        </row>
        <row r="373">
          <cell r="A373" t="str">
            <v>B3955</v>
          </cell>
          <cell r="B373">
            <v>0</v>
          </cell>
          <cell r="C373">
            <v>45.052200000000006</v>
          </cell>
          <cell r="D373">
            <v>43.74</v>
          </cell>
          <cell r="E373">
            <v>1.03</v>
          </cell>
        </row>
        <row r="374">
          <cell r="A374" t="str">
            <v>B3957</v>
          </cell>
          <cell r="B374">
            <v>0</v>
          </cell>
          <cell r="C374">
            <v>51.6751</v>
          </cell>
          <cell r="D374">
            <v>50.17</v>
          </cell>
          <cell r="E374">
            <v>1.03</v>
          </cell>
        </row>
        <row r="375">
          <cell r="A375" t="str">
            <v>B3957S</v>
          </cell>
          <cell r="B375">
            <v>0</v>
          </cell>
          <cell r="C375">
            <v>47.4315</v>
          </cell>
          <cell r="D375">
            <v>46.05</v>
          </cell>
          <cell r="E375">
            <v>1.03</v>
          </cell>
        </row>
        <row r="376">
          <cell r="A376" t="str">
            <v>B3993</v>
          </cell>
          <cell r="B376">
            <v>0</v>
          </cell>
          <cell r="C376">
            <v>49.59</v>
          </cell>
          <cell r="D376">
            <v>49.59</v>
          </cell>
        </row>
        <row r="377">
          <cell r="A377" t="str">
            <v>B3994</v>
          </cell>
          <cell r="B377">
            <v>0</v>
          </cell>
          <cell r="C377">
            <v>49.59</v>
          </cell>
          <cell r="D377">
            <v>49.59</v>
          </cell>
        </row>
        <row r="378">
          <cell r="A378" t="str">
            <v>B4021</v>
          </cell>
          <cell r="B378">
            <v>0</v>
          </cell>
          <cell r="C378">
            <v>12.5351</v>
          </cell>
          <cell r="D378">
            <v>12.17</v>
          </cell>
          <cell r="E378">
            <v>1.03</v>
          </cell>
        </row>
        <row r="379">
          <cell r="A379" t="str">
            <v>B4022</v>
          </cell>
          <cell r="B379">
            <v>0</v>
          </cell>
          <cell r="C379">
            <v>42.0961</v>
          </cell>
          <cell r="D379">
            <v>40.869999999999997</v>
          </cell>
          <cell r="E379">
            <v>1.03</v>
          </cell>
        </row>
        <row r="380">
          <cell r="A380" t="str">
            <v>B4030</v>
          </cell>
          <cell r="B380">
            <v>0</v>
          </cell>
          <cell r="C380">
            <v>23.700300000000002</v>
          </cell>
          <cell r="D380">
            <v>23.01</v>
          </cell>
          <cell r="E380">
            <v>1.03</v>
          </cell>
        </row>
        <row r="381">
          <cell r="A381" t="str">
            <v>B4041</v>
          </cell>
          <cell r="B381">
            <v>0</v>
          </cell>
          <cell r="C381">
            <v>45.453900000000004</v>
          </cell>
          <cell r="D381">
            <v>44.13</v>
          </cell>
          <cell r="E381">
            <v>1.03</v>
          </cell>
        </row>
        <row r="382">
          <cell r="A382" t="str">
            <v>B4042</v>
          </cell>
          <cell r="B382">
            <v>0</v>
          </cell>
          <cell r="C382">
            <v>45.453900000000004</v>
          </cell>
          <cell r="D382">
            <v>44.13</v>
          </cell>
          <cell r="E382">
            <v>1.03</v>
          </cell>
        </row>
        <row r="383">
          <cell r="A383" t="str">
            <v>B4060</v>
          </cell>
          <cell r="B383">
            <v>0</v>
          </cell>
          <cell r="C383">
            <v>52.015000000000001</v>
          </cell>
          <cell r="D383">
            <v>50.5</v>
          </cell>
          <cell r="E383">
            <v>1.03</v>
          </cell>
        </row>
        <row r="384">
          <cell r="A384" t="str">
            <v>B4100</v>
          </cell>
          <cell r="B384">
            <v>0</v>
          </cell>
          <cell r="C384">
            <v>10.37</v>
          </cell>
          <cell r="D384">
            <v>10.37</v>
          </cell>
        </row>
        <row r="385">
          <cell r="A385" t="str">
            <v>B4137</v>
          </cell>
          <cell r="B385">
            <v>0</v>
          </cell>
          <cell r="C385">
            <v>29.07</v>
          </cell>
          <cell r="D385">
            <v>29.07</v>
          </cell>
        </row>
        <row r="386">
          <cell r="A386" t="str">
            <v>B4138</v>
          </cell>
          <cell r="B386">
            <v>0</v>
          </cell>
          <cell r="C386">
            <v>29.07</v>
          </cell>
          <cell r="D386">
            <v>29.07</v>
          </cell>
        </row>
        <row r="387">
          <cell r="A387" t="str">
            <v>B4140</v>
          </cell>
          <cell r="B387">
            <v>0</v>
          </cell>
          <cell r="C387">
            <v>20.74</v>
          </cell>
          <cell r="D387">
            <v>20.74</v>
          </cell>
        </row>
        <row r="388">
          <cell r="A388" t="str">
            <v>B4150</v>
          </cell>
          <cell r="B388">
            <v>0</v>
          </cell>
          <cell r="C388">
            <v>31.97</v>
          </cell>
          <cell r="D388">
            <v>31.97</v>
          </cell>
        </row>
        <row r="389">
          <cell r="A389" t="str">
            <v>B4151</v>
          </cell>
          <cell r="B389">
            <v>0</v>
          </cell>
          <cell r="C389">
            <v>12.88</v>
          </cell>
        </row>
        <row r="390">
          <cell r="A390" t="str">
            <v>B4152</v>
          </cell>
          <cell r="B390">
            <v>0</v>
          </cell>
          <cell r="C390">
            <v>47.01</v>
          </cell>
        </row>
        <row r="391">
          <cell r="A391" t="str">
            <v>B4157</v>
          </cell>
          <cell r="B391">
            <v>0</v>
          </cell>
          <cell r="C391">
            <v>56.84</v>
          </cell>
        </row>
        <row r="392">
          <cell r="A392" t="str">
            <v>B4160</v>
          </cell>
          <cell r="B392">
            <v>0</v>
          </cell>
          <cell r="C392">
            <v>32.479999999999997</v>
          </cell>
          <cell r="D392">
            <v>32.479999999999997</v>
          </cell>
        </row>
        <row r="393">
          <cell r="A393" t="str">
            <v>B4170</v>
          </cell>
          <cell r="B393">
            <v>0</v>
          </cell>
          <cell r="C393">
            <v>33.840000000000003</v>
          </cell>
          <cell r="D393">
            <v>33.840000000000003</v>
          </cell>
        </row>
        <row r="394">
          <cell r="A394" t="str">
            <v>B4180</v>
          </cell>
          <cell r="B394">
            <v>0</v>
          </cell>
          <cell r="C394">
            <v>34.020000000000003</v>
          </cell>
          <cell r="D394">
            <v>34.020000000000003</v>
          </cell>
        </row>
        <row r="395">
          <cell r="A395" t="str">
            <v>B4191</v>
          </cell>
          <cell r="B395">
            <v>0</v>
          </cell>
          <cell r="C395">
            <v>8.6999999999999993</v>
          </cell>
          <cell r="D395">
            <v>8.6999999999999993</v>
          </cell>
        </row>
        <row r="396">
          <cell r="A396" t="str">
            <v>B4192</v>
          </cell>
          <cell r="C396">
            <v>34.9</v>
          </cell>
          <cell r="D396">
            <v>34.9</v>
          </cell>
        </row>
        <row r="397">
          <cell r="A397" t="str">
            <v>B4195</v>
          </cell>
          <cell r="C397">
            <v>52.95</v>
          </cell>
          <cell r="D397">
            <v>52.95</v>
          </cell>
        </row>
        <row r="398">
          <cell r="A398" t="str">
            <v>B4197</v>
          </cell>
          <cell r="C398">
            <v>64.2</v>
          </cell>
          <cell r="D398">
            <v>64.2</v>
          </cell>
        </row>
        <row r="399">
          <cell r="A399" t="str">
            <v>B4237</v>
          </cell>
          <cell r="B399">
            <v>0</v>
          </cell>
          <cell r="C399">
            <v>30</v>
          </cell>
          <cell r="D399">
            <v>30</v>
          </cell>
        </row>
        <row r="400">
          <cell r="A400" t="str">
            <v>B4238</v>
          </cell>
          <cell r="B400">
            <v>0</v>
          </cell>
          <cell r="C400">
            <v>30</v>
          </cell>
          <cell r="D400">
            <v>30</v>
          </cell>
        </row>
        <row r="401">
          <cell r="A401" t="str">
            <v>B4241</v>
          </cell>
          <cell r="B401">
            <v>0</v>
          </cell>
          <cell r="C401">
            <v>39.01</v>
          </cell>
          <cell r="D401">
            <v>39.01</v>
          </cell>
        </row>
        <row r="402">
          <cell r="A402" t="str">
            <v>B4242</v>
          </cell>
          <cell r="B402">
            <v>0</v>
          </cell>
          <cell r="C402">
            <v>39.01</v>
          </cell>
          <cell r="D402">
            <v>39.01</v>
          </cell>
        </row>
        <row r="403">
          <cell r="A403" t="str">
            <v>B4291</v>
          </cell>
          <cell r="B403">
            <v>0</v>
          </cell>
          <cell r="C403">
            <v>12.26</v>
          </cell>
        </row>
        <row r="404">
          <cell r="A404" t="str">
            <v>B4292</v>
          </cell>
          <cell r="B404">
            <v>0</v>
          </cell>
          <cell r="C404">
            <v>45.34</v>
          </cell>
        </row>
        <row r="405">
          <cell r="A405" t="str">
            <v>B4295</v>
          </cell>
          <cell r="B405">
            <v>0</v>
          </cell>
          <cell r="C405">
            <v>54.32</v>
          </cell>
        </row>
        <row r="406">
          <cell r="A406" t="str">
            <v>B4297</v>
          </cell>
          <cell r="B406">
            <v>0</v>
          </cell>
          <cell r="C406">
            <v>61.26</v>
          </cell>
        </row>
        <row r="407">
          <cell r="A407" t="str">
            <v>B4451</v>
          </cell>
          <cell r="B407">
            <v>0</v>
          </cell>
          <cell r="C407">
            <v>14.04</v>
          </cell>
          <cell r="D407">
            <v>14.04</v>
          </cell>
        </row>
        <row r="408">
          <cell r="A408" t="str">
            <v>B4452</v>
          </cell>
          <cell r="B408">
            <v>0</v>
          </cell>
          <cell r="C408">
            <v>51.65</v>
          </cell>
          <cell r="D408">
            <v>51.65</v>
          </cell>
        </row>
        <row r="409">
          <cell r="A409" t="str">
            <v>B4455</v>
          </cell>
          <cell r="B409">
            <v>0</v>
          </cell>
          <cell r="C409">
            <v>61.63</v>
          </cell>
          <cell r="D409">
            <v>61.63</v>
          </cell>
        </row>
        <row r="410">
          <cell r="A410" t="str">
            <v>B4456</v>
          </cell>
          <cell r="B410">
            <v>0</v>
          </cell>
          <cell r="C410">
            <v>69.55</v>
          </cell>
          <cell r="D410">
            <v>69.55</v>
          </cell>
        </row>
        <row r="411">
          <cell r="A411" t="str">
            <v>B4457</v>
          </cell>
          <cell r="B411">
            <v>0</v>
          </cell>
          <cell r="C411">
            <v>71.709999999999994</v>
          </cell>
          <cell r="D411">
            <v>71.709999999999994</v>
          </cell>
        </row>
        <row r="412">
          <cell r="A412" t="str">
            <v>B4457S</v>
          </cell>
          <cell r="B412">
            <v>0</v>
          </cell>
          <cell r="C412">
            <v>69.55</v>
          </cell>
          <cell r="D412">
            <v>69.55</v>
          </cell>
        </row>
        <row r="413">
          <cell r="A413" t="str">
            <v>B4530</v>
          </cell>
          <cell r="B413">
            <v>0</v>
          </cell>
          <cell r="C413">
            <v>22.649699999999999</v>
          </cell>
          <cell r="D413">
            <v>21.99</v>
          </cell>
          <cell r="E413">
            <v>1.03</v>
          </cell>
        </row>
        <row r="414">
          <cell r="A414" t="str">
            <v>B4532</v>
          </cell>
          <cell r="B414">
            <v>0</v>
          </cell>
          <cell r="C414">
            <v>29.911200000000001</v>
          </cell>
          <cell r="D414">
            <v>29.04</v>
          </cell>
          <cell r="E414">
            <v>1.03</v>
          </cell>
        </row>
        <row r="415">
          <cell r="A415" t="str">
            <v>B4533</v>
          </cell>
          <cell r="B415">
            <v>0</v>
          </cell>
          <cell r="C415">
            <v>29.911200000000001</v>
          </cell>
          <cell r="D415">
            <v>29.04</v>
          </cell>
          <cell r="E415">
            <v>1.03</v>
          </cell>
        </row>
        <row r="416">
          <cell r="A416" t="str">
            <v>B4537</v>
          </cell>
          <cell r="B416">
            <v>0</v>
          </cell>
          <cell r="C416">
            <v>37.636200000000002</v>
          </cell>
          <cell r="D416">
            <v>36.54</v>
          </cell>
          <cell r="E416">
            <v>1.03</v>
          </cell>
        </row>
        <row r="417">
          <cell r="A417" t="str">
            <v>B4538</v>
          </cell>
          <cell r="B417">
            <v>0</v>
          </cell>
          <cell r="C417">
            <v>37.636200000000002</v>
          </cell>
          <cell r="D417">
            <v>36.54</v>
          </cell>
          <cell r="E417">
            <v>1.03</v>
          </cell>
        </row>
        <row r="418">
          <cell r="A418" t="str">
            <v>B4541</v>
          </cell>
          <cell r="B418">
            <v>0</v>
          </cell>
          <cell r="C418">
            <v>37.924599999999998</v>
          </cell>
          <cell r="D418">
            <v>36.82</v>
          </cell>
          <cell r="E418">
            <v>1.03</v>
          </cell>
        </row>
        <row r="419">
          <cell r="A419" t="str">
            <v>B4542</v>
          </cell>
          <cell r="B419">
            <v>0</v>
          </cell>
          <cell r="C419">
            <v>37.924599999999998</v>
          </cell>
          <cell r="D419">
            <v>36.82</v>
          </cell>
          <cell r="E419">
            <v>1.03</v>
          </cell>
        </row>
        <row r="420">
          <cell r="A420" t="str">
            <v>B4550</v>
          </cell>
          <cell r="B420">
            <v>0</v>
          </cell>
          <cell r="C420">
            <v>41.282400000000003</v>
          </cell>
          <cell r="D420">
            <v>40.08</v>
          </cell>
          <cell r="E420">
            <v>1.03</v>
          </cell>
        </row>
        <row r="421">
          <cell r="A421" t="str">
            <v>B4551</v>
          </cell>
          <cell r="B421">
            <v>0</v>
          </cell>
          <cell r="C421">
            <v>11.43</v>
          </cell>
          <cell r="D421">
            <v>11.1</v>
          </cell>
        </row>
        <row r="422">
          <cell r="A422" t="str">
            <v>B4552</v>
          </cell>
          <cell r="B422">
            <v>0</v>
          </cell>
          <cell r="C422">
            <v>42.65</v>
          </cell>
          <cell r="D422">
            <v>41.41</v>
          </cell>
        </row>
        <row r="423">
          <cell r="A423" t="str">
            <v>B4555</v>
          </cell>
          <cell r="B423">
            <v>0</v>
          </cell>
          <cell r="C423">
            <v>49.14</v>
          </cell>
          <cell r="D423">
            <v>47.71</v>
          </cell>
        </row>
        <row r="424">
          <cell r="A424" t="str">
            <v>B4557</v>
          </cell>
          <cell r="B424">
            <v>0</v>
          </cell>
          <cell r="C424">
            <v>53.55</v>
          </cell>
          <cell r="D424">
            <v>51.99</v>
          </cell>
        </row>
        <row r="425">
          <cell r="A425" t="str">
            <v>B4557S</v>
          </cell>
          <cell r="B425">
            <v>0</v>
          </cell>
          <cell r="C425">
            <v>46.96</v>
          </cell>
          <cell r="D425">
            <v>45.59</v>
          </cell>
        </row>
        <row r="426">
          <cell r="A426" t="str">
            <v>B4558</v>
          </cell>
          <cell r="B426">
            <v>0</v>
          </cell>
          <cell r="C426">
            <v>51.39</v>
          </cell>
          <cell r="D426">
            <v>51.39</v>
          </cell>
        </row>
        <row r="427">
          <cell r="A427" t="str">
            <v>B4561</v>
          </cell>
          <cell r="B427">
            <v>0</v>
          </cell>
          <cell r="C427">
            <v>11.79</v>
          </cell>
          <cell r="D427">
            <v>11.79</v>
          </cell>
        </row>
        <row r="428">
          <cell r="A428" t="str">
            <v>B4562</v>
          </cell>
          <cell r="B428">
            <v>0</v>
          </cell>
          <cell r="C428">
            <v>32.11</v>
          </cell>
          <cell r="D428">
            <v>32.11</v>
          </cell>
        </row>
        <row r="429">
          <cell r="A429" t="str">
            <v>B4565</v>
          </cell>
          <cell r="B429">
            <v>0</v>
          </cell>
          <cell r="C429">
            <v>40.18</v>
          </cell>
          <cell r="D429">
            <v>40.18</v>
          </cell>
        </row>
        <row r="430">
          <cell r="A430" t="str">
            <v>B4567</v>
          </cell>
          <cell r="B430">
            <v>0</v>
          </cell>
          <cell r="C430">
            <v>44.99</v>
          </cell>
          <cell r="D430">
            <v>44.99</v>
          </cell>
        </row>
        <row r="431">
          <cell r="A431" t="str">
            <v>B4567S</v>
          </cell>
          <cell r="B431">
            <v>0</v>
          </cell>
          <cell r="C431">
            <v>38.520000000000003</v>
          </cell>
          <cell r="D431">
            <v>38.520000000000003</v>
          </cell>
        </row>
        <row r="432">
          <cell r="A432" t="str">
            <v>B4570</v>
          </cell>
          <cell r="B432">
            <v>0</v>
          </cell>
          <cell r="C432">
            <v>23.75</v>
          </cell>
          <cell r="D432">
            <v>23.75</v>
          </cell>
        </row>
        <row r="433">
          <cell r="A433" t="str">
            <v>B4580</v>
          </cell>
          <cell r="B433">
            <v>0</v>
          </cell>
          <cell r="C433">
            <v>36.28</v>
          </cell>
          <cell r="D433">
            <v>36.28</v>
          </cell>
        </row>
        <row r="434">
          <cell r="A434" t="str">
            <v>B4591</v>
          </cell>
          <cell r="B434">
            <v>0</v>
          </cell>
          <cell r="C434">
            <v>11.6699</v>
          </cell>
          <cell r="D434">
            <v>11.33</v>
          </cell>
          <cell r="E434">
            <v>1.03</v>
          </cell>
        </row>
        <row r="435">
          <cell r="A435" t="str">
            <v>B4592</v>
          </cell>
          <cell r="B435">
            <v>0</v>
          </cell>
          <cell r="C435">
            <v>37.337499999999999</v>
          </cell>
          <cell r="D435">
            <v>36.25</v>
          </cell>
          <cell r="E435">
            <v>1.03</v>
          </cell>
        </row>
        <row r="436">
          <cell r="A436" t="str">
            <v>B4593</v>
          </cell>
          <cell r="B436">
            <v>0</v>
          </cell>
          <cell r="C436">
            <v>58.246499999999997</v>
          </cell>
          <cell r="D436">
            <v>56.55</v>
          </cell>
          <cell r="E436">
            <v>1.03</v>
          </cell>
        </row>
        <row r="437">
          <cell r="A437" t="str">
            <v>B4594</v>
          </cell>
          <cell r="B437">
            <v>0</v>
          </cell>
          <cell r="C437">
            <v>58.246499999999997</v>
          </cell>
          <cell r="D437">
            <v>56.55</v>
          </cell>
          <cell r="E437">
            <v>1.03</v>
          </cell>
        </row>
        <row r="438">
          <cell r="A438" t="str">
            <v>B4595</v>
          </cell>
          <cell r="B438">
            <v>0</v>
          </cell>
          <cell r="C438">
            <v>45.2273</v>
          </cell>
          <cell r="D438">
            <v>43.91</v>
          </cell>
          <cell r="E438">
            <v>1.03</v>
          </cell>
        </row>
        <row r="439">
          <cell r="A439" t="str">
            <v>B4597</v>
          </cell>
          <cell r="B439">
            <v>0</v>
          </cell>
          <cell r="C439">
            <v>51.026200000000003</v>
          </cell>
          <cell r="D439">
            <v>49.54</v>
          </cell>
          <cell r="E439">
            <v>1.03</v>
          </cell>
        </row>
        <row r="440">
          <cell r="A440" t="str">
            <v>B4597S</v>
          </cell>
          <cell r="B440">
            <v>0</v>
          </cell>
          <cell r="C440">
            <v>45.268500000000003</v>
          </cell>
          <cell r="D440">
            <v>43.95</v>
          </cell>
          <cell r="E440">
            <v>1.03</v>
          </cell>
        </row>
        <row r="441">
          <cell r="A441" t="str">
            <v>B4722</v>
          </cell>
          <cell r="B441">
            <v>0</v>
          </cell>
          <cell r="C441">
            <v>38.17</v>
          </cell>
        </row>
        <row r="442">
          <cell r="A442" t="str">
            <v>B4727</v>
          </cell>
          <cell r="B442">
            <v>0</v>
          </cell>
          <cell r="C442">
            <v>51.73</v>
          </cell>
        </row>
        <row r="443">
          <cell r="A443" t="str">
            <v>B4961</v>
          </cell>
          <cell r="B443">
            <v>0</v>
          </cell>
          <cell r="C443">
            <v>13.91</v>
          </cell>
          <cell r="D443">
            <v>13.51</v>
          </cell>
        </row>
        <row r="444">
          <cell r="A444" t="str">
            <v>B4962</v>
          </cell>
          <cell r="B444">
            <v>0</v>
          </cell>
          <cell r="C444">
            <v>43.59</v>
          </cell>
          <cell r="D444">
            <v>42.32</v>
          </cell>
        </row>
        <row r="445">
          <cell r="A445" t="str">
            <v>B4965</v>
          </cell>
          <cell r="B445">
            <v>0</v>
          </cell>
          <cell r="C445">
            <v>55.41</v>
          </cell>
          <cell r="D445">
            <v>54.54</v>
          </cell>
        </row>
        <row r="446">
          <cell r="A446" t="str">
            <v>B4966</v>
          </cell>
          <cell r="B446">
            <v>0</v>
          </cell>
          <cell r="C446">
            <v>69.2</v>
          </cell>
          <cell r="D446">
            <v>64.38</v>
          </cell>
        </row>
        <row r="447">
          <cell r="A447" t="str">
            <v>B4967</v>
          </cell>
          <cell r="B447">
            <v>0</v>
          </cell>
          <cell r="C447">
            <v>79.13</v>
          </cell>
          <cell r="D447">
            <v>73.61</v>
          </cell>
        </row>
        <row r="448">
          <cell r="A448" t="str">
            <v>B5051</v>
          </cell>
          <cell r="B448">
            <v>0</v>
          </cell>
          <cell r="C448">
            <v>18.787199999999999</v>
          </cell>
          <cell r="D448">
            <v>18.239999999999998</v>
          </cell>
          <cell r="E448">
            <v>1.03</v>
          </cell>
        </row>
        <row r="449">
          <cell r="A449" t="str">
            <v>B5053</v>
          </cell>
          <cell r="B449">
            <v>0</v>
          </cell>
          <cell r="C449">
            <v>47.328500000000005</v>
          </cell>
          <cell r="D449">
            <v>45.95</v>
          </cell>
          <cell r="E449">
            <v>1.03</v>
          </cell>
        </row>
        <row r="450">
          <cell r="A450" t="str">
            <v>B5055</v>
          </cell>
          <cell r="B450">
            <v>0</v>
          </cell>
          <cell r="C450">
            <v>55.527299999999997</v>
          </cell>
          <cell r="D450">
            <v>53.91</v>
          </cell>
          <cell r="E450">
            <v>1.03</v>
          </cell>
        </row>
        <row r="451">
          <cell r="A451" t="str">
            <v>B5057</v>
          </cell>
          <cell r="B451">
            <v>0</v>
          </cell>
          <cell r="C451">
            <v>60.110799999999998</v>
          </cell>
          <cell r="D451">
            <v>58.36</v>
          </cell>
          <cell r="E451">
            <v>1.03</v>
          </cell>
        </row>
        <row r="452">
          <cell r="A452" t="str">
            <v>B5057S</v>
          </cell>
          <cell r="B452">
            <v>0</v>
          </cell>
          <cell r="C452">
            <v>57.391599999999997</v>
          </cell>
          <cell r="D452">
            <v>55.72</v>
          </cell>
          <cell r="E452">
            <v>1.03</v>
          </cell>
        </row>
        <row r="453">
          <cell r="A453" t="str">
            <v>B5091</v>
          </cell>
          <cell r="B453">
            <v>0</v>
          </cell>
          <cell r="C453">
            <v>11.03</v>
          </cell>
          <cell r="D453">
            <v>10.71</v>
          </cell>
        </row>
        <row r="454">
          <cell r="A454" t="str">
            <v>B5092</v>
          </cell>
          <cell r="B454">
            <v>0</v>
          </cell>
          <cell r="C454">
            <v>48.47</v>
          </cell>
          <cell r="D454">
            <v>47.06</v>
          </cell>
        </row>
        <row r="455">
          <cell r="A455" t="str">
            <v>B5095</v>
          </cell>
          <cell r="B455">
            <v>0</v>
          </cell>
          <cell r="C455">
            <v>54.16</v>
          </cell>
          <cell r="D455">
            <v>52.58</v>
          </cell>
        </row>
        <row r="456">
          <cell r="A456" t="str">
            <v>B5097</v>
          </cell>
          <cell r="B456">
            <v>0</v>
          </cell>
          <cell r="C456">
            <v>62.2</v>
          </cell>
          <cell r="D456">
            <v>60.39</v>
          </cell>
        </row>
        <row r="457">
          <cell r="A457" t="str">
            <v>B5097S</v>
          </cell>
          <cell r="B457">
            <v>0</v>
          </cell>
          <cell r="C457">
            <v>52.31</v>
          </cell>
          <cell r="D457">
            <v>50.79</v>
          </cell>
        </row>
        <row r="458">
          <cell r="A458" t="str">
            <v>B5182</v>
          </cell>
          <cell r="B458">
            <v>0</v>
          </cell>
          <cell r="C458">
            <v>22.9</v>
          </cell>
          <cell r="D458">
            <v>22.9</v>
          </cell>
        </row>
        <row r="459">
          <cell r="A459" t="str">
            <v>B5187</v>
          </cell>
          <cell r="B459">
            <v>0</v>
          </cell>
          <cell r="C459">
            <v>30.39</v>
          </cell>
          <cell r="D459">
            <v>30.39</v>
          </cell>
        </row>
        <row r="460">
          <cell r="A460" t="str">
            <v>B5291</v>
          </cell>
          <cell r="B460">
            <v>0</v>
          </cell>
          <cell r="C460">
            <v>11.03</v>
          </cell>
          <cell r="D460">
            <v>10.71</v>
          </cell>
        </row>
        <row r="461">
          <cell r="A461" t="str">
            <v>B5292</v>
          </cell>
          <cell r="B461">
            <v>0</v>
          </cell>
          <cell r="C461">
            <v>48.471800000000002</v>
          </cell>
          <cell r="D461">
            <v>47.06</v>
          </cell>
          <cell r="E461">
            <v>1.03</v>
          </cell>
        </row>
        <row r="462">
          <cell r="A462" t="str">
            <v>B5295</v>
          </cell>
          <cell r="B462">
            <v>0</v>
          </cell>
          <cell r="C462">
            <v>54.157400000000003</v>
          </cell>
          <cell r="D462">
            <v>52.58</v>
          </cell>
          <cell r="E462">
            <v>1.03</v>
          </cell>
        </row>
        <row r="463">
          <cell r="A463" t="str">
            <v>B5297</v>
          </cell>
          <cell r="B463">
            <v>0</v>
          </cell>
          <cell r="C463">
            <v>62.201700000000002</v>
          </cell>
          <cell r="D463">
            <v>60.39</v>
          </cell>
          <cell r="E463">
            <v>1.03</v>
          </cell>
        </row>
        <row r="464">
          <cell r="A464" t="str">
            <v>B5297S</v>
          </cell>
          <cell r="B464">
            <v>0</v>
          </cell>
          <cell r="C464">
            <v>52.31</v>
          </cell>
          <cell r="D464">
            <v>50.79</v>
          </cell>
        </row>
        <row r="465">
          <cell r="A465" t="str">
            <v>B5371</v>
          </cell>
          <cell r="B465">
            <v>0</v>
          </cell>
          <cell r="C465">
            <v>10.279400000000001</v>
          </cell>
          <cell r="D465">
            <v>9.98</v>
          </cell>
          <cell r="E465">
            <v>1.03</v>
          </cell>
        </row>
        <row r="466">
          <cell r="A466" t="str">
            <v>B5372</v>
          </cell>
          <cell r="B466">
            <v>0</v>
          </cell>
          <cell r="C466">
            <v>38.171800000000005</v>
          </cell>
          <cell r="D466">
            <v>37.06</v>
          </cell>
          <cell r="E466">
            <v>1.03</v>
          </cell>
        </row>
        <row r="467">
          <cell r="A467" t="str">
            <v>B5375</v>
          </cell>
          <cell r="B467">
            <v>0</v>
          </cell>
          <cell r="C467">
            <v>45.021300000000004</v>
          </cell>
          <cell r="D467">
            <v>43.71</v>
          </cell>
          <cell r="E467">
            <v>1.03</v>
          </cell>
        </row>
        <row r="468">
          <cell r="A468" t="str">
            <v>B5377</v>
          </cell>
          <cell r="B468">
            <v>0</v>
          </cell>
          <cell r="C468">
            <v>51.726599999999998</v>
          </cell>
          <cell r="D468">
            <v>50.22</v>
          </cell>
          <cell r="E468">
            <v>1.03</v>
          </cell>
        </row>
        <row r="469">
          <cell r="A469" t="str">
            <v>B5741</v>
          </cell>
          <cell r="B469">
            <v>0</v>
          </cell>
          <cell r="C469">
            <v>64.560400000000001</v>
          </cell>
          <cell r="D469">
            <v>62.68</v>
          </cell>
          <cell r="E469">
            <v>1.03</v>
          </cell>
        </row>
        <row r="470">
          <cell r="A470" t="str">
            <v>B5742</v>
          </cell>
          <cell r="B470">
            <v>0</v>
          </cell>
          <cell r="C470">
            <v>64.560400000000001</v>
          </cell>
          <cell r="D470">
            <v>62.68</v>
          </cell>
          <cell r="E470">
            <v>1.03</v>
          </cell>
        </row>
        <row r="471">
          <cell r="A471" t="str">
            <v>B5821</v>
          </cell>
          <cell r="B471">
            <v>0</v>
          </cell>
          <cell r="C471">
            <v>11.98</v>
          </cell>
          <cell r="D471">
            <v>11.98</v>
          </cell>
        </row>
        <row r="472">
          <cell r="A472" t="str">
            <v>B5822</v>
          </cell>
          <cell r="B472">
            <v>0</v>
          </cell>
          <cell r="C472">
            <v>36.72</v>
          </cell>
          <cell r="D472">
            <v>36.72</v>
          </cell>
        </row>
        <row r="473">
          <cell r="A473" t="str">
            <v>B5825</v>
          </cell>
          <cell r="B473">
            <v>0</v>
          </cell>
          <cell r="C473">
            <v>50.3</v>
          </cell>
          <cell r="D473">
            <v>50.3</v>
          </cell>
        </row>
        <row r="474">
          <cell r="A474" t="str">
            <v>B5825S</v>
          </cell>
          <cell r="B474">
            <v>0</v>
          </cell>
          <cell r="C474">
            <v>47.36</v>
          </cell>
          <cell r="D474">
            <v>47.36</v>
          </cell>
        </row>
        <row r="475">
          <cell r="A475" t="str">
            <v>B5827</v>
          </cell>
          <cell r="B475">
            <v>0</v>
          </cell>
          <cell r="C475">
            <v>54.05</v>
          </cell>
          <cell r="D475">
            <v>54.05</v>
          </cell>
        </row>
        <row r="476">
          <cell r="A476" t="str">
            <v>B5827S</v>
          </cell>
          <cell r="B476">
            <v>0</v>
          </cell>
          <cell r="C476">
            <v>49.17</v>
          </cell>
          <cell r="D476">
            <v>49.17</v>
          </cell>
        </row>
        <row r="477">
          <cell r="A477" t="str">
            <v>B5841</v>
          </cell>
          <cell r="B477">
            <v>0</v>
          </cell>
          <cell r="C477">
            <v>10.7326</v>
          </cell>
          <cell r="D477">
            <v>10.42</v>
          </cell>
          <cell r="E477">
            <v>1.03</v>
          </cell>
        </row>
        <row r="478">
          <cell r="A478" t="str">
            <v>B5842</v>
          </cell>
          <cell r="B478">
            <v>0</v>
          </cell>
          <cell r="C478">
            <v>42.868600000000001</v>
          </cell>
          <cell r="D478">
            <v>41.62</v>
          </cell>
          <cell r="E478">
            <v>1.03</v>
          </cell>
        </row>
        <row r="479">
          <cell r="A479" t="str">
            <v>B5845</v>
          </cell>
          <cell r="B479">
            <v>0</v>
          </cell>
          <cell r="C479">
            <v>55.444899999999997</v>
          </cell>
          <cell r="D479">
            <v>53.83</v>
          </cell>
          <cell r="E479">
            <v>1.03</v>
          </cell>
        </row>
        <row r="480">
          <cell r="A480" t="str">
            <v>B5847</v>
          </cell>
          <cell r="B480">
            <v>0</v>
          </cell>
          <cell r="C480">
            <v>58.895400000000002</v>
          </cell>
          <cell r="D480">
            <v>57.18</v>
          </cell>
          <cell r="E480">
            <v>1.03</v>
          </cell>
        </row>
        <row r="481">
          <cell r="A481" t="str">
            <v>B5847S</v>
          </cell>
          <cell r="B481">
            <v>0</v>
          </cell>
          <cell r="C481">
            <v>53.2</v>
          </cell>
          <cell r="D481">
            <v>51.65</v>
          </cell>
        </row>
        <row r="482">
          <cell r="A482" t="str">
            <v>B6030</v>
          </cell>
          <cell r="B482">
            <v>0</v>
          </cell>
          <cell r="C482">
            <v>22.49</v>
          </cell>
          <cell r="D482">
            <v>22.49</v>
          </cell>
        </row>
        <row r="483">
          <cell r="A483" t="str">
            <v>B6032</v>
          </cell>
          <cell r="B483">
            <v>0</v>
          </cell>
          <cell r="C483">
            <v>32.43</v>
          </cell>
          <cell r="D483">
            <v>32.43</v>
          </cell>
        </row>
        <row r="484">
          <cell r="A484" t="str">
            <v>B6033</v>
          </cell>
          <cell r="B484">
            <v>0</v>
          </cell>
          <cell r="C484">
            <v>32.43</v>
          </cell>
          <cell r="D484">
            <v>32.43</v>
          </cell>
        </row>
        <row r="485">
          <cell r="A485" t="str">
            <v>B6037</v>
          </cell>
          <cell r="B485">
            <v>0</v>
          </cell>
          <cell r="C485">
            <v>44.62</v>
          </cell>
          <cell r="D485">
            <v>44.62</v>
          </cell>
        </row>
        <row r="486">
          <cell r="A486" t="str">
            <v>B6038</v>
          </cell>
          <cell r="B486">
            <v>0</v>
          </cell>
          <cell r="C486">
            <v>44.62</v>
          </cell>
          <cell r="D486">
            <v>44.62</v>
          </cell>
        </row>
        <row r="487">
          <cell r="A487" t="str">
            <v>B6040</v>
          </cell>
          <cell r="B487">
            <v>0</v>
          </cell>
          <cell r="C487">
            <v>34.96</v>
          </cell>
          <cell r="D487">
            <v>34.96</v>
          </cell>
        </row>
        <row r="488">
          <cell r="A488" t="str">
            <v>B6041</v>
          </cell>
          <cell r="B488">
            <v>0</v>
          </cell>
          <cell r="C488">
            <v>43.03</v>
          </cell>
          <cell r="D488">
            <v>43.03</v>
          </cell>
        </row>
        <row r="489">
          <cell r="A489" t="str">
            <v>B6042</v>
          </cell>
          <cell r="B489">
            <v>0</v>
          </cell>
          <cell r="C489">
            <v>43.03</v>
          </cell>
          <cell r="D489">
            <v>43.03</v>
          </cell>
        </row>
        <row r="490">
          <cell r="A490" t="str">
            <v>B6130</v>
          </cell>
          <cell r="B490">
            <v>0</v>
          </cell>
          <cell r="C490">
            <v>22.49</v>
          </cell>
          <cell r="D490">
            <v>22.49</v>
          </cell>
        </row>
        <row r="491">
          <cell r="A491" t="str">
            <v>B6132</v>
          </cell>
          <cell r="B491">
            <v>0</v>
          </cell>
          <cell r="C491">
            <v>32.43</v>
          </cell>
          <cell r="D491">
            <v>32.43</v>
          </cell>
        </row>
        <row r="492">
          <cell r="A492" t="str">
            <v>B6133</v>
          </cell>
          <cell r="B492">
            <v>0</v>
          </cell>
          <cell r="C492">
            <v>32.43</v>
          </cell>
          <cell r="D492">
            <v>32.43</v>
          </cell>
        </row>
        <row r="493">
          <cell r="A493" t="str">
            <v>B6135</v>
          </cell>
          <cell r="B493">
            <v>0</v>
          </cell>
          <cell r="C493">
            <v>34.18</v>
          </cell>
          <cell r="D493">
            <v>34.18</v>
          </cell>
        </row>
        <row r="494">
          <cell r="A494" t="str">
            <v>B6136</v>
          </cell>
          <cell r="B494">
            <v>0</v>
          </cell>
          <cell r="C494">
            <v>34.18</v>
          </cell>
          <cell r="D494">
            <v>34.18</v>
          </cell>
        </row>
        <row r="495">
          <cell r="A495" t="str">
            <v>B6137</v>
          </cell>
          <cell r="B495">
            <v>0</v>
          </cell>
          <cell r="C495">
            <v>44.62</v>
          </cell>
          <cell r="D495">
            <v>44.62</v>
          </cell>
        </row>
        <row r="496">
          <cell r="A496" t="str">
            <v>B6138</v>
          </cell>
          <cell r="B496">
            <v>0</v>
          </cell>
          <cell r="C496">
            <v>44.62</v>
          </cell>
          <cell r="D496">
            <v>44.62</v>
          </cell>
        </row>
        <row r="497">
          <cell r="A497" t="str">
            <v>B6140</v>
          </cell>
          <cell r="B497">
            <v>0</v>
          </cell>
          <cell r="C497">
            <v>34.96</v>
          </cell>
          <cell r="D497">
            <v>34.96</v>
          </cell>
        </row>
        <row r="498">
          <cell r="A498" t="str">
            <v>B6141</v>
          </cell>
          <cell r="B498">
            <v>0</v>
          </cell>
          <cell r="C498">
            <v>43.03</v>
          </cell>
          <cell r="D498">
            <v>43.03</v>
          </cell>
        </row>
        <row r="499">
          <cell r="A499" t="str">
            <v>B6142</v>
          </cell>
          <cell r="B499">
            <v>0</v>
          </cell>
          <cell r="C499">
            <v>43.03</v>
          </cell>
          <cell r="D499">
            <v>43.03</v>
          </cell>
        </row>
        <row r="500">
          <cell r="A500" t="str">
            <v>B6160</v>
          </cell>
          <cell r="B500">
            <v>0</v>
          </cell>
          <cell r="C500">
            <v>37.880000000000003</v>
          </cell>
          <cell r="D500">
            <v>37.880000000000003</v>
          </cell>
        </row>
        <row r="501">
          <cell r="A501" t="str">
            <v>B6191S</v>
          </cell>
          <cell r="B501">
            <v>0</v>
          </cell>
          <cell r="C501">
            <v>44.06</v>
          </cell>
          <cell r="D501">
            <v>44.06</v>
          </cell>
        </row>
        <row r="502">
          <cell r="A502" t="str">
            <v>B6192S</v>
          </cell>
          <cell r="B502">
            <v>0</v>
          </cell>
          <cell r="C502">
            <v>44.06</v>
          </cell>
          <cell r="D502">
            <v>44.06</v>
          </cell>
        </row>
        <row r="503">
          <cell r="A503" t="str">
            <v>B6337</v>
          </cell>
          <cell r="B503">
            <v>0</v>
          </cell>
          <cell r="C503">
            <v>39.7271</v>
          </cell>
          <cell r="D503">
            <v>38.57</v>
          </cell>
          <cell r="E503">
            <v>1.03</v>
          </cell>
        </row>
        <row r="504">
          <cell r="A504" t="str">
            <v>B6338</v>
          </cell>
          <cell r="B504">
            <v>0</v>
          </cell>
          <cell r="C504">
            <v>39.7271</v>
          </cell>
          <cell r="D504">
            <v>38.57</v>
          </cell>
          <cell r="E504">
            <v>1.03</v>
          </cell>
        </row>
        <row r="505">
          <cell r="A505" t="str">
            <v>B6350</v>
          </cell>
          <cell r="B505">
            <v>0</v>
          </cell>
          <cell r="C505">
            <v>31.2193</v>
          </cell>
          <cell r="D505">
            <v>30.31</v>
          </cell>
          <cell r="E505">
            <v>1.03</v>
          </cell>
        </row>
        <row r="506">
          <cell r="A506" t="str">
            <v>B6437</v>
          </cell>
          <cell r="B506">
            <v>0</v>
          </cell>
          <cell r="C506">
            <v>35.133299999999998</v>
          </cell>
          <cell r="D506">
            <v>34.11</v>
          </cell>
          <cell r="E506">
            <v>1.03</v>
          </cell>
        </row>
        <row r="507">
          <cell r="A507" t="str">
            <v>B6438</v>
          </cell>
          <cell r="B507">
            <v>0</v>
          </cell>
          <cell r="C507">
            <v>35.133299999999998</v>
          </cell>
          <cell r="D507">
            <v>34.11</v>
          </cell>
          <cell r="E507">
            <v>1.03</v>
          </cell>
        </row>
        <row r="508">
          <cell r="A508" t="str">
            <v>B6441</v>
          </cell>
          <cell r="B508">
            <v>0</v>
          </cell>
          <cell r="C508">
            <v>38.182099999999998</v>
          </cell>
          <cell r="D508">
            <v>37.07</v>
          </cell>
          <cell r="E508">
            <v>1.03</v>
          </cell>
        </row>
        <row r="509">
          <cell r="A509" t="str">
            <v>B6442</v>
          </cell>
          <cell r="B509">
            <v>0</v>
          </cell>
          <cell r="C509">
            <v>38.182099999999998</v>
          </cell>
          <cell r="D509">
            <v>37.07</v>
          </cell>
          <cell r="E509">
            <v>1.03</v>
          </cell>
        </row>
        <row r="510">
          <cell r="A510" t="str">
            <v>B6930</v>
          </cell>
          <cell r="B510">
            <v>0</v>
          </cell>
          <cell r="C510">
            <v>22.65</v>
          </cell>
          <cell r="D510">
            <v>21.99</v>
          </cell>
        </row>
        <row r="511">
          <cell r="A511" t="str">
            <v>B6932</v>
          </cell>
          <cell r="B511">
            <v>0</v>
          </cell>
          <cell r="C511">
            <v>29.91</v>
          </cell>
          <cell r="D511">
            <v>29.04</v>
          </cell>
        </row>
        <row r="512">
          <cell r="A512" t="str">
            <v>B6937</v>
          </cell>
          <cell r="B512">
            <v>0</v>
          </cell>
          <cell r="C512">
            <v>37.64</v>
          </cell>
          <cell r="D512">
            <v>36.54</v>
          </cell>
        </row>
        <row r="513">
          <cell r="A513" t="str">
            <v>b6938</v>
          </cell>
          <cell r="B513">
            <v>0</v>
          </cell>
          <cell r="C513">
            <v>37.64</v>
          </cell>
        </row>
        <row r="514">
          <cell r="A514" t="str">
            <v>B6941</v>
          </cell>
          <cell r="B514">
            <v>0</v>
          </cell>
          <cell r="C514">
            <v>37.92</v>
          </cell>
          <cell r="D514">
            <v>36.82</v>
          </cell>
        </row>
        <row r="515">
          <cell r="A515" t="str">
            <v>B6942</v>
          </cell>
          <cell r="B515">
            <v>0</v>
          </cell>
          <cell r="C515">
            <v>37.92</v>
          </cell>
          <cell r="D515">
            <v>36.82</v>
          </cell>
        </row>
        <row r="516">
          <cell r="A516" t="str">
            <v>B6950</v>
          </cell>
          <cell r="B516">
            <v>0</v>
          </cell>
          <cell r="C516">
            <v>41.28</v>
          </cell>
        </row>
        <row r="517">
          <cell r="A517" t="str">
            <v>B6981</v>
          </cell>
          <cell r="B517">
            <v>0</v>
          </cell>
          <cell r="C517">
            <v>11.67</v>
          </cell>
          <cell r="D517">
            <v>11.33</v>
          </cell>
        </row>
        <row r="518">
          <cell r="A518" t="str">
            <v>B6982</v>
          </cell>
          <cell r="B518">
            <v>0</v>
          </cell>
          <cell r="C518">
            <v>37.340000000000003</v>
          </cell>
          <cell r="D518">
            <v>36.25</v>
          </cell>
        </row>
        <row r="519">
          <cell r="A519" t="str">
            <v>B6985</v>
          </cell>
          <cell r="B519">
            <v>0</v>
          </cell>
          <cell r="C519">
            <v>45.23</v>
          </cell>
          <cell r="D519">
            <v>43.91</v>
          </cell>
        </row>
        <row r="520">
          <cell r="A520" t="str">
            <v>B6987</v>
          </cell>
          <cell r="B520">
            <v>0</v>
          </cell>
          <cell r="C520">
            <v>51.03</v>
          </cell>
          <cell r="D520">
            <v>49.54</v>
          </cell>
        </row>
        <row r="521">
          <cell r="A521" t="str">
            <v>B6987S</v>
          </cell>
          <cell r="B521">
            <v>0</v>
          </cell>
          <cell r="C521">
            <v>45.268500000000003</v>
          </cell>
          <cell r="D521">
            <v>43.95</v>
          </cell>
          <cell r="E521">
            <v>1.03</v>
          </cell>
        </row>
        <row r="522">
          <cell r="A522" t="str">
            <v>B6993</v>
          </cell>
          <cell r="B522">
            <v>0</v>
          </cell>
          <cell r="C522">
            <v>58.25</v>
          </cell>
          <cell r="D522">
            <v>56.55</v>
          </cell>
        </row>
        <row r="523">
          <cell r="A523" t="str">
            <v>B6994</v>
          </cell>
          <cell r="B523">
            <v>0</v>
          </cell>
          <cell r="C523">
            <v>58.25</v>
          </cell>
          <cell r="D523">
            <v>56.55</v>
          </cell>
        </row>
        <row r="524">
          <cell r="A524" t="str">
            <v>B7030</v>
          </cell>
          <cell r="B524">
            <v>0</v>
          </cell>
          <cell r="C524">
            <v>23.23</v>
          </cell>
          <cell r="D524">
            <v>23.23</v>
          </cell>
        </row>
        <row r="525">
          <cell r="A525" t="str">
            <v>B7031</v>
          </cell>
          <cell r="B525">
            <v>0</v>
          </cell>
          <cell r="C525">
            <v>12.28</v>
          </cell>
          <cell r="D525">
            <v>12.28</v>
          </cell>
        </row>
        <row r="526">
          <cell r="A526" t="str">
            <v>B7032</v>
          </cell>
          <cell r="B526">
            <v>0</v>
          </cell>
          <cell r="C526">
            <v>37.869999999999997</v>
          </cell>
          <cell r="D526">
            <v>37.869999999999997</v>
          </cell>
        </row>
        <row r="527">
          <cell r="A527" t="str">
            <v>B7032</v>
          </cell>
          <cell r="B527">
            <v>0</v>
          </cell>
          <cell r="C527">
            <v>37.869999999999997</v>
          </cell>
          <cell r="D527">
            <v>37.869999999999997</v>
          </cell>
        </row>
        <row r="528">
          <cell r="A528" t="str">
            <v>B7035</v>
          </cell>
          <cell r="B528">
            <v>0</v>
          </cell>
          <cell r="C528">
            <v>37.909999999999997</v>
          </cell>
          <cell r="D528">
            <v>37.909999999999997</v>
          </cell>
        </row>
        <row r="529">
          <cell r="A529" t="str">
            <v>B7036</v>
          </cell>
          <cell r="B529">
            <v>0</v>
          </cell>
          <cell r="C529">
            <v>37.909999999999997</v>
          </cell>
          <cell r="D529">
            <v>37.909999999999997</v>
          </cell>
        </row>
        <row r="530">
          <cell r="A530" t="str">
            <v>B7037</v>
          </cell>
          <cell r="B530">
            <v>0</v>
          </cell>
          <cell r="C530">
            <v>44.09</v>
          </cell>
          <cell r="D530">
            <v>44.09</v>
          </cell>
        </row>
        <row r="531">
          <cell r="A531" t="str">
            <v>B7038</v>
          </cell>
          <cell r="B531">
            <v>0</v>
          </cell>
          <cell r="C531">
            <v>44.09</v>
          </cell>
          <cell r="D531">
            <v>44.09</v>
          </cell>
        </row>
        <row r="532">
          <cell r="A532" t="str">
            <v>B7040</v>
          </cell>
          <cell r="B532">
            <v>0</v>
          </cell>
          <cell r="C532">
            <v>33.01</v>
          </cell>
          <cell r="D532">
            <v>33.01</v>
          </cell>
        </row>
        <row r="533">
          <cell r="A533" t="str">
            <v>B7041</v>
          </cell>
          <cell r="B533">
            <v>0</v>
          </cell>
          <cell r="C533">
            <v>46.28</v>
          </cell>
          <cell r="D533">
            <v>46.28</v>
          </cell>
        </row>
        <row r="534">
          <cell r="A534" t="str">
            <v>B7041S</v>
          </cell>
          <cell r="B534">
            <v>0</v>
          </cell>
          <cell r="C534">
            <v>38.49</v>
          </cell>
          <cell r="D534">
            <v>38.49</v>
          </cell>
        </row>
        <row r="535">
          <cell r="A535" t="str">
            <v>B7042</v>
          </cell>
          <cell r="B535">
            <v>0</v>
          </cell>
          <cell r="C535">
            <v>46.28</v>
          </cell>
          <cell r="D535">
            <v>46.28</v>
          </cell>
        </row>
        <row r="536">
          <cell r="A536" t="str">
            <v>B7042S</v>
          </cell>
          <cell r="B536">
            <v>0</v>
          </cell>
          <cell r="C536">
            <v>38.49</v>
          </cell>
          <cell r="D536">
            <v>38.49</v>
          </cell>
        </row>
        <row r="537">
          <cell r="A537" t="str">
            <v>B7052</v>
          </cell>
          <cell r="B537">
            <v>0</v>
          </cell>
          <cell r="C537">
            <v>47.36</v>
          </cell>
          <cell r="D537">
            <v>45.98</v>
          </cell>
        </row>
        <row r="538">
          <cell r="A538" t="str">
            <v>B7055</v>
          </cell>
          <cell r="B538">
            <v>0</v>
          </cell>
          <cell r="C538">
            <v>53.64</v>
          </cell>
          <cell r="D538">
            <v>52.08</v>
          </cell>
        </row>
        <row r="539">
          <cell r="A539" t="str">
            <v>B7057</v>
          </cell>
          <cell r="B539">
            <v>0</v>
          </cell>
          <cell r="C539">
            <v>60.72</v>
          </cell>
          <cell r="D539">
            <v>58.95</v>
          </cell>
        </row>
        <row r="540">
          <cell r="A540" t="str">
            <v>B7057S</v>
          </cell>
          <cell r="B540">
            <v>0</v>
          </cell>
          <cell r="C540">
            <v>53.384900000000002</v>
          </cell>
          <cell r="D540">
            <v>51.83</v>
          </cell>
          <cell r="E540">
            <v>1.03</v>
          </cell>
        </row>
        <row r="541">
          <cell r="A541" t="str">
            <v>B7060</v>
          </cell>
          <cell r="B541">
            <v>0</v>
          </cell>
          <cell r="C541">
            <v>41.99</v>
          </cell>
          <cell r="D541">
            <v>41.99</v>
          </cell>
        </row>
        <row r="542">
          <cell r="A542" t="str">
            <v>B7081</v>
          </cell>
          <cell r="B542">
            <v>0</v>
          </cell>
          <cell r="C542">
            <v>11.6</v>
          </cell>
          <cell r="D542">
            <v>11.6</v>
          </cell>
        </row>
        <row r="543">
          <cell r="A543" t="str">
            <v>B7082</v>
          </cell>
          <cell r="B543">
            <v>0</v>
          </cell>
          <cell r="C543">
            <v>31.49</v>
          </cell>
          <cell r="D543">
            <v>31.49</v>
          </cell>
        </row>
        <row r="544">
          <cell r="A544" t="str">
            <v>B7085</v>
          </cell>
          <cell r="B544">
            <v>0</v>
          </cell>
          <cell r="C544">
            <v>39.380000000000003</v>
          </cell>
          <cell r="D544">
            <v>39.380000000000003</v>
          </cell>
        </row>
        <row r="545">
          <cell r="A545" t="str">
            <v>B7087</v>
          </cell>
          <cell r="B545">
            <v>0</v>
          </cell>
          <cell r="C545">
            <v>43.54</v>
          </cell>
          <cell r="D545">
            <v>43.54</v>
          </cell>
        </row>
        <row r="546">
          <cell r="A546" t="str">
            <v>B7087S</v>
          </cell>
          <cell r="B546">
            <v>0</v>
          </cell>
          <cell r="C546">
            <v>40.409999999999997</v>
          </cell>
          <cell r="D546">
            <v>40.409999999999997</v>
          </cell>
        </row>
        <row r="547">
          <cell r="A547" t="str">
            <v>B7091</v>
          </cell>
          <cell r="B547">
            <v>0</v>
          </cell>
          <cell r="C547">
            <v>52.11</v>
          </cell>
          <cell r="D547">
            <v>52.11</v>
          </cell>
        </row>
        <row r="548">
          <cell r="A548" t="str">
            <v>B7092</v>
          </cell>
          <cell r="B548">
            <v>0</v>
          </cell>
          <cell r="C548">
            <v>52.11</v>
          </cell>
          <cell r="D548">
            <v>52.11</v>
          </cell>
        </row>
        <row r="549">
          <cell r="A549" t="str">
            <v>B7093</v>
          </cell>
          <cell r="B549">
            <v>0</v>
          </cell>
          <cell r="C549">
            <v>65.36</v>
          </cell>
          <cell r="D549">
            <v>65.36</v>
          </cell>
        </row>
        <row r="550">
          <cell r="A550" t="str">
            <v>B7094</v>
          </cell>
          <cell r="B550">
            <v>0</v>
          </cell>
          <cell r="C550">
            <v>65.36</v>
          </cell>
          <cell r="D550">
            <v>65.36</v>
          </cell>
        </row>
        <row r="551">
          <cell r="A551" t="str">
            <v>B7161</v>
          </cell>
          <cell r="B551">
            <v>0</v>
          </cell>
          <cell r="C551">
            <v>17.63</v>
          </cell>
          <cell r="D551">
            <v>17.63</v>
          </cell>
        </row>
        <row r="552">
          <cell r="A552" t="str">
            <v>B7163</v>
          </cell>
          <cell r="B552">
            <v>0</v>
          </cell>
          <cell r="C552">
            <v>43.85</v>
          </cell>
          <cell r="D552">
            <v>43.85</v>
          </cell>
        </row>
        <row r="553">
          <cell r="A553" t="str">
            <v>B7165</v>
          </cell>
          <cell r="B553">
            <v>0</v>
          </cell>
          <cell r="C553">
            <v>50.21</v>
          </cell>
          <cell r="D553">
            <v>50.21</v>
          </cell>
        </row>
        <row r="554">
          <cell r="A554" t="str">
            <v>B7167</v>
          </cell>
          <cell r="B554">
            <v>0</v>
          </cell>
          <cell r="C554">
            <v>57.08</v>
          </cell>
          <cell r="D554">
            <v>57.08</v>
          </cell>
        </row>
        <row r="555">
          <cell r="A555" t="str">
            <v>B7271</v>
          </cell>
          <cell r="B555">
            <v>0</v>
          </cell>
          <cell r="C555">
            <v>8.7035</v>
          </cell>
          <cell r="D555">
            <v>8.4499999999999993</v>
          </cell>
          <cell r="E555">
            <v>1.03</v>
          </cell>
        </row>
        <row r="556">
          <cell r="A556" t="str">
            <v>B7272</v>
          </cell>
          <cell r="B556">
            <v>0</v>
          </cell>
          <cell r="C556">
            <v>33.464700000000001</v>
          </cell>
          <cell r="D556">
            <v>32.49</v>
          </cell>
          <cell r="E556">
            <v>1.03</v>
          </cell>
        </row>
        <row r="557">
          <cell r="A557" t="str">
            <v>B7277</v>
          </cell>
          <cell r="B557">
            <v>0</v>
          </cell>
          <cell r="C557">
            <v>50.748100000000008</v>
          </cell>
          <cell r="D557">
            <v>49.27</v>
          </cell>
          <cell r="E557">
            <v>1.03</v>
          </cell>
        </row>
        <row r="558">
          <cell r="A558" t="str">
            <v>B7351</v>
          </cell>
          <cell r="B558">
            <v>0</v>
          </cell>
          <cell r="C558">
            <v>11.9686</v>
          </cell>
          <cell r="D558">
            <v>11.62</v>
          </cell>
          <cell r="E558">
            <v>1.03</v>
          </cell>
        </row>
        <row r="559">
          <cell r="A559" t="str">
            <v>B7352</v>
          </cell>
          <cell r="B559">
            <v>0</v>
          </cell>
          <cell r="C559">
            <v>44.897700000000007</v>
          </cell>
          <cell r="D559">
            <v>43.59</v>
          </cell>
          <cell r="E559">
            <v>1.03</v>
          </cell>
        </row>
        <row r="560">
          <cell r="A560" t="str">
            <v>B7355</v>
          </cell>
          <cell r="B560">
            <v>0</v>
          </cell>
          <cell r="C560">
            <v>52.396099999999997</v>
          </cell>
          <cell r="D560">
            <v>50.87</v>
          </cell>
          <cell r="E560">
            <v>1.03</v>
          </cell>
        </row>
        <row r="561">
          <cell r="A561" t="str">
            <v>B7357</v>
          </cell>
          <cell r="B561">
            <v>0</v>
          </cell>
          <cell r="C561">
            <v>57.298900000000003</v>
          </cell>
          <cell r="D561">
            <v>55.63</v>
          </cell>
          <cell r="E561">
            <v>1.03</v>
          </cell>
        </row>
        <row r="562">
          <cell r="A562" t="str">
            <v>B7357S</v>
          </cell>
          <cell r="B562">
            <v>0</v>
          </cell>
          <cell r="C562">
            <v>52.828699999999998</v>
          </cell>
          <cell r="D562">
            <v>51.29</v>
          </cell>
          <cell r="E562">
            <v>1.03</v>
          </cell>
        </row>
        <row r="563">
          <cell r="A563" t="str">
            <v>B7491</v>
          </cell>
          <cell r="B563">
            <v>0</v>
          </cell>
          <cell r="C563">
            <v>11.6493</v>
          </cell>
          <cell r="D563">
            <v>11.31</v>
          </cell>
          <cell r="E563">
            <v>1.03</v>
          </cell>
        </row>
        <row r="564">
          <cell r="A564" t="str">
            <v>B7492</v>
          </cell>
          <cell r="B564">
            <v>0</v>
          </cell>
          <cell r="C564">
            <v>45.186099999999996</v>
          </cell>
          <cell r="D564">
            <v>43.87</v>
          </cell>
          <cell r="E564">
            <v>1.03</v>
          </cell>
        </row>
        <row r="565">
          <cell r="A565" t="str">
            <v>B7495</v>
          </cell>
          <cell r="B565">
            <v>0</v>
          </cell>
          <cell r="C565">
            <v>49.625399999999999</v>
          </cell>
          <cell r="D565">
            <v>48.18</v>
          </cell>
          <cell r="E565">
            <v>1.03</v>
          </cell>
        </row>
        <row r="566">
          <cell r="A566" t="str">
            <v>B7497</v>
          </cell>
          <cell r="B566">
            <v>0</v>
          </cell>
          <cell r="C566">
            <v>55.043199999999999</v>
          </cell>
          <cell r="D566">
            <v>53.44</v>
          </cell>
          <cell r="E566">
            <v>1.03</v>
          </cell>
        </row>
        <row r="567">
          <cell r="A567" t="str">
            <v>B7497S</v>
          </cell>
          <cell r="B567">
            <v>0</v>
          </cell>
          <cell r="C567">
            <v>48.822000000000003</v>
          </cell>
          <cell r="D567">
            <v>47.4</v>
          </cell>
          <cell r="E567">
            <v>1.03</v>
          </cell>
        </row>
        <row r="568">
          <cell r="A568" t="str">
            <v>B7561</v>
          </cell>
          <cell r="B568">
            <v>0</v>
          </cell>
          <cell r="C568">
            <v>10.5266</v>
          </cell>
          <cell r="D568">
            <v>10.220000000000001</v>
          </cell>
          <cell r="E568">
            <v>1.03</v>
          </cell>
        </row>
        <row r="569">
          <cell r="A569" t="str">
            <v>B7562</v>
          </cell>
          <cell r="B569">
            <v>0</v>
          </cell>
          <cell r="C569">
            <v>39.057600000000001</v>
          </cell>
          <cell r="D569">
            <v>37.92</v>
          </cell>
          <cell r="E569">
            <v>1.03</v>
          </cell>
        </row>
        <row r="570">
          <cell r="A570" t="str">
            <v>B7565</v>
          </cell>
          <cell r="B570">
            <v>0</v>
          </cell>
          <cell r="C570">
            <v>45.948300000000003</v>
          </cell>
          <cell r="D570">
            <v>44.61</v>
          </cell>
          <cell r="E570">
            <v>1.03</v>
          </cell>
        </row>
        <row r="571">
          <cell r="A571" t="str">
            <v>B7567</v>
          </cell>
          <cell r="B571">
            <v>0</v>
          </cell>
          <cell r="C571">
            <v>50.47</v>
          </cell>
          <cell r="D571">
            <v>49</v>
          </cell>
          <cell r="E571">
            <v>1.03</v>
          </cell>
        </row>
        <row r="572">
          <cell r="A572" t="str">
            <v>B7632</v>
          </cell>
          <cell r="B572">
            <v>0</v>
          </cell>
          <cell r="C572">
            <v>44.248800000000003</v>
          </cell>
          <cell r="D572">
            <v>42.96</v>
          </cell>
          <cell r="E572">
            <v>1.03</v>
          </cell>
        </row>
        <row r="573">
          <cell r="A573" t="str">
            <v>B7651</v>
          </cell>
          <cell r="B573">
            <v>0</v>
          </cell>
          <cell r="C573">
            <v>9.4759999999999991</v>
          </cell>
          <cell r="D573">
            <v>9.1999999999999993</v>
          </cell>
          <cell r="E573">
            <v>1.03</v>
          </cell>
        </row>
        <row r="574">
          <cell r="A574" t="str">
            <v>B7652</v>
          </cell>
          <cell r="B574">
            <v>0</v>
          </cell>
          <cell r="C574">
            <v>33.093900000000005</v>
          </cell>
          <cell r="D574">
            <v>32.130000000000003</v>
          </cell>
          <cell r="E574">
            <v>1.03</v>
          </cell>
        </row>
        <row r="575">
          <cell r="A575" t="str">
            <v>B7655</v>
          </cell>
          <cell r="B575">
            <v>0</v>
          </cell>
          <cell r="C575">
            <v>39.006099999999996</v>
          </cell>
          <cell r="D575">
            <v>37.869999999999997</v>
          </cell>
          <cell r="E575">
            <v>1.03</v>
          </cell>
        </row>
        <row r="576">
          <cell r="A576" t="str">
            <v>B7657</v>
          </cell>
          <cell r="B576">
            <v>0</v>
          </cell>
          <cell r="C576">
            <v>46.597200000000001</v>
          </cell>
          <cell r="D576">
            <v>45.24</v>
          </cell>
          <cell r="E576">
            <v>1.03</v>
          </cell>
        </row>
        <row r="577">
          <cell r="A577" t="str">
            <v>B7671</v>
          </cell>
          <cell r="B577">
            <v>0</v>
          </cell>
          <cell r="C577">
            <v>12.833800000000002</v>
          </cell>
          <cell r="D577">
            <v>12.46</v>
          </cell>
          <cell r="E577">
            <v>1.03</v>
          </cell>
        </row>
        <row r="578">
          <cell r="A578" t="str">
            <v>B7672</v>
          </cell>
          <cell r="B578">
            <v>0</v>
          </cell>
          <cell r="C578">
            <v>37.337499999999999</v>
          </cell>
          <cell r="D578">
            <v>36.25</v>
          </cell>
          <cell r="E578">
            <v>1.03</v>
          </cell>
        </row>
        <row r="579">
          <cell r="A579" t="str">
            <v>B7677</v>
          </cell>
          <cell r="B579">
            <v>0</v>
          </cell>
          <cell r="C579">
            <v>52.869900000000001</v>
          </cell>
          <cell r="D579">
            <v>51.33</v>
          </cell>
          <cell r="E579">
            <v>1.03</v>
          </cell>
        </row>
        <row r="580">
          <cell r="A580" t="str">
            <v>B7677S</v>
          </cell>
          <cell r="B580">
            <v>0</v>
          </cell>
          <cell r="C580">
            <v>47.483000000000004</v>
          </cell>
          <cell r="D580">
            <v>46.1</v>
          </cell>
          <cell r="E580">
            <v>1.03</v>
          </cell>
        </row>
        <row r="581">
          <cell r="A581" t="str">
            <v>B7693</v>
          </cell>
          <cell r="B581">
            <v>0</v>
          </cell>
          <cell r="C581">
            <v>47.771400000000007</v>
          </cell>
          <cell r="D581">
            <v>46.38</v>
          </cell>
          <cell r="E581">
            <v>1.03</v>
          </cell>
        </row>
        <row r="582">
          <cell r="A582" t="str">
            <v>B7694</v>
          </cell>
          <cell r="B582">
            <v>0</v>
          </cell>
          <cell r="C582">
            <v>47.771400000000007</v>
          </cell>
          <cell r="D582">
            <v>46.38</v>
          </cell>
          <cell r="E582">
            <v>1.03</v>
          </cell>
        </row>
        <row r="583">
          <cell r="A583" t="str">
            <v>B7771</v>
          </cell>
          <cell r="B583">
            <v>0</v>
          </cell>
          <cell r="C583">
            <v>10.210000000000001</v>
          </cell>
          <cell r="D583">
            <v>9.91</v>
          </cell>
        </row>
        <row r="584">
          <cell r="A584" t="str">
            <v>B7772</v>
          </cell>
          <cell r="B584">
            <v>0</v>
          </cell>
          <cell r="C584">
            <v>27.161100000000001</v>
          </cell>
          <cell r="D584">
            <v>26.37</v>
          </cell>
          <cell r="E584">
            <v>1.03</v>
          </cell>
        </row>
        <row r="585">
          <cell r="A585" t="str">
            <v>B7775</v>
          </cell>
          <cell r="B585">
            <v>0</v>
          </cell>
          <cell r="C585">
            <v>36.060299999999998</v>
          </cell>
          <cell r="D585">
            <v>35.01</v>
          </cell>
          <cell r="E585">
            <v>1.03</v>
          </cell>
        </row>
        <row r="586">
          <cell r="A586" t="str">
            <v>B7777</v>
          </cell>
          <cell r="B586">
            <v>0</v>
          </cell>
          <cell r="C586">
            <v>46.978299999999997</v>
          </cell>
          <cell r="D586">
            <v>45.61</v>
          </cell>
          <cell r="E586">
            <v>1.03</v>
          </cell>
        </row>
        <row r="587">
          <cell r="A587" t="str">
            <v>B7851</v>
          </cell>
          <cell r="B587">
            <v>0</v>
          </cell>
          <cell r="C587">
            <v>12.3</v>
          </cell>
          <cell r="D587">
            <v>11.94</v>
          </cell>
        </row>
        <row r="588">
          <cell r="A588" t="str">
            <v>B7853</v>
          </cell>
          <cell r="B588">
            <v>0</v>
          </cell>
          <cell r="C588">
            <v>46.998900000000006</v>
          </cell>
          <cell r="D588">
            <v>45.63</v>
          </cell>
          <cell r="E588">
            <v>1.03</v>
          </cell>
        </row>
        <row r="589">
          <cell r="A589" t="str">
            <v>B7857</v>
          </cell>
          <cell r="B589">
            <v>0</v>
          </cell>
          <cell r="C589">
            <v>55.25</v>
          </cell>
          <cell r="D589">
            <v>53.64</v>
          </cell>
        </row>
        <row r="590">
          <cell r="A590" t="str">
            <v>B7861</v>
          </cell>
          <cell r="B590">
            <v>0</v>
          </cell>
          <cell r="C590">
            <v>13.63</v>
          </cell>
          <cell r="D590">
            <v>13.23</v>
          </cell>
        </row>
        <row r="591">
          <cell r="A591" t="str">
            <v>B7862</v>
          </cell>
          <cell r="B591">
            <v>0</v>
          </cell>
          <cell r="C591">
            <v>34.409999999999997</v>
          </cell>
          <cell r="D591">
            <v>33.409999999999997</v>
          </cell>
        </row>
        <row r="592">
          <cell r="A592" t="str">
            <v>B7867</v>
          </cell>
          <cell r="B592">
            <v>0</v>
          </cell>
          <cell r="C592">
            <v>51.46</v>
          </cell>
          <cell r="D592">
            <v>49.96</v>
          </cell>
        </row>
        <row r="593">
          <cell r="A593" t="str">
            <v>B7867S</v>
          </cell>
          <cell r="B593">
            <v>0</v>
          </cell>
          <cell r="C593">
            <v>46.15</v>
          </cell>
          <cell r="D593">
            <v>44.81</v>
          </cell>
        </row>
        <row r="594">
          <cell r="A594" t="str">
            <v>B7881</v>
          </cell>
          <cell r="B594">
            <v>0</v>
          </cell>
          <cell r="C594">
            <v>11.94</v>
          </cell>
          <cell r="D594">
            <v>11.94</v>
          </cell>
        </row>
        <row r="595">
          <cell r="A595" t="str">
            <v>B7961</v>
          </cell>
          <cell r="B595">
            <v>0</v>
          </cell>
          <cell r="C595">
            <v>11.4536</v>
          </cell>
          <cell r="D595">
            <v>11.12</v>
          </cell>
          <cell r="E595">
            <v>1.03</v>
          </cell>
        </row>
        <row r="596">
          <cell r="A596" t="str">
            <v>B7963</v>
          </cell>
          <cell r="B596">
            <v>0</v>
          </cell>
          <cell r="C596">
            <v>37.409600000000005</v>
          </cell>
          <cell r="D596">
            <v>36.32</v>
          </cell>
          <cell r="E596">
            <v>1.03</v>
          </cell>
        </row>
        <row r="597">
          <cell r="A597" t="str">
            <v>B7967</v>
          </cell>
          <cell r="B597">
            <v>0</v>
          </cell>
          <cell r="C597">
            <v>53.137700000000002</v>
          </cell>
          <cell r="D597">
            <v>51.59</v>
          </cell>
          <cell r="E597">
            <v>1.03</v>
          </cell>
        </row>
        <row r="598">
          <cell r="A598" t="str">
            <v>B8091</v>
          </cell>
          <cell r="B598">
            <v>0</v>
          </cell>
          <cell r="C598">
            <v>10.6708</v>
          </cell>
          <cell r="D598">
            <v>10.36</v>
          </cell>
          <cell r="E598">
            <v>1.03</v>
          </cell>
        </row>
        <row r="599">
          <cell r="A599" t="str">
            <v>B8092</v>
          </cell>
          <cell r="B599">
            <v>0</v>
          </cell>
          <cell r="C599">
            <v>44.609300000000005</v>
          </cell>
          <cell r="D599">
            <v>43.31</v>
          </cell>
          <cell r="E599">
            <v>1.03</v>
          </cell>
        </row>
        <row r="600">
          <cell r="A600" t="str">
            <v>B8095</v>
          </cell>
          <cell r="B600">
            <v>0</v>
          </cell>
          <cell r="C600">
            <v>52.427</v>
          </cell>
          <cell r="D600">
            <v>50.9</v>
          </cell>
          <cell r="E600">
            <v>1.03</v>
          </cell>
        </row>
        <row r="601">
          <cell r="A601" t="str">
            <v>B8097</v>
          </cell>
          <cell r="B601">
            <v>0</v>
          </cell>
          <cell r="C601">
            <v>60.007799999999996</v>
          </cell>
          <cell r="D601">
            <v>58.26</v>
          </cell>
          <cell r="E601">
            <v>1.03</v>
          </cell>
        </row>
        <row r="602">
          <cell r="A602" t="str">
            <v>B8121</v>
          </cell>
          <cell r="B602">
            <v>0</v>
          </cell>
          <cell r="C602">
            <v>12.69</v>
          </cell>
          <cell r="D602">
            <v>12.69</v>
          </cell>
        </row>
        <row r="603">
          <cell r="A603" t="str">
            <v>B8123</v>
          </cell>
          <cell r="B603">
            <v>0</v>
          </cell>
          <cell r="C603">
            <v>39.869999999999997</v>
          </cell>
          <cell r="D603">
            <v>39.869999999999997</v>
          </cell>
        </row>
        <row r="604">
          <cell r="A604" t="str">
            <v>B8127</v>
          </cell>
          <cell r="B604">
            <v>0</v>
          </cell>
          <cell r="C604">
            <v>52.07</v>
          </cell>
          <cell r="D604">
            <v>52.07</v>
          </cell>
        </row>
        <row r="605">
          <cell r="A605" t="str">
            <v>B8151</v>
          </cell>
          <cell r="B605">
            <v>0</v>
          </cell>
          <cell r="C605">
            <v>16.0886</v>
          </cell>
          <cell r="D605">
            <v>15.62</v>
          </cell>
          <cell r="E605">
            <v>1.03</v>
          </cell>
        </row>
        <row r="606">
          <cell r="A606" t="str">
            <v>B8153</v>
          </cell>
          <cell r="B606">
            <v>0</v>
          </cell>
          <cell r="C606">
            <v>38.738300000000002</v>
          </cell>
          <cell r="D606">
            <v>37.61</v>
          </cell>
          <cell r="E606">
            <v>1.03</v>
          </cell>
        </row>
        <row r="607">
          <cell r="A607" t="str">
            <v>B8157</v>
          </cell>
          <cell r="B607">
            <v>0</v>
          </cell>
          <cell r="C607">
            <v>51.283700000000003</v>
          </cell>
          <cell r="D607">
            <v>49.79</v>
          </cell>
          <cell r="E607">
            <v>1.03</v>
          </cell>
        </row>
        <row r="608">
          <cell r="A608" t="str">
            <v>B8351</v>
          </cell>
          <cell r="B608">
            <v>0</v>
          </cell>
          <cell r="C608">
            <v>15.553000000000001</v>
          </cell>
          <cell r="D608">
            <v>15.1</v>
          </cell>
          <cell r="E608">
            <v>1.03</v>
          </cell>
        </row>
        <row r="609">
          <cell r="A609" t="str">
            <v>B8352</v>
          </cell>
          <cell r="B609">
            <v>0</v>
          </cell>
          <cell r="C609">
            <v>36.843100000000007</v>
          </cell>
          <cell r="D609">
            <v>35.770000000000003</v>
          </cell>
          <cell r="E609">
            <v>1.03</v>
          </cell>
        </row>
        <row r="610">
          <cell r="A610" t="str">
            <v>B8355</v>
          </cell>
          <cell r="B610">
            <v>0</v>
          </cell>
          <cell r="C610">
            <v>47.822900000000004</v>
          </cell>
          <cell r="D610">
            <v>46.43</v>
          </cell>
          <cell r="E610">
            <v>1.03</v>
          </cell>
        </row>
        <row r="611">
          <cell r="A611" t="str">
            <v>B8357</v>
          </cell>
          <cell r="B611">
            <v>0</v>
          </cell>
          <cell r="C611">
            <v>55.362500000000004</v>
          </cell>
          <cell r="D611">
            <v>53.75</v>
          </cell>
          <cell r="E611">
            <v>1.03</v>
          </cell>
        </row>
        <row r="612">
          <cell r="A612" t="str">
            <v>B8361</v>
          </cell>
          <cell r="B612">
            <v>0</v>
          </cell>
          <cell r="C612">
            <v>13.07</v>
          </cell>
          <cell r="D612">
            <v>12.27</v>
          </cell>
          <cell r="E612">
            <v>1.03</v>
          </cell>
        </row>
        <row r="613">
          <cell r="A613" t="str">
            <v>B8363</v>
          </cell>
          <cell r="B613">
            <v>0</v>
          </cell>
          <cell r="C613">
            <v>42.240299999999998</v>
          </cell>
          <cell r="D613">
            <v>41.01</v>
          </cell>
          <cell r="E613">
            <v>1.03</v>
          </cell>
        </row>
        <row r="614">
          <cell r="A614" t="str">
            <v>B8367</v>
          </cell>
          <cell r="B614">
            <v>0</v>
          </cell>
          <cell r="C614">
            <v>56.433700000000002</v>
          </cell>
          <cell r="D614">
            <v>54.79</v>
          </cell>
          <cell r="E614">
            <v>1.03</v>
          </cell>
        </row>
        <row r="615">
          <cell r="A615" t="str">
            <v>B8391</v>
          </cell>
          <cell r="B615">
            <v>0</v>
          </cell>
          <cell r="C615">
            <v>13.6578</v>
          </cell>
          <cell r="D615">
            <v>13.26</v>
          </cell>
          <cell r="E615">
            <v>1.03</v>
          </cell>
        </row>
        <row r="616">
          <cell r="A616" t="str">
            <v>B8393</v>
          </cell>
          <cell r="B616">
            <v>0</v>
          </cell>
          <cell r="C616">
            <v>40.427500000000002</v>
          </cell>
          <cell r="D616">
            <v>39.25</v>
          </cell>
          <cell r="E616">
            <v>1.03</v>
          </cell>
        </row>
        <row r="617">
          <cell r="A617" t="str">
            <v>B8395</v>
          </cell>
          <cell r="B617">
            <v>0</v>
          </cell>
          <cell r="C617">
            <v>0</v>
          </cell>
        </row>
        <row r="618">
          <cell r="A618" t="str">
            <v>B8397</v>
          </cell>
          <cell r="B618">
            <v>0</v>
          </cell>
          <cell r="C618">
            <v>52.313699999999997</v>
          </cell>
          <cell r="D618">
            <v>50.79</v>
          </cell>
          <cell r="E618">
            <v>1.03</v>
          </cell>
        </row>
        <row r="619">
          <cell r="A619" t="str">
            <v>B8467</v>
          </cell>
          <cell r="B619">
            <v>0</v>
          </cell>
          <cell r="C619">
            <v>51.43</v>
          </cell>
          <cell r="D619">
            <v>51.43</v>
          </cell>
        </row>
        <row r="620">
          <cell r="A620" t="str">
            <v>B8521</v>
          </cell>
          <cell r="B620">
            <v>0</v>
          </cell>
          <cell r="C620">
            <v>11.45</v>
          </cell>
          <cell r="D620">
            <v>11.12</v>
          </cell>
        </row>
        <row r="621">
          <cell r="A621" t="str">
            <v>B8523</v>
          </cell>
          <cell r="B621">
            <v>0</v>
          </cell>
          <cell r="C621">
            <v>37.409999999999997</v>
          </cell>
          <cell r="D621">
            <v>36.32</v>
          </cell>
        </row>
        <row r="622">
          <cell r="A622" t="str">
            <v>B8527</v>
          </cell>
          <cell r="B622">
            <v>0</v>
          </cell>
          <cell r="C622">
            <v>53.14</v>
          </cell>
          <cell r="D622">
            <v>51.59</v>
          </cell>
        </row>
        <row r="623">
          <cell r="A623" t="str">
            <v>B8541</v>
          </cell>
          <cell r="B623">
            <v>0</v>
          </cell>
          <cell r="C623">
            <v>12.73</v>
          </cell>
          <cell r="D623">
            <v>12.26</v>
          </cell>
          <cell r="E623">
            <v>1.03</v>
          </cell>
        </row>
        <row r="624">
          <cell r="A624" t="str">
            <v>B8542</v>
          </cell>
          <cell r="B624">
            <v>0</v>
          </cell>
          <cell r="C624">
            <v>43.084899999999998</v>
          </cell>
          <cell r="D624">
            <v>41.83</v>
          </cell>
          <cell r="E624">
            <v>1.03</v>
          </cell>
        </row>
        <row r="625">
          <cell r="A625" t="str">
            <v>B8545</v>
          </cell>
          <cell r="B625">
            <v>0</v>
          </cell>
          <cell r="C625">
            <v>49.975600000000007</v>
          </cell>
          <cell r="D625">
            <v>48.52</v>
          </cell>
          <cell r="E625">
            <v>1.03</v>
          </cell>
        </row>
        <row r="626">
          <cell r="A626" t="str">
            <v>B8547</v>
          </cell>
          <cell r="B626">
            <v>0</v>
          </cell>
          <cell r="C626">
            <v>57.988999999999997</v>
          </cell>
          <cell r="D626">
            <v>56.3</v>
          </cell>
          <cell r="E626">
            <v>1.03</v>
          </cell>
        </row>
        <row r="627">
          <cell r="A627" t="str">
            <v>B8547S</v>
          </cell>
          <cell r="B627">
            <v>0</v>
          </cell>
          <cell r="C627">
            <v>54.229500000000002</v>
          </cell>
          <cell r="D627">
            <v>52.65</v>
          </cell>
          <cell r="E627">
            <v>1.03</v>
          </cell>
        </row>
        <row r="628">
          <cell r="A628" t="str">
            <v>B8571</v>
          </cell>
          <cell r="B628">
            <v>0</v>
          </cell>
          <cell r="C628">
            <v>11.98</v>
          </cell>
        </row>
        <row r="629">
          <cell r="A629" t="str">
            <v>B8572</v>
          </cell>
          <cell r="B629">
            <v>0</v>
          </cell>
          <cell r="C629">
            <v>35.56</v>
          </cell>
        </row>
        <row r="630">
          <cell r="A630" t="str">
            <v>B8576</v>
          </cell>
          <cell r="B630">
            <v>0</v>
          </cell>
          <cell r="C630">
            <v>50.24</v>
          </cell>
        </row>
        <row r="631">
          <cell r="A631" t="str">
            <v>B8577</v>
          </cell>
          <cell r="B631">
            <v>0</v>
          </cell>
          <cell r="C631">
            <v>51.34</v>
          </cell>
        </row>
        <row r="632">
          <cell r="A632" t="str">
            <v>B8577S</v>
          </cell>
          <cell r="B632">
            <v>0</v>
          </cell>
          <cell r="C632">
            <v>47.61</v>
          </cell>
        </row>
        <row r="633">
          <cell r="A633" t="str">
            <v>B8591</v>
          </cell>
          <cell r="B633">
            <v>0</v>
          </cell>
          <cell r="C633">
            <v>16.016500000000001</v>
          </cell>
          <cell r="D633">
            <v>15.55</v>
          </cell>
          <cell r="E633">
            <v>1.03</v>
          </cell>
        </row>
        <row r="634">
          <cell r="A634" t="str">
            <v>B8593</v>
          </cell>
          <cell r="B634">
            <v>0</v>
          </cell>
          <cell r="C634">
            <v>54.693000000000005</v>
          </cell>
          <cell r="D634">
            <v>53.1</v>
          </cell>
          <cell r="E634">
            <v>1.03</v>
          </cell>
        </row>
        <row r="635">
          <cell r="A635" t="str">
            <v>B8595</v>
          </cell>
          <cell r="B635">
            <v>0</v>
          </cell>
          <cell r="C635">
            <v>63.89</v>
          </cell>
          <cell r="D635">
            <v>62.03</v>
          </cell>
        </row>
        <row r="636">
          <cell r="A636" t="str">
            <v>B8597</v>
          </cell>
          <cell r="B636">
            <v>0</v>
          </cell>
          <cell r="C636">
            <v>70.349999999999994</v>
          </cell>
          <cell r="D636">
            <v>68.3</v>
          </cell>
        </row>
        <row r="637">
          <cell r="A637" t="str">
            <v>B8630</v>
          </cell>
          <cell r="B637">
            <v>0</v>
          </cell>
          <cell r="C637">
            <v>23.195599999999999</v>
          </cell>
          <cell r="D637">
            <v>22.52</v>
          </cell>
          <cell r="E637">
            <v>1.03</v>
          </cell>
        </row>
        <row r="638">
          <cell r="A638" t="str">
            <v>B8632</v>
          </cell>
          <cell r="B638">
            <v>0</v>
          </cell>
          <cell r="C638">
            <v>33.402900000000002</v>
          </cell>
          <cell r="D638">
            <v>32.43</v>
          </cell>
          <cell r="E638">
            <v>1.03</v>
          </cell>
        </row>
        <row r="639">
          <cell r="A639" t="str">
            <v>B8633</v>
          </cell>
          <cell r="B639">
            <v>0</v>
          </cell>
          <cell r="C639">
            <v>33.402900000000002</v>
          </cell>
          <cell r="D639">
            <v>32.43</v>
          </cell>
          <cell r="E639">
            <v>1.03</v>
          </cell>
        </row>
        <row r="640">
          <cell r="A640" t="str">
            <v>B8635</v>
          </cell>
          <cell r="B640">
            <v>0</v>
          </cell>
          <cell r="C640">
            <v>40.211199999999998</v>
          </cell>
          <cell r="D640">
            <v>39.04</v>
          </cell>
          <cell r="E640">
            <v>1.03</v>
          </cell>
        </row>
        <row r="641">
          <cell r="A641" t="str">
            <v>B8636</v>
          </cell>
          <cell r="B641">
            <v>0</v>
          </cell>
          <cell r="C641">
            <v>40.21</v>
          </cell>
          <cell r="D641">
            <v>39.04</v>
          </cell>
        </row>
        <row r="642">
          <cell r="A642" t="str">
            <v>B8637</v>
          </cell>
          <cell r="B642">
            <v>0</v>
          </cell>
          <cell r="C642">
            <v>46.092500000000001</v>
          </cell>
          <cell r="D642">
            <v>44.75</v>
          </cell>
          <cell r="E642">
            <v>1.03</v>
          </cell>
        </row>
        <row r="643">
          <cell r="A643" t="str">
            <v>B8638</v>
          </cell>
          <cell r="B643">
            <v>0</v>
          </cell>
          <cell r="C643">
            <v>46.09</v>
          </cell>
          <cell r="D643">
            <v>44.75</v>
          </cell>
        </row>
        <row r="644">
          <cell r="A644" t="str">
            <v>B8640</v>
          </cell>
          <cell r="B644">
            <v>0</v>
          </cell>
          <cell r="C644">
            <v>34.909999999999997</v>
          </cell>
          <cell r="D644">
            <v>33.89</v>
          </cell>
        </row>
        <row r="645">
          <cell r="A645" t="str">
            <v>B8641</v>
          </cell>
          <cell r="B645">
            <v>0</v>
          </cell>
          <cell r="C645">
            <v>52.73</v>
          </cell>
          <cell r="D645">
            <v>51.19</v>
          </cell>
        </row>
        <row r="646">
          <cell r="A646" t="str">
            <v>B8642</v>
          </cell>
          <cell r="B646">
            <v>0</v>
          </cell>
          <cell r="C646">
            <v>52.725699999999996</v>
          </cell>
          <cell r="D646">
            <v>51.19</v>
          </cell>
          <cell r="E646">
            <v>1.03</v>
          </cell>
        </row>
        <row r="647">
          <cell r="A647" t="str">
            <v>B8643</v>
          </cell>
          <cell r="B647">
            <v>0</v>
          </cell>
          <cell r="C647">
            <v>62.85</v>
          </cell>
          <cell r="D647">
            <v>61.02</v>
          </cell>
        </row>
        <row r="648">
          <cell r="A648" t="str">
            <v>B8644</v>
          </cell>
          <cell r="B648">
            <v>0</v>
          </cell>
          <cell r="C648">
            <v>62.85</v>
          </cell>
          <cell r="D648">
            <v>61.02</v>
          </cell>
        </row>
        <row r="649">
          <cell r="A649" t="str">
            <v>B8651</v>
          </cell>
          <cell r="B649">
            <v>0</v>
          </cell>
          <cell r="C649">
            <v>12.380599999999999</v>
          </cell>
          <cell r="D649">
            <v>12.02</v>
          </cell>
          <cell r="E649">
            <v>1.03</v>
          </cell>
        </row>
        <row r="650">
          <cell r="A650" t="str">
            <v>B8652</v>
          </cell>
          <cell r="B650">
            <v>0</v>
          </cell>
          <cell r="C650">
            <v>53.158300000000004</v>
          </cell>
          <cell r="D650">
            <v>51.61</v>
          </cell>
          <cell r="E650">
            <v>1.03</v>
          </cell>
        </row>
        <row r="651">
          <cell r="A651" t="str">
            <v>B8655</v>
          </cell>
          <cell r="B651">
            <v>0</v>
          </cell>
          <cell r="C651">
            <v>66.19</v>
          </cell>
        </row>
        <row r="652">
          <cell r="A652" t="str">
            <v>B8656</v>
          </cell>
          <cell r="B652">
            <v>0</v>
          </cell>
          <cell r="C652">
            <v>69.459999999999994</v>
          </cell>
        </row>
        <row r="653">
          <cell r="A653" t="str">
            <v>B8657</v>
          </cell>
          <cell r="B653">
            <v>0</v>
          </cell>
          <cell r="C653">
            <v>74.7059</v>
          </cell>
          <cell r="D653">
            <v>72.53</v>
          </cell>
          <cell r="E653">
            <v>1.03</v>
          </cell>
        </row>
        <row r="654">
          <cell r="A654" t="str">
            <v>B8660</v>
          </cell>
          <cell r="B654">
            <v>0</v>
          </cell>
          <cell r="C654">
            <v>41.28</v>
          </cell>
          <cell r="D654">
            <v>40.08</v>
          </cell>
        </row>
        <row r="655">
          <cell r="A655" t="str">
            <v>B8681</v>
          </cell>
          <cell r="B655">
            <v>0</v>
          </cell>
          <cell r="C655">
            <v>11.07</v>
          </cell>
        </row>
        <row r="656">
          <cell r="A656" t="str">
            <v>B8682</v>
          </cell>
          <cell r="B656">
            <v>0</v>
          </cell>
          <cell r="C656">
            <v>42.07</v>
          </cell>
          <cell r="D656">
            <v>42.07</v>
          </cell>
        </row>
        <row r="657">
          <cell r="A657" t="str">
            <v>B8685</v>
          </cell>
          <cell r="B657">
            <v>0</v>
          </cell>
          <cell r="C657">
            <v>48.39</v>
          </cell>
        </row>
        <row r="658">
          <cell r="A658" t="str">
            <v>B8687</v>
          </cell>
          <cell r="B658">
            <v>0</v>
          </cell>
          <cell r="C658">
            <v>56.6</v>
          </cell>
          <cell r="D658">
            <v>56.6</v>
          </cell>
        </row>
        <row r="659">
          <cell r="A659" t="str">
            <v>B8687S</v>
          </cell>
          <cell r="B659">
            <v>0</v>
          </cell>
          <cell r="C659">
            <v>51.26</v>
          </cell>
        </row>
        <row r="660">
          <cell r="A660" t="str">
            <v>B8730</v>
          </cell>
          <cell r="B660">
            <v>0</v>
          </cell>
          <cell r="C660">
            <v>21.89</v>
          </cell>
        </row>
        <row r="661">
          <cell r="A661" t="str">
            <v>B8735</v>
          </cell>
          <cell r="B661">
            <v>0</v>
          </cell>
          <cell r="C661">
            <v>27.047800000000002</v>
          </cell>
          <cell r="D661">
            <v>26.26</v>
          </cell>
          <cell r="E661">
            <v>1.03</v>
          </cell>
        </row>
        <row r="662">
          <cell r="A662" t="str">
            <v>B8736</v>
          </cell>
          <cell r="B662">
            <v>0</v>
          </cell>
          <cell r="C662">
            <v>27.05</v>
          </cell>
          <cell r="D662">
            <v>26.26</v>
          </cell>
        </row>
        <row r="663">
          <cell r="A663" t="str">
            <v>B8737</v>
          </cell>
          <cell r="B663">
            <v>0</v>
          </cell>
          <cell r="C663">
            <v>28.94</v>
          </cell>
        </row>
        <row r="664">
          <cell r="A664" t="str">
            <v>B8738</v>
          </cell>
          <cell r="B664">
            <v>0</v>
          </cell>
          <cell r="C664">
            <v>28.94</v>
          </cell>
        </row>
        <row r="665">
          <cell r="A665" t="str">
            <v>B8740</v>
          </cell>
          <cell r="B665">
            <v>0</v>
          </cell>
          <cell r="C665">
            <v>27.75</v>
          </cell>
        </row>
        <row r="666">
          <cell r="A666" t="str">
            <v>B8741</v>
          </cell>
          <cell r="B666">
            <v>0</v>
          </cell>
          <cell r="C666">
            <v>37.76</v>
          </cell>
          <cell r="D666">
            <v>36.659999999999997</v>
          </cell>
        </row>
        <row r="667">
          <cell r="A667" t="str">
            <v>B8742</v>
          </cell>
          <cell r="B667">
            <v>0</v>
          </cell>
          <cell r="C667">
            <v>37.759799999999998</v>
          </cell>
          <cell r="D667">
            <v>36.659999999999997</v>
          </cell>
          <cell r="E667">
            <v>1.03</v>
          </cell>
        </row>
        <row r="668">
          <cell r="A668" t="str">
            <v>B8760</v>
          </cell>
          <cell r="B668">
            <v>0</v>
          </cell>
          <cell r="C668">
            <v>37.831899999999997</v>
          </cell>
          <cell r="D668">
            <v>36.729999999999997</v>
          </cell>
          <cell r="E668">
            <v>1.03</v>
          </cell>
        </row>
        <row r="669">
          <cell r="A669" t="str">
            <v>B8793</v>
          </cell>
          <cell r="B669">
            <v>0</v>
          </cell>
          <cell r="C669">
            <v>54</v>
          </cell>
        </row>
        <row r="670">
          <cell r="A670" t="str">
            <v>B8794</v>
          </cell>
          <cell r="B670">
            <v>0</v>
          </cell>
          <cell r="C670">
            <v>54</v>
          </cell>
        </row>
        <row r="671">
          <cell r="A671" t="str">
            <v>B8841</v>
          </cell>
          <cell r="B671">
            <v>0</v>
          </cell>
          <cell r="C671">
            <v>10.75</v>
          </cell>
          <cell r="D671">
            <v>10.75</v>
          </cell>
        </row>
        <row r="672">
          <cell r="A672" t="str">
            <v>B8842</v>
          </cell>
          <cell r="B672">
            <v>0</v>
          </cell>
          <cell r="C672">
            <v>31.07</v>
          </cell>
          <cell r="D672">
            <v>31.07</v>
          </cell>
        </row>
        <row r="673">
          <cell r="A673" t="str">
            <v>B8845</v>
          </cell>
          <cell r="B673">
            <v>0</v>
          </cell>
          <cell r="C673">
            <v>47.52</v>
          </cell>
          <cell r="D673">
            <v>47.52</v>
          </cell>
        </row>
        <row r="674">
          <cell r="A674" t="str">
            <v>B8847</v>
          </cell>
          <cell r="B674">
            <v>0</v>
          </cell>
          <cell r="C674">
            <v>52.89</v>
          </cell>
          <cell r="D674">
            <v>52.89</v>
          </cell>
        </row>
        <row r="675">
          <cell r="A675" t="str">
            <v>B8851</v>
          </cell>
          <cell r="B675">
            <v>0</v>
          </cell>
          <cell r="C675">
            <v>13.78</v>
          </cell>
          <cell r="D675">
            <v>13.38</v>
          </cell>
        </row>
        <row r="676">
          <cell r="A676" t="str">
            <v>B8852</v>
          </cell>
          <cell r="B676">
            <v>0</v>
          </cell>
          <cell r="C676">
            <v>40.870400000000004</v>
          </cell>
          <cell r="D676">
            <v>39.68</v>
          </cell>
          <cell r="E676">
            <v>1.03</v>
          </cell>
        </row>
        <row r="677">
          <cell r="A677" t="str">
            <v>B8855</v>
          </cell>
          <cell r="B677">
            <v>0</v>
          </cell>
          <cell r="C677">
            <v>51.07</v>
          </cell>
          <cell r="D677">
            <v>49.58</v>
          </cell>
        </row>
        <row r="678">
          <cell r="A678" t="str">
            <v>B8856</v>
          </cell>
          <cell r="B678">
            <v>0</v>
          </cell>
          <cell r="C678">
            <v>58.658500000000004</v>
          </cell>
          <cell r="D678">
            <v>56.95</v>
          </cell>
          <cell r="E678">
            <v>1.03</v>
          </cell>
        </row>
        <row r="679">
          <cell r="A679" t="str">
            <v>B8857</v>
          </cell>
          <cell r="B679">
            <v>0</v>
          </cell>
          <cell r="C679">
            <v>62.88</v>
          </cell>
          <cell r="D679">
            <v>61.05</v>
          </cell>
        </row>
        <row r="680">
          <cell r="A680" t="str">
            <v>B8961</v>
          </cell>
          <cell r="B680">
            <v>0</v>
          </cell>
          <cell r="C680">
            <v>18.71</v>
          </cell>
        </row>
        <row r="681">
          <cell r="A681" t="str">
            <v>B8962</v>
          </cell>
          <cell r="B681">
            <v>0</v>
          </cell>
          <cell r="C681">
            <v>47.87</v>
          </cell>
        </row>
        <row r="682">
          <cell r="A682" t="str">
            <v>B8965</v>
          </cell>
          <cell r="B682">
            <v>0</v>
          </cell>
          <cell r="C682">
            <v>63.32</v>
          </cell>
        </row>
        <row r="683">
          <cell r="A683" t="str">
            <v>B8967</v>
          </cell>
          <cell r="B683">
            <v>0</v>
          </cell>
          <cell r="C683">
            <v>68.05</v>
          </cell>
        </row>
        <row r="684">
          <cell r="A684" t="str">
            <v>B8991</v>
          </cell>
          <cell r="B684">
            <v>0</v>
          </cell>
          <cell r="C684">
            <v>12.4</v>
          </cell>
        </row>
        <row r="685">
          <cell r="A685" t="str">
            <v>B8992</v>
          </cell>
          <cell r="B685">
            <v>0</v>
          </cell>
          <cell r="C685">
            <v>42.16</v>
          </cell>
        </row>
        <row r="686">
          <cell r="A686" t="str">
            <v>B8995</v>
          </cell>
          <cell r="B686">
            <v>0</v>
          </cell>
          <cell r="C686">
            <v>48.16</v>
          </cell>
        </row>
        <row r="687">
          <cell r="A687" t="str">
            <v>B8997</v>
          </cell>
          <cell r="B687">
            <v>0</v>
          </cell>
          <cell r="C687">
            <v>52.28</v>
          </cell>
        </row>
        <row r="688">
          <cell r="A688" t="str">
            <v>B9441</v>
          </cell>
          <cell r="B688">
            <v>0</v>
          </cell>
          <cell r="C688">
            <v>48.53</v>
          </cell>
          <cell r="D688">
            <v>47.12</v>
          </cell>
        </row>
        <row r="689">
          <cell r="A689" t="str">
            <v>B9444</v>
          </cell>
          <cell r="B689">
            <v>0</v>
          </cell>
          <cell r="C689">
            <v>74.06</v>
          </cell>
          <cell r="D689">
            <v>71.900000000000006</v>
          </cell>
        </row>
        <row r="690">
          <cell r="A690" t="str">
            <v>B9451</v>
          </cell>
          <cell r="B690">
            <v>0</v>
          </cell>
          <cell r="C690">
            <v>10.8</v>
          </cell>
          <cell r="D690">
            <v>10.8</v>
          </cell>
        </row>
        <row r="691">
          <cell r="A691" t="str">
            <v>B9452</v>
          </cell>
          <cell r="B691">
            <v>0</v>
          </cell>
          <cell r="C691">
            <v>37.18</v>
          </cell>
          <cell r="D691">
            <v>37.18</v>
          </cell>
        </row>
        <row r="692">
          <cell r="A692" t="str">
            <v>B9455</v>
          </cell>
          <cell r="B692">
            <v>0</v>
          </cell>
          <cell r="C692">
            <v>45.99</v>
          </cell>
          <cell r="D692">
            <v>45.99</v>
          </cell>
        </row>
        <row r="693">
          <cell r="A693" t="str">
            <v>B9457</v>
          </cell>
          <cell r="B693">
            <v>0</v>
          </cell>
          <cell r="C693">
            <v>54.73</v>
          </cell>
          <cell r="D693">
            <v>54.73</v>
          </cell>
        </row>
        <row r="694">
          <cell r="A694" t="str">
            <v>B9753</v>
          </cell>
          <cell r="B694">
            <v>0</v>
          </cell>
          <cell r="C694">
            <v>58.339200000000005</v>
          </cell>
          <cell r="D694">
            <v>56.64</v>
          </cell>
          <cell r="E694">
            <v>1.03</v>
          </cell>
        </row>
        <row r="695">
          <cell r="A695" t="str">
            <v>B9757</v>
          </cell>
          <cell r="B695">
            <v>0</v>
          </cell>
          <cell r="C695">
            <v>72.893100000000004</v>
          </cell>
          <cell r="D695">
            <v>70.77</v>
          </cell>
          <cell r="E695">
            <v>1.03</v>
          </cell>
        </row>
        <row r="696">
          <cell r="A696" t="str">
            <v>B9930</v>
          </cell>
          <cell r="B696">
            <v>0</v>
          </cell>
          <cell r="C696">
            <v>23.597300000000001</v>
          </cell>
          <cell r="D696">
            <v>22.91</v>
          </cell>
          <cell r="E696">
            <v>1.03</v>
          </cell>
        </row>
        <row r="697">
          <cell r="A697" t="str">
            <v>B9941</v>
          </cell>
          <cell r="B697">
            <v>0</v>
          </cell>
          <cell r="C697">
            <v>47.390299999999996</v>
          </cell>
          <cell r="D697">
            <v>46.01</v>
          </cell>
          <cell r="E697">
            <v>1.03</v>
          </cell>
        </row>
        <row r="698">
          <cell r="A698" t="str">
            <v>B9942</v>
          </cell>
          <cell r="B698">
            <v>0</v>
          </cell>
          <cell r="C698">
            <v>47.390299999999996</v>
          </cell>
          <cell r="D698">
            <v>46.01</v>
          </cell>
          <cell r="E698">
            <v>1.03</v>
          </cell>
        </row>
        <row r="699">
          <cell r="A699" t="str">
            <v>B9951</v>
          </cell>
          <cell r="B699">
            <v>0</v>
          </cell>
          <cell r="C699">
            <v>13.31</v>
          </cell>
          <cell r="D699">
            <v>13.31</v>
          </cell>
        </row>
        <row r="700">
          <cell r="A700" t="str">
            <v>B9953</v>
          </cell>
          <cell r="B700">
            <v>0</v>
          </cell>
          <cell r="C700">
            <v>48.41</v>
          </cell>
          <cell r="D700">
            <v>48.41</v>
          </cell>
        </row>
        <row r="701">
          <cell r="A701" t="str">
            <v>B9955</v>
          </cell>
          <cell r="B701">
            <v>0</v>
          </cell>
          <cell r="C701">
            <v>51.36</v>
          </cell>
          <cell r="D701">
            <v>51.36</v>
          </cell>
        </row>
        <row r="702">
          <cell r="A702" t="str">
            <v>B9956</v>
          </cell>
          <cell r="B702">
            <v>0</v>
          </cell>
          <cell r="C702">
            <v>58.73</v>
          </cell>
          <cell r="D702">
            <v>58.73</v>
          </cell>
        </row>
        <row r="703">
          <cell r="A703" t="str">
            <v>B9957</v>
          </cell>
          <cell r="B703">
            <v>0</v>
          </cell>
          <cell r="C703">
            <v>60.33</v>
          </cell>
          <cell r="D703">
            <v>60.33</v>
          </cell>
        </row>
        <row r="704">
          <cell r="A704" t="str">
            <v>B9960</v>
          </cell>
          <cell r="B704">
            <v>0</v>
          </cell>
          <cell r="C704">
            <v>42.961300000000001</v>
          </cell>
          <cell r="D704">
            <v>41.71</v>
          </cell>
          <cell r="E704">
            <v>1.03</v>
          </cell>
        </row>
        <row r="705">
          <cell r="A705" t="str">
            <v>M0024</v>
          </cell>
          <cell r="B705">
            <v>0</v>
          </cell>
          <cell r="C705">
            <v>14.481800000000002</v>
          </cell>
          <cell r="D705">
            <v>14.06</v>
          </cell>
          <cell r="E705">
            <v>1.03</v>
          </cell>
        </row>
        <row r="706">
          <cell r="A706" t="str">
            <v>M0036</v>
          </cell>
          <cell r="B706">
            <v>0</v>
          </cell>
          <cell r="C706">
            <v>10.403</v>
          </cell>
          <cell r="D706">
            <v>10.1</v>
          </cell>
          <cell r="E706">
            <v>1.03</v>
          </cell>
        </row>
        <row r="707">
          <cell r="A707" t="str">
            <v>M1001</v>
          </cell>
          <cell r="B707">
            <v>0</v>
          </cell>
          <cell r="C707">
            <v>16.253399999999999</v>
          </cell>
          <cell r="D707">
            <v>15.78</v>
          </cell>
          <cell r="E707">
            <v>1.03</v>
          </cell>
        </row>
        <row r="708">
          <cell r="A708" t="str">
            <v>M1021</v>
          </cell>
          <cell r="B708">
            <v>0</v>
          </cell>
          <cell r="C708">
            <v>48.482100000000003</v>
          </cell>
          <cell r="D708">
            <v>47.07</v>
          </cell>
          <cell r="E708">
            <v>1.03</v>
          </cell>
        </row>
        <row r="709">
          <cell r="A709" t="str">
            <v>M1024</v>
          </cell>
          <cell r="B709">
            <v>0</v>
          </cell>
          <cell r="C709">
            <v>41.344200000000001</v>
          </cell>
          <cell r="D709">
            <v>40.14</v>
          </cell>
          <cell r="E709">
            <v>1.03</v>
          </cell>
        </row>
        <row r="710">
          <cell r="A710" t="str">
            <v>M1036</v>
          </cell>
          <cell r="B710">
            <v>0</v>
          </cell>
          <cell r="C710">
            <v>32.620100000000001</v>
          </cell>
          <cell r="D710">
            <v>31.67</v>
          </cell>
          <cell r="E710">
            <v>1.03</v>
          </cell>
        </row>
        <row r="711">
          <cell r="A711" t="str">
            <v>M1041</v>
          </cell>
          <cell r="B711">
            <v>0</v>
          </cell>
          <cell r="C711">
            <v>35.21</v>
          </cell>
        </row>
        <row r="712">
          <cell r="A712" t="str">
            <v>M1042</v>
          </cell>
          <cell r="B712">
            <v>0</v>
          </cell>
          <cell r="C712">
            <v>39.44</v>
          </cell>
        </row>
        <row r="713">
          <cell r="A713" t="str">
            <v>M1043</v>
          </cell>
          <cell r="B713">
            <v>0</v>
          </cell>
          <cell r="C713">
            <v>46.64</v>
          </cell>
        </row>
        <row r="714">
          <cell r="A714" t="str">
            <v>M1102</v>
          </cell>
          <cell r="B714">
            <v>0</v>
          </cell>
          <cell r="C714">
            <v>16.119500000000002</v>
          </cell>
          <cell r="D714">
            <v>15.65</v>
          </cell>
          <cell r="E714">
            <v>1.03</v>
          </cell>
        </row>
        <row r="715">
          <cell r="A715" t="str">
            <v>M1104</v>
          </cell>
          <cell r="B715">
            <v>0</v>
          </cell>
          <cell r="C715">
            <v>13.410600000000001</v>
          </cell>
          <cell r="D715">
            <v>13.02</v>
          </cell>
          <cell r="E715">
            <v>1.03</v>
          </cell>
        </row>
        <row r="716">
          <cell r="A716" t="str">
            <v>M1112</v>
          </cell>
          <cell r="B716">
            <v>0</v>
          </cell>
          <cell r="C716">
            <v>34.669799999999995</v>
          </cell>
          <cell r="D716">
            <v>33.659999999999997</v>
          </cell>
          <cell r="E716">
            <v>1.03</v>
          </cell>
        </row>
        <row r="717">
          <cell r="A717" t="str">
            <v>M1114</v>
          </cell>
          <cell r="B717">
            <v>0</v>
          </cell>
          <cell r="C717">
            <v>23.391300000000001</v>
          </cell>
          <cell r="D717">
            <v>22.71</v>
          </cell>
          <cell r="E717">
            <v>1.03</v>
          </cell>
        </row>
        <row r="718">
          <cell r="A718" t="str">
            <v>M1116</v>
          </cell>
          <cell r="B718">
            <v>0</v>
          </cell>
          <cell r="C718">
            <v>32.434699999999999</v>
          </cell>
          <cell r="D718">
            <v>31.49</v>
          </cell>
          <cell r="E718">
            <v>1.03</v>
          </cell>
        </row>
        <row r="719">
          <cell r="A719" t="str">
            <v>M1117</v>
          </cell>
          <cell r="B719">
            <v>0</v>
          </cell>
          <cell r="C719">
            <v>52.1798</v>
          </cell>
          <cell r="D719">
            <v>50.66</v>
          </cell>
          <cell r="E719">
            <v>1.03</v>
          </cell>
        </row>
        <row r="720">
          <cell r="A720" t="str">
            <v>M1118</v>
          </cell>
          <cell r="B720">
            <v>0</v>
          </cell>
          <cell r="C720">
            <v>25.234999999999999</v>
          </cell>
          <cell r="D720">
            <v>24.5</v>
          </cell>
          <cell r="E720">
            <v>1.03</v>
          </cell>
        </row>
        <row r="721">
          <cell r="A721" t="str">
            <v>M1120</v>
          </cell>
          <cell r="B721">
            <v>0</v>
          </cell>
          <cell r="C721">
            <v>45.64</v>
          </cell>
        </row>
        <row r="722">
          <cell r="A722" t="str">
            <v>M1122</v>
          </cell>
          <cell r="B722">
            <v>0</v>
          </cell>
          <cell r="C722">
            <v>33.39</v>
          </cell>
        </row>
        <row r="723">
          <cell r="A723" t="str">
            <v>M1126</v>
          </cell>
          <cell r="B723">
            <v>0</v>
          </cell>
          <cell r="C723">
            <v>43.92</v>
          </cell>
        </row>
        <row r="724">
          <cell r="A724" t="str">
            <v>M1151</v>
          </cell>
          <cell r="B724">
            <v>0</v>
          </cell>
          <cell r="C724">
            <v>9.58</v>
          </cell>
          <cell r="D724">
            <v>9.58</v>
          </cell>
        </row>
        <row r="725">
          <cell r="A725" t="str">
            <v>M1152</v>
          </cell>
          <cell r="B725">
            <v>0</v>
          </cell>
          <cell r="C725">
            <v>46.83</v>
          </cell>
          <cell r="D725">
            <v>46.83</v>
          </cell>
        </row>
        <row r="726">
          <cell r="A726" t="str">
            <v>M1155</v>
          </cell>
          <cell r="B726">
            <v>0</v>
          </cell>
          <cell r="C726">
            <v>59.19</v>
          </cell>
          <cell r="D726">
            <v>59.19</v>
          </cell>
        </row>
        <row r="727">
          <cell r="A727" t="str">
            <v>M1157</v>
          </cell>
          <cell r="B727">
            <v>0</v>
          </cell>
          <cell r="C727">
            <v>67.3</v>
          </cell>
          <cell r="D727">
            <v>67.3</v>
          </cell>
        </row>
        <row r="728">
          <cell r="A728" t="str">
            <v>M1261</v>
          </cell>
          <cell r="B728">
            <v>0</v>
          </cell>
          <cell r="C728">
            <v>10.1249</v>
          </cell>
          <cell r="D728">
            <v>9.83</v>
          </cell>
          <cell r="E728">
            <v>1.03</v>
          </cell>
        </row>
        <row r="729">
          <cell r="A729" t="str">
            <v>M1262</v>
          </cell>
          <cell r="B729">
            <v>0</v>
          </cell>
          <cell r="C729">
            <v>40.808599999999998</v>
          </cell>
          <cell r="D729">
            <v>39.619999999999997</v>
          </cell>
          <cell r="E729">
            <v>1.03</v>
          </cell>
        </row>
        <row r="730">
          <cell r="A730" t="str">
            <v>M1265</v>
          </cell>
          <cell r="B730">
            <v>0</v>
          </cell>
          <cell r="C730">
            <v>50.851099999999995</v>
          </cell>
          <cell r="D730">
            <v>49.37</v>
          </cell>
          <cell r="E730">
            <v>1.03</v>
          </cell>
        </row>
        <row r="731">
          <cell r="A731" t="str">
            <v>M1267</v>
          </cell>
          <cell r="B731">
            <v>0</v>
          </cell>
          <cell r="C731">
            <v>59.080800000000004</v>
          </cell>
          <cell r="D731">
            <v>57.36</v>
          </cell>
          <cell r="E731">
            <v>1.03</v>
          </cell>
        </row>
        <row r="732">
          <cell r="A732" t="str">
            <v>M1271</v>
          </cell>
          <cell r="B732">
            <v>0</v>
          </cell>
          <cell r="C732">
            <v>10.639900000000001</v>
          </cell>
          <cell r="D732">
            <v>10.33</v>
          </cell>
          <cell r="E732">
            <v>1.03</v>
          </cell>
        </row>
        <row r="733">
          <cell r="A733" t="str">
            <v>M1272</v>
          </cell>
          <cell r="B733">
            <v>0</v>
          </cell>
          <cell r="C733">
            <v>34.319600000000001</v>
          </cell>
          <cell r="D733">
            <v>33.32</v>
          </cell>
          <cell r="E733">
            <v>1.03</v>
          </cell>
        </row>
        <row r="734">
          <cell r="A734" t="str">
            <v>M1275</v>
          </cell>
          <cell r="B734">
            <v>0</v>
          </cell>
          <cell r="C734">
            <v>49.646000000000001</v>
          </cell>
          <cell r="D734">
            <v>48.2</v>
          </cell>
          <cell r="E734">
            <v>1.03</v>
          </cell>
        </row>
        <row r="735">
          <cell r="A735" t="str">
            <v>M1277</v>
          </cell>
          <cell r="B735">
            <v>0</v>
          </cell>
          <cell r="C735">
            <v>53.910200000000003</v>
          </cell>
          <cell r="D735">
            <v>52.34</v>
          </cell>
          <cell r="E735">
            <v>1.03</v>
          </cell>
        </row>
        <row r="736">
          <cell r="A736" t="str">
            <v>M1281</v>
          </cell>
          <cell r="B736">
            <v>0</v>
          </cell>
          <cell r="C736">
            <v>11.433</v>
          </cell>
          <cell r="D736">
            <v>11.1</v>
          </cell>
          <cell r="E736">
            <v>1.03</v>
          </cell>
        </row>
        <row r="737">
          <cell r="A737" t="str">
            <v>M1282</v>
          </cell>
          <cell r="B737">
            <v>0</v>
          </cell>
          <cell r="C737">
            <v>37.275700000000001</v>
          </cell>
          <cell r="D737">
            <v>36.19</v>
          </cell>
          <cell r="E737">
            <v>1.03</v>
          </cell>
        </row>
        <row r="738">
          <cell r="A738" t="str">
            <v>M1285</v>
          </cell>
          <cell r="B738">
            <v>0</v>
          </cell>
          <cell r="C738">
            <v>48.925000000000004</v>
          </cell>
          <cell r="D738">
            <v>47.5</v>
          </cell>
          <cell r="E738">
            <v>1.03</v>
          </cell>
        </row>
        <row r="739">
          <cell r="A739" t="str">
            <v>M1287</v>
          </cell>
          <cell r="B739">
            <v>0</v>
          </cell>
          <cell r="C739">
            <v>56.691200000000002</v>
          </cell>
          <cell r="D739">
            <v>55.04</v>
          </cell>
          <cell r="E739">
            <v>1.03</v>
          </cell>
        </row>
        <row r="740">
          <cell r="A740" t="str">
            <v>M1287S</v>
          </cell>
          <cell r="B740">
            <v>0</v>
          </cell>
          <cell r="C740">
            <v>50.284600000000005</v>
          </cell>
          <cell r="D740">
            <v>48.82</v>
          </cell>
          <cell r="E740">
            <v>1.03</v>
          </cell>
        </row>
        <row r="741">
          <cell r="A741" t="str">
            <v>M1291</v>
          </cell>
          <cell r="B741">
            <v>0</v>
          </cell>
          <cell r="C741">
            <v>9.6304999999999996</v>
          </cell>
          <cell r="D741">
            <v>9.35</v>
          </cell>
          <cell r="E741">
            <v>1.03</v>
          </cell>
        </row>
        <row r="742">
          <cell r="A742" t="str">
            <v>M1292</v>
          </cell>
          <cell r="B742">
            <v>0</v>
          </cell>
          <cell r="C742">
            <v>40.8292</v>
          </cell>
          <cell r="D742">
            <v>39.64</v>
          </cell>
          <cell r="E742">
            <v>1.03</v>
          </cell>
        </row>
        <row r="743">
          <cell r="A743" t="str">
            <v>M1295</v>
          </cell>
          <cell r="B743">
            <v>0</v>
          </cell>
          <cell r="C743">
            <v>51.9223</v>
          </cell>
          <cell r="D743">
            <v>50.41</v>
          </cell>
          <cell r="E743">
            <v>1.03</v>
          </cell>
        </row>
        <row r="744">
          <cell r="A744" t="str">
            <v>M1297</v>
          </cell>
          <cell r="B744">
            <v>0</v>
          </cell>
          <cell r="C744">
            <v>66.36290000000001</v>
          </cell>
          <cell r="D744">
            <v>64.430000000000007</v>
          </cell>
          <cell r="E744">
            <v>1.03</v>
          </cell>
        </row>
        <row r="745">
          <cell r="A745" t="str">
            <v>M1351</v>
          </cell>
          <cell r="B745">
            <v>0</v>
          </cell>
          <cell r="C745">
            <v>11.845000000000001</v>
          </cell>
          <cell r="D745">
            <v>11.5</v>
          </cell>
          <cell r="E745">
            <v>1.03</v>
          </cell>
        </row>
        <row r="746">
          <cell r="A746" t="str">
            <v>M1352</v>
          </cell>
          <cell r="B746">
            <v>0</v>
          </cell>
          <cell r="C746">
            <v>41.426600000000001</v>
          </cell>
          <cell r="D746">
            <v>40.22</v>
          </cell>
          <cell r="E746">
            <v>1.03</v>
          </cell>
        </row>
        <row r="747">
          <cell r="A747" t="str">
            <v>M1355</v>
          </cell>
          <cell r="B747">
            <v>0</v>
          </cell>
          <cell r="C747">
            <v>49.954999999999998</v>
          </cell>
          <cell r="D747">
            <v>48.5</v>
          </cell>
          <cell r="E747">
            <v>1.03</v>
          </cell>
        </row>
        <row r="748">
          <cell r="A748" t="str">
            <v>M1357</v>
          </cell>
          <cell r="B748">
            <v>0</v>
          </cell>
          <cell r="C748">
            <v>57.473999999999997</v>
          </cell>
          <cell r="D748">
            <v>55.8</v>
          </cell>
          <cell r="E748">
            <v>1.03</v>
          </cell>
        </row>
        <row r="749">
          <cell r="A749" t="str">
            <v>M1491</v>
          </cell>
          <cell r="B749">
            <v>0</v>
          </cell>
          <cell r="C749">
            <v>43.012799999999999</v>
          </cell>
          <cell r="D749">
            <v>41.76</v>
          </cell>
          <cell r="E749">
            <v>1.03</v>
          </cell>
        </row>
        <row r="750">
          <cell r="A750" t="str">
            <v>M1492</v>
          </cell>
          <cell r="B750">
            <v>0</v>
          </cell>
          <cell r="C750">
            <v>43.012799999999999</v>
          </cell>
          <cell r="D750">
            <v>41.76</v>
          </cell>
          <cell r="E750">
            <v>1.03</v>
          </cell>
        </row>
        <row r="751">
          <cell r="A751" t="str">
            <v>M1493</v>
          </cell>
          <cell r="B751">
            <v>0</v>
          </cell>
          <cell r="C751">
            <v>56.413100000000007</v>
          </cell>
          <cell r="D751">
            <v>54.77</v>
          </cell>
          <cell r="E751">
            <v>1.03</v>
          </cell>
        </row>
        <row r="752">
          <cell r="A752" t="str">
            <v>M1494</v>
          </cell>
          <cell r="B752">
            <v>0</v>
          </cell>
          <cell r="C752">
            <v>56.413100000000007</v>
          </cell>
          <cell r="D752">
            <v>54.77</v>
          </cell>
          <cell r="E752">
            <v>1.03</v>
          </cell>
        </row>
        <row r="753">
          <cell r="A753" t="str">
            <v>M1521</v>
          </cell>
          <cell r="B753">
            <v>0</v>
          </cell>
          <cell r="C753">
            <v>14.049200000000001</v>
          </cell>
          <cell r="D753">
            <v>13.64</v>
          </cell>
          <cell r="E753">
            <v>1.03</v>
          </cell>
        </row>
        <row r="754">
          <cell r="A754" t="str">
            <v>M1522</v>
          </cell>
          <cell r="B754">
            <v>0</v>
          </cell>
          <cell r="C754">
            <v>47.925900000000006</v>
          </cell>
          <cell r="D754">
            <v>46.53</v>
          </cell>
          <cell r="E754">
            <v>1.03</v>
          </cell>
        </row>
        <row r="755">
          <cell r="A755" t="str">
            <v>M1525</v>
          </cell>
          <cell r="B755">
            <v>0</v>
          </cell>
          <cell r="C755">
            <v>56.052600000000005</v>
          </cell>
          <cell r="D755">
            <v>54.42</v>
          </cell>
          <cell r="E755">
            <v>1.03</v>
          </cell>
        </row>
        <row r="756">
          <cell r="A756" t="str">
            <v>M1527</v>
          </cell>
          <cell r="B756">
            <v>0</v>
          </cell>
          <cell r="C756">
            <v>67.475300000000004</v>
          </cell>
          <cell r="D756">
            <v>65.510000000000005</v>
          </cell>
          <cell r="E756">
            <v>1.03</v>
          </cell>
        </row>
        <row r="757">
          <cell r="A757" t="str">
            <v>M1575</v>
          </cell>
          <cell r="B757">
            <v>0</v>
          </cell>
          <cell r="C757">
            <v>53.05</v>
          </cell>
        </row>
        <row r="758">
          <cell r="A758" t="str">
            <v>M1577</v>
          </cell>
          <cell r="B758">
            <v>0</v>
          </cell>
          <cell r="C758">
            <v>61.41</v>
          </cell>
        </row>
        <row r="759">
          <cell r="A759" t="str">
            <v>M1651</v>
          </cell>
          <cell r="B759">
            <v>0</v>
          </cell>
          <cell r="C759">
            <v>9.58</v>
          </cell>
        </row>
        <row r="760">
          <cell r="A760" t="str">
            <v>M1652</v>
          </cell>
          <cell r="B760">
            <v>0</v>
          </cell>
          <cell r="C760">
            <v>65.819999999999993</v>
          </cell>
        </row>
        <row r="761">
          <cell r="A761" t="str">
            <v>M1655</v>
          </cell>
          <cell r="B761">
            <v>0</v>
          </cell>
          <cell r="C761">
            <v>76.63</v>
          </cell>
        </row>
        <row r="762">
          <cell r="A762" t="str">
            <v>M1657</v>
          </cell>
          <cell r="B762">
            <v>0</v>
          </cell>
          <cell r="C762">
            <v>82.14</v>
          </cell>
        </row>
        <row r="763">
          <cell r="A763" t="str">
            <v>T1281</v>
          </cell>
          <cell r="B763">
            <v>0</v>
          </cell>
          <cell r="C763">
            <v>15.65</v>
          </cell>
          <cell r="D763">
            <v>15.19</v>
          </cell>
        </row>
        <row r="764">
          <cell r="A764" t="str">
            <v>T1283</v>
          </cell>
          <cell r="B764">
            <v>0</v>
          </cell>
          <cell r="C764">
            <v>60.9</v>
          </cell>
          <cell r="D764">
            <v>59.13</v>
          </cell>
        </row>
        <row r="765">
          <cell r="A765" t="str">
            <v>T1285</v>
          </cell>
          <cell r="B765">
            <v>0</v>
          </cell>
          <cell r="C765">
            <v>71.13</v>
          </cell>
          <cell r="D765">
            <v>69.06</v>
          </cell>
        </row>
        <row r="766">
          <cell r="A766" t="str">
            <v>T1286</v>
          </cell>
          <cell r="B766">
            <v>0</v>
          </cell>
          <cell r="C766">
            <v>85.43</v>
          </cell>
          <cell r="D766">
            <v>82.94</v>
          </cell>
        </row>
        <row r="767">
          <cell r="A767" t="str">
            <v>T1287</v>
          </cell>
          <cell r="B767">
            <v>0</v>
          </cell>
          <cell r="C767">
            <v>86.41</v>
          </cell>
          <cell r="D767">
            <v>83.89</v>
          </cell>
        </row>
        <row r="768">
          <cell r="A768" t="str">
            <v>T2230</v>
          </cell>
          <cell r="B768">
            <v>0</v>
          </cell>
          <cell r="C768">
            <v>32.58</v>
          </cell>
          <cell r="D768">
            <v>32.58</v>
          </cell>
        </row>
        <row r="769">
          <cell r="A769" t="str">
            <v>T2237</v>
          </cell>
          <cell r="B769">
            <v>0</v>
          </cell>
          <cell r="C769">
            <v>66.319999999999993</v>
          </cell>
          <cell r="D769">
            <v>66.319999999999993</v>
          </cell>
        </row>
        <row r="770">
          <cell r="A770" t="str">
            <v>T2238</v>
          </cell>
          <cell r="B770">
            <v>0</v>
          </cell>
          <cell r="C770">
            <v>66.319999999999993</v>
          </cell>
          <cell r="D770">
            <v>66.319999999999993</v>
          </cell>
        </row>
        <row r="771">
          <cell r="A771" t="str">
            <v>T2240</v>
          </cell>
          <cell r="B771">
            <v>0</v>
          </cell>
          <cell r="C771">
            <v>52.35</v>
          </cell>
          <cell r="D771">
            <v>52.35</v>
          </cell>
        </row>
        <row r="772">
          <cell r="A772" t="str">
            <v>T2241</v>
          </cell>
          <cell r="B772">
            <v>0</v>
          </cell>
          <cell r="C772">
            <v>61.08</v>
          </cell>
          <cell r="D772">
            <v>61.08</v>
          </cell>
        </row>
        <row r="773">
          <cell r="A773" t="str">
            <v>T2242</v>
          </cell>
          <cell r="B773">
            <v>0</v>
          </cell>
          <cell r="C773">
            <v>61.08</v>
          </cell>
          <cell r="D773">
            <v>61.08</v>
          </cell>
        </row>
        <row r="774">
          <cell r="A774" t="str">
            <v>T2260</v>
          </cell>
          <cell r="B774">
            <v>0</v>
          </cell>
          <cell r="C774">
            <v>55.08</v>
          </cell>
          <cell r="D774">
            <v>55.08</v>
          </cell>
        </row>
        <row r="775">
          <cell r="A775" t="str">
            <v>T2293</v>
          </cell>
          <cell r="B775">
            <v>0</v>
          </cell>
          <cell r="C775">
            <v>87.17</v>
          </cell>
          <cell r="D775">
            <v>87.17</v>
          </cell>
        </row>
        <row r="776">
          <cell r="A776" t="str">
            <v>T2294</v>
          </cell>
          <cell r="B776">
            <v>0</v>
          </cell>
          <cell r="C776">
            <v>87.17</v>
          </cell>
          <cell r="D776">
            <v>87.17</v>
          </cell>
        </row>
        <row r="777">
          <cell r="A777" t="str">
            <v>T2295</v>
          </cell>
          <cell r="B777">
            <v>0</v>
          </cell>
          <cell r="C777">
            <v>72.11</v>
          </cell>
          <cell r="D777">
            <v>72.11</v>
          </cell>
        </row>
        <row r="778">
          <cell r="A778" t="str">
            <v>T2297</v>
          </cell>
          <cell r="B778">
            <v>0</v>
          </cell>
          <cell r="C778">
            <v>82.93</v>
          </cell>
          <cell r="D778">
            <v>82.93</v>
          </cell>
        </row>
        <row r="779">
          <cell r="A779" t="str">
            <v>T2297S</v>
          </cell>
          <cell r="B779">
            <v>0</v>
          </cell>
          <cell r="C779">
            <v>54.43</v>
          </cell>
          <cell r="D779">
            <v>54.43</v>
          </cell>
        </row>
        <row r="780">
          <cell r="A780" t="str">
            <v>T2602</v>
          </cell>
          <cell r="B780">
            <v>0</v>
          </cell>
          <cell r="C780">
            <v>15.347000000000001</v>
          </cell>
          <cell r="D780">
            <v>14.9</v>
          </cell>
          <cell r="E780">
            <v>1.03</v>
          </cell>
        </row>
        <row r="781">
          <cell r="A781" t="str">
            <v>T2612</v>
          </cell>
          <cell r="B781">
            <v>0</v>
          </cell>
          <cell r="C781">
            <v>40.777700000000003</v>
          </cell>
          <cell r="D781">
            <v>39.590000000000003</v>
          </cell>
          <cell r="E781">
            <v>1.03</v>
          </cell>
        </row>
        <row r="782">
          <cell r="A782" t="str">
            <v>T2971</v>
          </cell>
          <cell r="B782">
            <v>0</v>
          </cell>
          <cell r="C782">
            <v>11.1137</v>
          </cell>
          <cell r="D782">
            <v>10.79</v>
          </cell>
          <cell r="E782">
            <v>1.03</v>
          </cell>
        </row>
        <row r="783">
          <cell r="A783" t="str">
            <v>T2972</v>
          </cell>
          <cell r="B783">
            <v>0</v>
          </cell>
          <cell r="C783">
            <v>53.353999999999999</v>
          </cell>
          <cell r="D783">
            <v>51.8</v>
          </cell>
          <cell r="E783">
            <v>1.03</v>
          </cell>
        </row>
        <row r="784">
          <cell r="A784" t="str">
            <v>T2975</v>
          </cell>
          <cell r="B784">
            <v>0</v>
          </cell>
          <cell r="C784">
            <v>67.9285</v>
          </cell>
          <cell r="D784">
            <v>65.95</v>
          </cell>
          <cell r="E784">
            <v>1.03</v>
          </cell>
        </row>
        <row r="785">
          <cell r="A785" t="str">
            <v>T2977</v>
          </cell>
          <cell r="B785">
            <v>0</v>
          </cell>
          <cell r="C785">
            <v>82.935599999999994</v>
          </cell>
          <cell r="D785">
            <v>80.52</v>
          </cell>
          <cell r="E785">
            <v>1.03</v>
          </cell>
        </row>
        <row r="786">
          <cell r="A786" t="str">
            <v>T2977S</v>
          </cell>
          <cell r="B786">
            <v>0</v>
          </cell>
          <cell r="C786">
            <v>55.4861</v>
          </cell>
          <cell r="D786">
            <v>53.87</v>
          </cell>
          <cell r="E786">
            <v>1.03</v>
          </cell>
        </row>
        <row r="787">
          <cell r="A787" t="str">
            <v>T3061</v>
          </cell>
          <cell r="B787">
            <v>0</v>
          </cell>
          <cell r="C787">
            <v>16.96</v>
          </cell>
          <cell r="D787">
            <v>16.96</v>
          </cell>
        </row>
        <row r="788">
          <cell r="A788" t="str">
            <v>T3063</v>
          </cell>
          <cell r="B788">
            <v>0</v>
          </cell>
          <cell r="C788">
            <v>71</v>
          </cell>
          <cell r="D788">
            <v>71</v>
          </cell>
        </row>
        <row r="789">
          <cell r="A789" t="str">
            <v>T3065</v>
          </cell>
          <cell r="B789">
            <v>0</v>
          </cell>
          <cell r="C789">
            <v>81.8</v>
          </cell>
          <cell r="D789">
            <v>81.8</v>
          </cell>
        </row>
        <row r="790">
          <cell r="A790" t="str">
            <v>T3067</v>
          </cell>
          <cell r="B790">
            <v>0</v>
          </cell>
          <cell r="C790">
            <v>94.05</v>
          </cell>
          <cell r="D790">
            <v>94.05</v>
          </cell>
        </row>
        <row r="791">
          <cell r="A791" t="str">
            <v>T3067S</v>
          </cell>
          <cell r="B791">
            <v>0</v>
          </cell>
          <cell r="C791">
            <v>51.2</v>
          </cell>
          <cell r="D791">
            <v>51.2</v>
          </cell>
        </row>
        <row r="792">
          <cell r="A792" t="str">
            <v>T3081</v>
          </cell>
          <cell r="B792">
            <v>0</v>
          </cell>
          <cell r="C792">
            <v>12.6999</v>
          </cell>
          <cell r="D792">
            <v>12.33</v>
          </cell>
          <cell r="E792">
            <v>1.03</v>
          </cell>
        </row>
        <row r="793">
          <cell r="A793" t="str">
            <v>T3082</v>
          </cell>
          <cell r="B793">
            <v>0</v>
          </cell>
          <cell r="C793">
            <v>56.753</v>
          </cell>
          <cell r="D793">
            <v>55.1</v>
          </cell>
          <cell r="E793">
            <v>1.03</v>
          </cell>
        </row>
        <row r="794">
          <cell r="A794" t="str">
            <v>T3085</v>
          </cell>
          <cell r="B794">
            <v>0</v>
          </cell>
          <cell r="C794">
            <v>71.409899999999993</v>
          </cell>
          <cell r="D794">
            <v>69.33</v>
          </cell>
          <cell r="E794">
            <v>1.03</v>
          </cell>
        </row>
        <row r="795">
          <cell r="A795" t="str">
            <v>T3087</v>
          </cell>
          <cell r="B795">
            <v>0</v>
          </cell>
          <cell r="C795">
            <v>80.051600000000008</v>
          </cell>
          <cell r="D795">
            <v>77.72</v>
          </cell>
          <cell r="E795">
            <v>1.03</v>
          </cell>
        </row>
        <row r="796">
          <cell r="A796" t="str">
            <v>T3087S</v>
          </cell>
          <cell r="B796">
            <v>0</v>
          </cell>
          <cell r="C796">
            <v>51.963500000000003</v>
          </cell>
          <cell r="D796">
            <v>50.45</v>
          </cell>
          <cell r="E796">
            <v>1.03</v>
          </cell>
        </row>
        <row r="797">
          <cell r="A797" t="str">
            <v>T3151</v>
          </cell>
          <cell r="B797">
            <v>0</v>
          </cell>
          <cell r="C797">
            <v>12.4527</v>
          </cell>
          <cell r="D797">
            <v>12.09</v>
          </cell>
          <cell r="E797">
            <v>1.03</v>
          </cell>
        </row>
        <row r="798">
          <cell r="A798" t="str">
            <v>T3152</v>
          </cell>
          <cell r="B798">
            <v>0</v>
          </cell>
          <cell r="C798">
            <v>61.758800000000001</v>
          </cell>
          <cell r="D798">
            <v>59.96</v>
          </cell>
          <cell r="E798">
            <v>1.03</v>
          </cell>
        </row>
        <row r="799">
          <cell r="A799" t="str">
            <v>T3155</v>
          </cell>
          <cell r="B799">
            <v>0</v>
          </cell>
          <cell r="C799">
            <v>82.080699999999993</v>
          </cell>
          <cell r="D799">
            <v>79.69</v>
          </cell>
          <cell r="E799">
            <v>1.03</v>
          </cell>
        </row>
        <row r="800">
          <cell r="A800" t="str">
            <v>T3157</v>
          </cell>
          <cell r="B800">
            <v>0</v>
          </cell>
          <cell r="C800">
            <v>93.039900000000003</v>
          </cell>
          <cell r="D800">
            <v>90.33</v>
          </cell>
          <cell r="E800">
            <v>1.03</v>
          </cell>
        </row>
        <row r="801">
          <cell r="A801" t="str">
            <v>T3157S</v>
          </cell>
          <cell r="B801">
            <v>0</v>
          </cell>
          <cell r="C801">
            <v>70.884599999999992</v>
          </cell>
          <cell r="D801">
            <v>68.819999999999993</v>
          </cell>
          <cell r="E801">
            <v>1.03</v>
          </cell>
        </row>
        <row r="802">
          <cell r="A802" t="str">
            <v>T3161</v>
          </cell>
          <cell r="B802">
            <v>0</v>
          </cell>
          <cell r="C802">
            <v>16.96</v>
          </cell>
          <cell r="D802">
            <v>16.96</v>
          </cell>
        </row>
        <row r="803">
          <cell r="A803" t="str">
            <v>T3163</v>
          </cell>
          <cell r="B803">
            <v>0</v>
          </cell>
          <cell r="C803">
            <v>71</v>
          </cell>
          <cell r="D803">
            <v>71</v>
          </cell>
        </row>
        <row r="804">
          <cell r="A804" t="str">
            <v>T3165</v>
          </cell>
          <cell r="B804">
            <v>0</v>
          </cell>
          <cell r="C804">
            <v>81.8</v>
          </cell>
          <cell r="D804">
            <v>81.8</v>
          </cell>
        </row>
        <row r="805">
          <cell r="A805" t="str">
            <v>T3167</v>
          </cell>
          <cell r="B805">
            <v>0</v>
          </cell>
          <cell r="C805">
            <v>94.05</v>
          </cell>
          <cell r="D805">
            <v>94.05</v>
          </cell>
        </row>
        <row r="806">
          <cell r="A806" t="str">
            <v>T3167S</v>
          </cell>
          <cell r="B806">
            <v>0</v>
          </cell>
          <cell r="C806">
            <v>51.2</v>
          </cell>
          <cell r="D806">
            <v>51.2</v>
          </cell>
        </row>
        <row r="807">
          <cell r="A807" t="str">
            <v>T3261</v>
          </cell>
          <cell r="C807">
            <v>12.66</v>
          </cell>
          <cell r="D807">
            <v>12.66</v>
          </cell>
        </row>
        <row r="808">
          <cell r="A808" t="str">
            <v>T3263</v>
          </cell>
          <cell r="B808">
            <v>0</v>
          </cell>
          <cell r="C808">
            <v>63.58</v>
          </cell>
          <cell r="D808">
            <v>63.58</v>
          </cell>
        </row>
        <row r="809">
          <cell r="A809" t="str">
            <v>T3265</v>
          </cell>
          <cell r="B809">
            <v>0</v>
          </cell>
          <cell r="C809">
            <v>76.650000000000006</v>
          </cell>
          <cell r="D809">
            <v>76.650000000000006</v>
          </cell>
        </row>
        <row r="810">
          <cell r="A810" t="str">
            <v>T3267</v>
          </cell>
          <cell r="B810">
            <v>0</v>
          </cell>
          <cell r="C810">
            <v>79.180000000000007</v>
          </cell>
          <cell r="D810">
            <v>79.180000000000007</v>
          </cell>
        </row>
        <row r="811">
          <cell r="A811" t="str">
            <v>T3281</v>
          </cell>
          <cell r="B811">
            <v>0</v>
          </cell>
          <cell r="C811">
            <v>15.6457</v>
          </cell>
          <cell r="D811">
            <v>15.19</v>
          </cell>
          <cell r="E811">
            <v>1.03</v>
          </cell>
        </row>
        <row r="812">
          <cell r="A812" t="str">
            <v>T3283</v>
          </cell>
          <cell r="B812">
            <v>0</v>
          </cell>
          <cell r="C812">
            <v>60.903900000000007</v>
          </cell>
          <cell r="D812">
            <v>59.13</v>
          </cell>
          <cell r="E812">
            <v>1.03</v>
          </cell>
        </row>
        <row r="813">
          <cell r="A813" t="str">
            <v>T3285</v>
          </cell>
          <cell r="B813">
            <v>0</v>
          </cell>
          <cell r="C813">
            <v>71.131799999999998</v>
          </cell>
          <cell r="D813">
            <v>69.06</v>
          </cell>
          <cell r="E813">
            <v>1.03</v>
          </cell>
        </row>
        <row r="814">
          <cell r="A814" t="str">
            <v>T3286</v>
          </cell>
          <cell r="B814">
            <v>0</v>
          </cell>
          <cell r="C814">
            <v>85.428200000000004</v>
          </cell>
          <cell r="D814">
            <v>82.94</v>
          </cell>
          <cell r="E814">
            <v>1.03</v>
          </cell>
        </row>
        <row r="815">
          <cell r="A815" t="str">
            <v>T3287</v>
          </cell>
          <cell r="B815">
            <v>0</v>
          </cell>
          <cell r="C815">
            <v>86.406700000000001</v>
          </cell>
          <cell r="D815">
            <v>83.89</v>
          </cell>
          <cell r="E815">
            <v>1.03</v>
          </cell>
        </row>
        <row r="816">
          <cell r="A816" t="str">
            <v>T3361</v>
          </cell>
          <cell r="B816">
            <v>0</v>
          </cell>
          <cell r="C816">
            <v>12.66</v>
          </cell>
          <cell r="D816">
            <v>12.66</v>
          </cell>
        </row>
        <row r="817">
          <cell r="A817" t="str">
            <v>T3363</v>
          </cell>
          <cell r="B817">
            <v>0</v>
          </cell>
          <cell r="C817">
            <v>63.58</v>
          </cell>
          <cell r="D817">
            <v>63.58</v>
          </cell>
        </row>
        <row r="818">
          <cell r="A818" t="str">
            <v>T3365</v>
          </cell>
          <cell r="B818">
            <v>0</v>
          </cell>
          <cell r="C818">
            <v>76.650000000000006</v>
          </cell>
          <cell r="D818">
            <v>76.650000000000006</v>
          </cell>
        </row>
        <row r="819">
          <cell r="A819" t="str">
            <v>T3367</v>
          </cell>
          <cell r="B819">
            <v>0</v>
          </cell>
          <cell r="C819">
            <v>79.180000000000007</v>
          </cell>
          <cell r="D819">
            <v>79.180000000000007</v>
          </cell>
        </row>
        <row r="820">
          <cell r="A820" t="str">
            <v>T3661</v>
          </cell>
          <cell r="B820">
            <v>0</v>
          </cell>
          <cell r="C820">
            <v>13.01</v>
          </cell>
          <cell r="D820">
            <v>13.01</v>
          </cell>
        </row>
        <row r="821">
          <cell r="A821" t="str">
            <v>T3663</v>
          </cell>
          <cell r="B821">
            <v>0</v>
          </cell>
          <cell r="C821">
            <v>64.180000000000007</v>
          </cell>
          <cell r="D821">
            <v>64.180000000000007</v>
          </cell>
        </row>
        <row r="822">
          <cell r="A822" t="str">
            <v>T3665</v>
          </cell>
          <cell r="B822">
            <v>0</v>
          </cell>
          <cell r="C822">
            <v>70.38</v>
          </cell>
          <cell r="D822">
            <v>70.38</v>
          </cell>
        </row>
        <row r="823">
          <cell r="A823" t="str">
            <v>T3666</v>
          </cell>
          <cell r="B823">
            <v>0</v>
          </cell>
          <cell r="C823">
            <v>86.67</v>
          </cell>
          <cell r="D823">
            <v>86.67</v>
          </cell>
        </row>
        <row r="824">
          <cell r="A824" t="str">
            <v>T3667</v>
          </cell>
          <cell r="B824">
            <v>0</v>
          </cell>
          <cell r="C824">
            <v>91.74</v>
          </cell>
          <cell r="D824">
            <v>91.74</v>
          </cell>
        </row>
        <row r="825">
          <cell r="A825" t="str">
            <v>T3737</v>
          </cell>
          <cell r="B825">
            <v>0</v>
          </cell>
          <cell r="C825">
            <v>59.63</v>
          </cell>
          <cell r="D825">
            <v>59.63</v>
          </cell>
        </row>
        <row r="826">
          <cell r="A826" t="str">
            <v>T3738</v>
          </cell>
          <cell r="B826">
            <v>0</v>
          </cell>
          <cell r="C826">
            <v>59.63</v>
          </cell>
          <cell r="D826">
            <v>59.63</v>
          </cell>
        </row>
        <row r="827">
          <cell r="A827" t="str">
            <v>T3761</v>
          </cell>
          <cell r="B827">
            <v>0</v>
          </cell>
          <cell r="C827">
            <v>10.84</v>
          </cell>
          <cell r="D827">
            <v>10.52</v>
          </cell>
        </row>
        <row r="828">
          <cell r="A828" t="str">
            <v>T3762</v>
          </cell>
          <cell r="B828">
            <v>0</v>
          </cell>
          <cell r="C828">
            <v>59.65</v>
          </cell>
          <cell r="D828">
            <v>57.91</v>
          </cell>
        </row>
        <row r="829">
          <cell r="A829" t="str">
            <v>T3765</v>
          </cell>
          <cell r="B829">
            <v>0</v>
          </cell>
          <cell r="C829">
            <v>67.19</v>
          </cell>
          <cell r="D829">
            <v>65.23</v>
          </cell>
        </row>
        <row r="830">
          <cell r="A830" t="str">
            <v>T3767</v>
          </cell>
          <cell r="B830">
            <v>0</v>
          </cell>
          <cell r="C830">
            <v>72.491399999999999</v>
          </cell>
          <cell r="D830">
            <v>70.38</v>
          </cell>
          <cell r="E830">
            <v>1.03</v>
          </cell>
        </row>
        <row r="831">
          <cell r="A831" t="str">
            <v>T3771</v>
          </cell>
          <cell r="B831">
            <v>0</v>
          </cell>
          <cell r="C831">
            <v>13.52</v>
          </cell>
          <cell r="D831">
            <v>13.52</v>
          </cell>
        </row>
        <row r="832">
          <cell r="A832" t="str">
            <v>T3773</v>
          </cell>
          <cell r="B832">
            <v>0</v>
          </cell>
          <cell r="C832">
            <v>67.34</v>
          </cell>
          <cell r="D832">
            <v>67.34</v>
          </cell>
        </row>
        <row r="833">
          <cell r="A833" t="str">
            <v>T3775</v>
          </cell>
          <cell r="B833">
            <v>0</v>
          </cell>
          <cell r="C833">
            <v>69.17</v>
          </cell>
          <cell r="D833">
            <v>69.17</v>
          </cell>
        </row>
        <row r="834">
          <cell r="A834" t="str">
            <v>T3776</v>
          </cell>
          <cell r="B834">
            <v>0</v>
          </cell>
          <cell r="C834">
            <v>79.459999999999994</v>
          </cell>
          <cell r="D834">
            <v>79.459999999999994</v>
          </cell>
        </row>
        <row r="835">
          <cell r="A835" t="str">
            <v>T3777</v>
          </cell>
          <cell r="B835">
            <v>0</v>
          </cell>
          <cell r="C835">
            <v>81.349999999999994</v>
          </cell>
          <cell r="D835">
            <v>81.349999999999994</v>
          </cell>
        </row>
        <row r="836">
          <cell r="A836" t="str">
            <v>T3777S</v>
          </cell>
          <cell r="B836">
            <v>0</v>
          </cell>
          <cell r="C836">
            <v>55.71</v>
          </cell>
          <cell r="D836">
            <v>55.71</v>
          </cell>
        </row>
        <row r="837">
          <cell r="A837" t="str">
            <v>T3881</v>
          </cell>
          <cell r="B837">
            <v>0</v>
          </cell>
          <cell r="C837">
            <v>10.835599999999999</v>
          </cell>
          <cell r="D837">
            <v>10.52</v>
          </cell>
          <cell r="E837">
            <v>1.03</v>
          </cell>
        </row>
        <row r="838">
          <cell r="A838" t="str">
            <v>T3882</v>
          </cell>
          <cell r="B838">
            <v>0</v>
          </cell>
          <cell r="C838">
            <v>59.647300000000001</v>
          </cell>
          <cell r="D838">
            <v>57.91</v>
          </cell>
          <cell r="E838">
            <v>1.03</v>
          </cell>
        </row>
        <row r="839">
          <cell r="A839" t="str">
            <v>T3885</v>
          </cell>
          <cell r="B839">
            <v>0</v>
          </cell>
          <cell r="C839">
            <v>67.186900000000009</v>
          </cell>
          <cell r="D839">
            <v>65.23</v>
          </cell>
          <cell r="E839">
            <v>1.03</v>
          </cell>
        </row>
        <row r="840">
          <cell r="A840" t="str">
            <v>T3887</v>
          </cell>
          <cell r="B840">
            <v>0</v>
          </cell>
          <cell r="C840">
            <v>72.491399999999999</v>
          </cell>
          <cell r="D840">
            <v>70.38</v>
          </cell>
          <cell r="E840">
            <v>1.03</v>
          </cell>
        </row>
        <row r="841">
          <cell r="A841" t="str">
            <v>T4033</v>
          </cell>
          <cell r="B841">
            <v>0</v>
          </cell>
          <cell r="C841">
            <v>45.32</v>
          </cell>
        </row>
        <row r="842">
          <cell r="A842" t="str">
            <v>T4037</v>
          </cell>
          <cell r="B842">
            <v>0</v>
          </cell>
          <cell r="C842">
            <v>64.290000000000006</v>
          </cell>
        </row>
        <row r="843">
          <cell r="A843" t="str">
            <v>T4038</v>
          </cell>
          <cell r="B843">
            <v>0</v>
          </cell>
          <cell r="C843">
            <v>64.290000000000006</v>
          </cell>
        </row>
        <row r="844">
          <cell r="A844" t="str">
            <v>T4040</v>
          </cell>
          <cell r="B844">
            <v>0</v>
          </cell>
          <cell r="C844">
            <v>56.47</v>
          </cell>
        </row>
        <row r="845">
          <cell r="A845" t="str">
            <v>T4041</v>
          </cell>
          <cell r="B845">
            <v>0</v>
          </cell>
          <cell r="C845">
            <v>64.19</v>
          </cell>
        </row>
        <row r="846">
          <cell r="A846" t="str">
            <v>T4042</v>
          </cell>
          <cell r="B846">
            <v>0</v>
          </cell>
          <cell r="C846">
            <v>64.19</v>
          </cell>
        </row>
        <row r="847">
          <cell r="A847" t="str">
            <v>T4251</v>
          </cell>
          <cell r="B847">
            <v>0</v>
          </cell>
          <cell r="C847">
            <v>11.659600000000001</v>
          </cell>
          <cell r="D847">
            <v>11.32</v>
          </cell>
          <cell r="E847">
            <v>1.03</v>
          </cell>
        </row>
        <row r="848">
          <cell r="A848" t="str">
            <v>T4252</v>
          </cell>
          <cell r="B848">
            <v>0</v>
          </cell>
          <cell r="C848">
            <v>51.850200000000008</v>
          </cell>
          <cell r="D848">
            <v>50.34</v>
          </cell>
          <cell r="E848">
            <v>1.03</v>
          </cell>
        </row>
        <row r="849">
          <cell r="A849" t="str">
            <v>T4255</v>
          </cell>
          <cell r="B849">
            <v>0</v>
          </cell>
          <cell r="C849">
            <v>65.16810000000001</v>
          </cell>
          <cell r="D849">
            <v>63.27</v>
          </cell>
          <cell r="E849">
            <v>1.03</v>
          </cell>
        </row>
        <row r="850">
          <cell r="A850" t="str">
            <v>T4256</v>
          </cell>
          <cell r="B850">
            <v>0</v>
          </cell>
          <cell r="C850">
            <v>79.649900000000002</v>
          </cell>
          <cell r="D850">
            <v>77.33</v>
          </cell>
          <cell r="E850">
            <v>1.03</v>
          </cell>
        </row>
        <row r="851">
          <cell r="A851" t="str">
            <v>T4257</v>
          </cell>
          <cell r="B851">
            <v>0</v>
          </cell>
          <cell r="C851">
            <v>82.657499999999999</v>
          </cell>
          <cell r="D851">
            <v>80.25</v>
          </cell>
          <cell r="E851">
            <v>1.03</v>
          </cell>
        </row>
        <row r="852">
          <cell r="A852" t="str">
            <v>T4261</v>
          </cell>
          <cell r="B852">
            <v>0</v>
          </cell>
          <cell r="C852">
            <v>18.690000000000001</v>
          </cell>
          <cell r="D852">
            <v>18.690000000000001</v>
          </cell>
        </row>
        <row r="853">
          <cell r="A853" t="str">
            <v>T4263</v>
          </cell>
          <cell r="B853">
            <v>0</v>
          </cell>
          <cell r="C853">
            <v>58.74</v>
          </cell>
          <cell r="D853">
            <v>58.74</v>
          </cell>
        </row>
        <row r="854">
          <cell r="A854" t="str">
            <v>T4265</v>
          </cell>
          <cell r="B854">
            <v>0</v>
          </cell>
          <cell r="C854">
            <v>65.16</v>
          </cell>
          <cell r="D854">
            <v>65.16</v>
          </cell>
        </row>
        <row r="855">
          <cell r="A855" t="str">
            <v>T4266</v>
          </cell>
          <cell r="B855">
            <v>0</v>
          </cell>
          <cell r="C855">
            <v>76.05</v>
          </cell>
          <cell r="D855">
            <v>76.05</v>
          </cell>
        </row>
        <row r="856">
          <cell r="A856" t="str">
            <v>T4267</v>
          </cell>
          <cell r="B856">
            <v>0</v>
          </cell>
          <cell r="C856">
            <v>77.819999999999993</v>
          </cell>
          <cell r="D856">
            <v>77.819999999999993</v>
          </cell>
        </row>
        <row r="857">
          <cell r="A857" t="str">
            <v>T4391</v>
          </cell>
          <cell r="B857">
            <v>0</v>
          </cell>
          <cell r="C857">
            <v>14.2346</v>
          </cell>
          <cell r="D857">
            <v>13.82</v>
          </cell>
          <cell r="E857">
            <v>1.03</v>
          </cell>
        </row>
        <row r="858">
          <cell r="A858" t="str">
            <v>T4392</v>
          </cell>
          <cell r="B858">
            <v>0</v>
          </cell>
          <cell r="C858">
            <v>51.716300000000004</v>
          </cell>
          <cell r="D858">
            <v>50.21</v>
          </cell>
          <cell r="E858">
            <v>1.03</v>
          </cell>
        </row>
        <row r="859">
          <cell r="A859" t="str">
            <v>T4395</v>
          </cell>
          <cell r="B859">
            <v>0</v>
          </cell>
          <cell r="C859">
            <v>69.494100000000003</v>
          </cell>
          <cell r="D859">
            <v>67.47</v>
          </cell>
          <cell r="E859">
            <v>1.03</v>
          </cell>
        </row>
        <row r="860">
          <cell r="A860" t="str">
            <v>T4396</v>
          </cell>
          <cell r="B860">
            <v>0</v>
          </cell>
          <cell r="C860">
            <v>79.371800000000007</v>
          </cell>
          <cell r="D860">
            <v>77.06</v>
          </cell>
          <cell r="E860">
            <v>1.03</v>
          </cell>
        </row>
        <row r="861">
          <cell r="A861" t="str">
            <v>T4397</v>
          </cell>
          <cell r="B861">
            <v>0</v>
          </cell>
          <cell r="C861">
            <v>80.319400000000002</v>
          </cell>
          <cell r="D861">
            <v>77.98</v>
          </cell>
          <cell r="E861">
            <v>1.03</v>
          </cell>
        </row>
        <row r="862">
          <cell r="A862" t="str">
            <v>T4471</v>
          </cell>
          <cell r="B862">
            <v>0</v>
          </cell>
          <cell r="C862">
            <v>11.86</v>
          </cell>
          <cell r="D862">
            <v>11.51</v>
          </cell>
        </row>
        <row r="863">
          <cell r="A863" t="str">
            <v>T4472</v>
          </cell>
          <cell r="B863">
            <v>0</v>
          </cell>
          <cell r="C863">
            <v>50.964399999999998</v>
          </cell>
          <cell r="D863">
            <v>49.48</v>
          </cell>
          <cell r="E863">
            <v>1.03</v>
          </cell>
        </row>
        <row r="864">
          <cell r="A864" t="str">
            <v>T4475</v>
          </cell>
          <cell r="B864">
            <v>0</v>
          </cell>
          <cell r="C864">
            <v>63.86</v>
          </cell>
          <cell r="D864">
            <v>62</v>
          </cell>
        </row>
        <row r="865">
          <cell r="A865" t="str">
            <v>T4477</v>
          </cell>
          <cell r="B865">
            <v>0</v>
          </cell>
          <cell r="C865">
            <v>71.25</v>
          </cell>
          <cell r="D865">
            <v>69.17</v>
          </cell>
        </row>
        <row r="866">
          <cell r="A866" t="str">
            <v>T4477S</v>
          </cell>
          <cell r="B866">
            <v>0</v>
          </cell>
          <cell r="C866">
            <v>44.125200000000007</v>
          </cell>
          <cell r="D866">
            <v>42.84</v>
          </cell>
          <cell r="E866">
            <v>1.03</v>
          </cell>
        </row>
        <row r="867">
          <cell r="A867" t="str">
            <v>T4581</v>
          </cell>
          <cell r="B867">
            <v>0</v>
          </cell>
          <cell r="C867">
            <v>11.36</v>
          </cell>
          <cell r="D867">
            <v>11.36</v>
          </cell>
        </row>
        <row r="868">
          <cell r="A868" t="str">
            <v>T4582</v>
          </cell>
          <cell r="B868">
            <v>0</v>
          </cell>
          <cell r="C868">
            <v>41.93</v>
          </cell>
          <cell r="D868">
            <v>41.93</v>
          </cell>
        </row>
        <row r="869">
          <cell r="A869" t="str">
            <v>T4585</v>
          </cell>
          <cell r="B869">
            <v>0</v>
          </cell>
          <cell r="C869">
            <v>55.07</v>
          </cell>
          <cell r="D869">
            <v>55.07</v>
          </cell>
        </row>
        <row r="870">
          <cell r="A870" t="str">
            <v>T4587</v>
          </cell>
          <cell r="B870">
            <v>0</v>
          </cell>
          <cell r="C870">
            <v>64.5</v>
          </cell>
          <cell r="D870">
            <v>64.5</v>
          </cell>
        </row>
        <row r="871">
          <cell r="A871" t="str">
            <v>T4587S</v>
          </cell>
          <cell r="B871">
            <v>0</v>
          </cell>
          <cell r="C871">
            <v>43.13</v>
          </cell>
          <cell r="D871">
            <v>43.13</v>
          </cell>
        </row>
        <row r="872">
          <cell r="A872" t="str">
            <v>T4651</v>
          </cell>
          <cell r="B872">
            <v>0</v>
          </cell>
          <cell r="C872">
            <v>16.96</v>
          </cell>
          <cell r="D872">
            <v>16.96</v>
          </cell>
        </row>
        <row r="873">
          <cell r="A873" t="str">
            <v>T4661</v>
          </cell>
          <cell r="B873">
            <v>0</v>
          </cell>
          <cell r="C873">
            <v>11.659600000000001</v>
          </cell>
          <cell r="D873">
            <v>11.32</v>
          </cell>
          <cell r="E873">
            <v>1.03</v>
          </cell>
        </row>
        <row r="874">
          <cell r="A874" t="str">
            <v>T4662</v>
          </cell>
          <cell r="B874">
            <v>0</v>
          </cell>
          <cell r="C874">
            <v>51.850200000000008</v>
          </cell>
          <cell r="D874">
            <v>50.34</v>
          </cell>
          <cell r="E874">
            <v>1.03</v>
          </cell>
        </row>
        <row r="875">
          <cell r="A875" t="str">
            <v>T4665</v>
          </cell>
          <cell r="B875">
            <v>0</v>
          </cell>
          <cell r="C875">
            <v>65.16810000000001</v>
          </cell>
          <cell r="D875">
            <v>63.27</v>
          </cell>
          <cell r="E875">
            <v>1.03</v>
          </cell>
        </row>
        <row r="876">
          <cell r="A876" t="str">
            <v>T4666</v>
          </cell>
          <cell r="B876">
            <v>0</v>
          </cell>
          <cell r="C876">
            <v>79.649900000000002</v>
          </cell>
          <cell r="D876">
            <v>77.33</v>
          </cell>
          <cell r="E876">
            <v>1.03</v>
          </cell>
        </row>
        <row r="877">
          <cell r="A877" t="str">
            <v>T4667</v>
          </cell>
          <cell r="B877">
            <v>0</v>
          </cell>
          <cell r="C877">
            <v>82.657499999999999</v>
          </cell>
          <cell r="D877">
            <v>80.25</v>
          </cell>
          <cell r="E877">
            <v>1.03</v>
          </cell>
        </row>
        <row r="878">
          <cell r="A878" t="str">
            <v>T4681</v>
          </cell>
          <cell r="B878">
            <v>0</v>
          </cell>
          <cell r="C878">
            <v>10.55</v>
          </cell>
          <cell r="D878">
            <v>10.55</v>
          </cell>
        </row>
        <row r="879">
          <cell r="A879" t="str">
            <v>T4682</v>
          </cell>
          <cell r="B879">
            <v>0</v>
          </cell>
          <cell r="C879">
            <v>38.89</v>
          </cell>
          <cell r="D879">
            <v>38.89</v>
          </cell>
        </row>
        <row r="880">
          <cell r="A880" t="str">
            <v>T4685</v>
          </cell>
          <cell r="B880">
            <v>0</v>
          </cell>
          <cell r="C880">
            <v>54.59</v>
          </cell>
          <cell r="D880">
            <v>54.59</v>
          </cell>
        </row>
        <row r="881">
          <cell r="A881" t="str">
            <v>T4687</v>
          </cell>
          <cell r="B881">
            <v>0</v>
          </cell>
          <cell r="C881">
            <v>64.510000000000005</v>
          </cell>
          <cell r="D881">
            <v>64.510000000000005</v>
          </cell>
        </row>
        <row r="882">
          <cell r="A882" t="str">
            <v>T4687S</v>
          </cell>
          <cell r="B882">
            <v>0</v>
          </cell>
          <cell r="C882">
            <v>36.74</v>
          </cell>
          <cell r="D882">
            <v>36.74</v>
          </cell>
        </row>
        <row r="883">
          <cell r="A883" t="str">
            <v>T4761</v>
          </cell>
          <cell r="B883">
            <v>0</v>
          </cell>
          <cell r="C883">
            <v>10.64</v>
          </cell>
          <cell r="D883">
            <v>10.33</v>
          </cell>
        </row>
        <row r="884">
          <cell r="A884" t="str">
            <v>T4763</v>
          </cell>
          <cell r="B884">
            <v>0</v>
          </cell>
          <cell r="C884">
            <v>61.94</v>
          </cell>
          <cell r="D884">
            <v>60.14</v>
          </cell>
        </row>
        <row r="885">
          <cell r="A885" t="str">
            <v>T4765</v>
          </cell>
          <cell r="B885">
            <v>0</v>
          </cell>
          <cell r="C885">
            <v>71.62</v>
          </cell>
          <cell r="D885">
            <v>69.53</v>
          </cell>
        </row>
        <row r="886">
          <cell r="A886" t="str">
            <v>T4766</v>
          </cell>
          <cell r="B886">
            <v>0</v>
          </cell>
          <cell r="C886">
            <v>76.98</v>
          </cell>
          <cell r="D886">
            <v>74.739999999999995</v>
          </cell>
        </row>
        <row r="887">
          <cell r="A887" t="str">
            <v>T4767</v>
          </cell>
          <cell r="B887">
            <v>0</v>
          </cell>
          <cell r="C887">
            <v>79.19</v>
          </cell>
          <cell r="D887">
            <v>76.88</v>
          </cell>
        </row>
        <row r="888">
          <cell r="A888" t="str">
            <v>T4891</v>
          </cell>
          <cell r="B888">
            <v>0</v>
          </cell>
          <cell r="C888">
            <v>16.026800000000001</v>
          </cell>
          <cell r="D888">
            <v>15.56</v>
          </cell>
          <cell r="E888">
            <v>1.03</v>
          </cell>
        </row>
        <row r="889">
          <cell r="A889" t="str">
            <v>T4893</v>
          </cell>
          <cell r="B889">
            <v>0</v>
          </cell>
          <cell r="C889">
            <v>61.130500000000005</v>
          </cell>
          <cell r="D889">
            <v>59.35</v>
          </cell>
          <cell r="E889">
            <v>1.03</v>
          </cell>
        </row>
        <row r="890">
          <cell r="A890" t="str">
            <v>T4895</v>
          </cell>
          <cell r="B890">
            <v>0</v>
          </cell>
          <cell r="C890">
            <v>65.312299999999993</v>
          </cell>
          <cell r="D890">
            <v>63.41</v>
          </cell>
          <cell r="E890">
            <v>1.03</v>
          </cell>
        </row>
        <row r="891">
          <cell r="A891" t="str">
            <v>T4896</v>
          </cell>
          <cell r="B891">
            <v>0</v>
          </cell>
          <cell r="C891">
            <v>75.890400000000014</v>
          </cell>
          <cell r="D891">
            <v>73.680000000000007</v>
          </cell>
          <cell r="E891">
            <v>1.03</v>
          </cell>
        </row>
        <row r="892">
          <cell r="A892" t="str">
            <v>T4897</v>
          </cell>
          <cell r="B892">
            <v>0</v>
          </cell>
          <cell r="C892">
            <v>76.539299999999997</v>
          </cell>
          <cell r="D892">
            <v>74.31</v>
          </cell>
          <cell r="E892">
            <v>1.03</v>
          </cell>
        </row>
        <row r="893">
          <cell r="A893" t="str">
            <v>T4781</v>
          </cell>
          <cell r="B893">
            <v>0</v>
          </cell>
          <cell r="C893">
            <v>11.340300000000001</v>
          </cell>
          <cell r="D893">
            <v>11.01</v>
          </cell>
          <cell r="E893">
            <v>1.03</v>
          </cell>
        </row>
        <row r="894">
          <cell r="A894" t="str">
            <v>T4783</v>
          </cell>
          <cell r="B894">
            <v>0</v>
          </cell>
          <cell r="C894">
            <v>74.201200000000014</v>
          </cell>
          <cell r="D894">
            <v>72.040000000000006</v>
          </cell>
          <cell r="E894">
            <v>1.03</v>
          </cell>
        </row>
        <row r="895">
          <cell r="A895" t="str">
            <v>T4784</v>
          </cell>
          <cell r="B895">
            <v>0</v>
          </cell>
          <cell r="C895">
            <v>74.201200000000014</v>
          </cell>
          <cell r="D895">
            <v>72.040000000000006</v>
          </cell>
          <cell r="E895">
            <v>1.03</v>
          </cell>
        </row>
        <row r="896">
          <cell r="A896" t="str">
            <v>T4785</v>
          </cell>
          <cell r="B896">
            <v>0</v>
          </cell>
          <cell r="C896">
            <v>86.283100000000005</v>
          </cell>
          <cell r="D896">
            <v>83.77</v>
          </cell>
          <cell r="E896">
            <v>1.03</v>
          </cell>
        </row>
        <row r="897">
          <cell r="A897" t="str">
            <v>T4786</v>
          </cell>
          <cell r="B897">
            <v>0</v>
          </cell>
          <cell r="C897">
            <v>86.283100000000005</v>
          </cell>
          <cell r="D897">
            <v>83.77</v>
          </cell>
          <cell r="E897">
            <v>1.03</v>
          </cell>
        </row>
        <row r="898">
          <cell r="A898" t="str">
            <v>T4787</v>
          </cell>
          <cell r="B898">
            <v>0</v>
          </cell>
          <cell r="C898">
            <v>96.335900000000009</v>
          </cell>
          <cell r="D898">
            <v>93.53</v>
          </cell>
          <cell r="E898">
            <v>1.03</v>
          </cell>
        </row>
        <row r="899">
          <cell r="A899" t="str">
            <v>T4788</v>
          </cell>
          <cell r="B899">
            <v>0</v>
          </cell>
          <cell r="C899">
            <v>96.335900000000009</v>
          </cell>
          <cell r="D899">
            <v>93.53</v>
          </cell>
          <cell r="E899">
            <v>1.03</v>
          </cell>
        </row>
        <row r="900">
          <cell r="A900" t="str">
            <v>T5151</v>
          </cell>
          <cell r="B900">
            <v>0</v>
          </cell>
          <cell r="C900">
            <v>18.34</v>
          </cell>
          <cell r="D900">
            <v>18.34</v>
          </cell>
        </row>
        <row r="901">
          <cell r="A901" t="str">
            <v>T5152</v>
          </cell>
          <cell r="B901">
            <v>0</v>
          </cell>
          <cell r="C901">
            <v>49.54</v>
          </cell>
          <cell r="D901">
            <v>49.54</v>
          </cell>
        </row>
        <row r="902">
          <cell r="A902" t="str">
            <v>T5155</v>
          </cell>
          <cell r="B902">
            <v>0</v>
          </cell>
          <cell r="C902">
            <v>66.64</v>
          </cell>
          <cell r="D902">
            <v>66.64</v>
          </cell>
        </row>
        <row r="903">
          <cell r="A903" t="str">
            <v>T5156</v>
          </cell>
          <cell r="B903">
            <v>0</v>
          </cell>
          <cell r="C903">
            <v>80.87</v>
          </cell>
          <cell r="D903">
            <v>80.87</v>
          </cell>
        </row>
        <row r="904">
          <cell r="A904" t="str">
            <v>T5157</v>
          </cell>
          <cell r="B904">
            <v>0</v>
          </cell>
          <cell r="C904">
            <v>85.51</v>
          </cell>
          <cell r="D904">
            <v>85.51</v>
          </cell>
        </row>
        <row r="905">
          <cell r="A905" t="str">
            <v>T5171</v>
          </cell>
          <cell r="B905">
            <v>0</v>
          </cell>
          <cell r="C905">
            <v>14.224300000000001</v>
          </cell>
          <cell r="D905">
            <v>13.81</v>
          </cell>
          <cell r="E905">
            <v>1.03</v>
          </cell>
        </row>
        <row r="906">
          <cell r="A906" t="str">
            <v>T5173</v>
          </cell>
          <cell r="B906">
            <v>0</v>
          </cell>
          <cell r="C906">
            <v>61.985399999999998</v>
          </cell>
          <cell r="D906">
            <v>60.18</v>
          </cell>
          <cell r="E906">
            <v>1.03</v>
          </cell>
        </row>
        <row r="907">
          <cell r="A907" t="str">
            <v>T5175</v>
          </cell>
          <cell r="B907">
            <v>0</v>
          </cell>
          <cell r="C907">
            <v>69.463200000000001</v>
          </cell>
          <cell r="D907">
            <v>67.44</v>
          </cell>
          <cell r="E907">
            <v>1.03</v>
          </cell>
        </row>
        <row r="908">
          <cell r="A908" t="str">
            <v>T5176</v>
          </cell>
          <cell r="B908">
            <v>0</v>
          </cell>
          <cell r="C908">
            <v>82.008600000000001</v>
          </cell>
          <cell r="D908">
            <v>79.62</v>
          </cell>
          <cell r="E908">
            <v>1.03</v>
          </cell>
        </row>
        <row r="909">
          <cell r="A909" t="str">
            <v>T5177</v>
          </cell>
          <cell r="B909">
            <v>0</v>
          </cell>
          <cell r="C909">
            <v>84.171599999999998</v>
          </cell>
          <cell r="D909">
            <v>81.72</v>
          </cell>
          <cell r="E909">
            <v>1.03</v>
          </cell>
        </row>
        <row r="910">
          <cell r="A910" t="str">
            <v>T5290</v>
          </cell>
          <cell r="B910">
            <v>0</v>
          </cell>
          <cell r="C910">
            <v>12.18</v>
          </cell>
          <cell r="D910">
            <v>11.83</v>
          </cell>
        </row>
        <row r="911">
          <cell r="A911" t="str">
            <v>T5291</v>
          </cell>
          <cell r="B911">
            <v>0</v>
          </cell>
          <cell r="C911">
            <v>12.2776</v>
          </cell>
          <cell r="D911">
            <v>11.92</v>
          </cell>
          <cell r="E911">
            <v>1.03</v>
          </cell>
        </row>
        <row r="912">
          <cell r="A912" t="str">
            <v>T5292</v>
          </cell>
          <cell r="B912">
            <v>0</v>
          </cell>
          <cell r="C912">
            <v>52.777200000000001</v>
          </cell>
          <cell r="D912">
            <v>51.24</v>
          </cell>
          <cell r="E912">
            <v>1.03</v>
          </cell>
        </row>
        <row r="913">
          <cell r="A913" t="str">
            <v>T5295</v>
          </cell>
          <cell r="B913">
            <v>0</v>
          </cell>
          <cell r="C913">
            <v>70.225400000000008</v>
          </cell>
          <cell r="D913">
            <v>68.180000000000007</v>
          </cell>
          <cell r="E913">
            <v>1.03</v>
          </cell>
        </row>
        <row r="914">
          <cell r="A914" t="str">
            <v>T5297</v>
          </cell>
          <cell r="B914">
            <v>0</v>
          </cell>
          <cell r="C914">
            <v>83.460900000000009</v>
          </cell>
          <cell r="D914">
            <v>81.03</v>
          </cell>
          <cell r="E914">
            <v>1.03</v>
          </cell>
        </row>
        <row r="915">
          <cell r="A915" t="str">
            <v>T5341</v>
          </cell>
          <cell r="B915">
            <v>0</v>
          </cell>
          <cell r="C915">
            <v>14.7187</v>
          </cell>
          <cell r="D915">
            <v>14.29</v>
          </cell>
          <cell r="E915">
            <v>1.03</v>
          </cell>
        </row>
        <row r="916">
          <cell r="A916" t="str">
            <v>T5343</v>
          </cell>
          <cell r="B916">
            <v>0</v>
          </cell>
          <cell r="C916">
            <v>84.336399999999998</v>
          </cell>
          <cell r="D916">
            <v>81.88</v>
          </cell>
          <cell r="E916">
            <v>1.03</v>
          </cell>
        </row>
        <row r="917">
          <cell r="A917" t="str">
            <v>T5345</v>
          </cell>
          <cell r="B917">
            <v>0</v>
          </cell>
          <cell r="C917">
            <v>95.645800000000008</v>
          </cell>
          <cell r="D917">
            <v>92.86</v>
          </cell>
          <cell r="E917">
            <v>1.03</v>
          </cell>
        </row>
        <row r="918">
          <cell r="A918" t="str">
            <v>T5347</v>
          </cell>
          <cell r="B918">
            <v>0</v>
          </cell>
          <cell r="C918">
            <v>107.29510000000001</v>
          </cell>
          <cell r="D918">
            <v>104.17</v>
          </cell>
          <cell r="E918">
            <v>1.03</v>
          </cell>
        </row>
        <row r="919">
          <cell r="A919" t="str">
            <v>T5421</v>
          </cell>
          <cell r="B919">
            <v>0</v>
          </cell>
          <cell r="C919">
            <v>18.128000000000004</v>
          </cell>
          <cell r="D919">
            <v>17.600000000000001</v>
          </cell>
          <cell r="E919">
            <v>1.03</v>
          </cell>
        </row>
        <row r="920">
          <cell r="A920" t="str">
            <v>T5422</v>
          </cell>
          <cell r="B920">
            <v>0</v>
          </cell>
          <cell r="C920">
            <v>55.115299999999998</v>
          </cell>
          <cell r="D920">
            <v>53.51</v>
          </cell>
          <cell r="E920">
            <v>1.03</v>
          </cell>
        </row>
        <row r="921">
          <cell r="A921" t="str">
            <v>T5425</v>
          </cell>
          <cell r="B921">
            <v>0</v>
          </cell>
          <cell r="C921">
            <v>74.293899999999994</v>
          </cell>
          <cell r="D921">
            <v>72.13</v>
          </cell>
          <cell r="E921">
            <v>1.03</v>
          </cell>
        </row>
        <row r="922">
          <cell r="A922" t="str">
            <v>T5427</v>
          </cell>
          <cell r="B922">
            <v>0</v>
          </cell>
          <cell r="C922">
            <v>86.210999999999999</v>
          </cell>
          <cell r="D922">
            <v>83.7</v>
          </cell>
          <cell r="E922">
            <v>1.03</v>
          </cell>
        </row>
        <row r="923">
          <cell r="A923" t="str">
            <v>T5441</v>
          </cell>
          <cell r="B923">
            <v>0</v>
          </cell>
          <cell r="C923">
            <v>20.02</v>
          </cell>
          <cell r="D923">
            <v>20.02</v>
          </cell>
        </row>
        <row r="924">
          <cell r="A924" t="str">
            <v>T5443</v>
          </cell>
          <cell r="B924">
            <v>0</v>
          </cell>
          <cell r="C924">
            <v>61.62</v>
          </cell>
          <cell r="D924">
            <v>61.62</v>
          </cell>
        </row>
        <row r="925">
          <cell r="A925" t="str">
            <v>T5445</v>
          </cell>
          <cell r="B925">
            <v>0</v>
          </cell>
          <cell r="C925">
            <v>73.55</v>
          </cell>
          <cell r="D925">
            <v>73.55</v>
          </cell>
        </row>
        <row r="926">
          <cell r="A926" t="str">
            <v>T5447</v>
          </cell>
          <cell r="B926">
            <v>0</v>
          </cell>
          <cell r="C926">
            <v>87.07</v>
          </cell>
          <cell r="D926">
            <v>87.07</v>
          </cell>
        </row>
        <row r="927">
          <cell r="A927" t="str">
            <v>T5451</v>
          </cell>
          <cell r="B927">
            <v>0</v>
          </cell>
          <cell r="C927">
            <v>22.268600000000003</v>
          </cell>
          <cell r="D927">
            <v>21.62</v>
          </cell>
          <cell r="E927">
            <v>1.03</v>
          </cell>
        </row>
        <row r="928">
          <cell r="A928" t="str">
            <v>T5453</v>
          </cell>
          <cell r="B928">
            <v>0</v>
          </cell>
          <cell r="C928">
            <v>58.390700000000002</v>
          </cell>
          <cell r="D928">
            <v>56.69</v>
          </cell>
          <cell r="E928">
            <v>1.03</v>
          </cell>
        </row>
        <row r="929">
          <cell r="A929" t="str">
            <v>T5455</v>
          </cell>
          <cell r="B929">
            <v>0</v>
          </cell>
          <cell r="C929">
            <v>68.175700000000006</v>
          </cell>
          <cell r="D929">
            <v>66.19</v>
          </cell>
          <cell r="E929">
            <v>1.03</v>
          </cell>
        </row>
        <row r="930">
          <cell r="A930" t="str">
            <v>T5456</v>
          </cell>
          <cell r="B930">
            <v>0</v>
          </cell>
          <cell r="C930">
            <v>79.340900000000005</v>
          </cell>
          <cell r="D930">
            <v>77.03</v>
          </cell>
          <cell r="E930">
            <v>1.03</v>
          </cell>
        </row>
        <row r="931">
          <cell r="A931" t="str">
            <v>T5457</v>
          </cell>
          <cell r="B931">
            <v>0</v>
          </cell>
          <cell r="C931">
            <v>81.761399999999995</v>
          </cell>
          <cell r="D931">
            <v>79.38</v>
          </cell>
          <cell r="E931">
            <v>1.03</v>
          </cell>
        </row>
        <row r="932">
          <cell r="A932" t="str">
            <v>T5641</v>
          </cell>
          <cell r="B932">
            <v>0</v>
          </cell>
          <cell r="C932">
            <v>18.457600000000003</v>
          </cell>
          <cell r="D932">
            <v>17.920000000000002</v>
          </cell>
          <cell r="E932">
            <v>1.03</v>
          </cell>
        </row>
        <row r="933">
          <cell r="A933" t="str">
            <v>T5642</v>
          </cell>
          <cell r="B933">
            <v>0</v>
          </cell>
          <cell r="C933">
            <v>79.649900000000002</v>
          </cell>
          <cell r="D933">
            <v>77.33</v>
          </cell>
          <cell r="E933">
            <v>1.03</v>
          </cell>
        </row>
        <row r="934">
          <cell r="A934" t="str">
            <v>T5645</v>
          </cell>
          <cell r="B934">
            <v>0</v>
          </cell>
          <cell r="C934">
            <v>104.8643</v>
          </cell>
          <cell r="D934">
            <v>101.81</v>
          </cell>
          <cell r="E934">
            <v>1.03</v>
          </cell>
        </row>
        <row r="935">
          <cell r="A935" t="str">
            <v>T5647</v>
          </cell>
          <cell r="B935">
            <v>0</v>
          </cell>
          <cell r="C935">
            <v>113.40299999999999</v>
          </cell>
          <cell r="D935">
            <v>110.1</v>
          </cell>
          <cell r="E935">
            <v>1.03</v>
          </cell>
        </row>
        <row r="936">
          <cell r="A936" t="str">
            <v>T5741</v>
          </cell>
          <cell r="B936">
            <v>0</v>
          </cell>
          <cell r="C936">
            <v>17.015599999999999</v>
          </cell>
          <cell r="D936">
            <v>16.52</v>
          </cell>
          <cell r="E936">
            <v>1.03</v>
          </cell>
        </row>
        <row r="937">
          <cell r="A937" t="str">
            <v>T5742</v>
          </cell>
          <cell r="B937">
            <v>0</v>
          </cell>
          <cell r="C937">
            <v>48.811700000000002</v>
          </cell>
          <cell r="D937">
            <v>47.39</v>
          </cell>
          <cell r="E937">
            <v>1.03</v>
          </cell>
        </row>
        <row r="938">
          <cell r="A938" t="str">
            <v>T5745</v>
          </cell>
          <cell r="B938">
            <v>0</v>
          </cell>
          <cell r="C938">
            <v>65.260800000000003</v>
          </cell>
          <cell r="D938">
            <v>63.36</v>
          </cell>
          <cell r="E938">
            <v>1.03</v>
          </cell>
        </row>
        <row r="939">
          <cell r="A939" t="str">
            <v>T5747</v>
          </cell>
          <cell r="B939">
            <v>0</v>
          </cell>
          <cell r="C939">
            <v>74.396900000000002</v>
          </cell>
          <cell r="D939">
            <v>72.23</v>
          </cell>
          <cell r="E939">
            <v>1.03</v>
          </cell>
        </row>
        <row r="940">
          <cell r="A940" t="str">
            <v>T5751</v>
          </cell>
          <cell r="B940">
            <v>0</v>
          </cell>
          <cell r="C940">
            <v>34.360799999999998</v>
          </cell>
          <cell r="D940">
            <v>33.36</v>
          </cell>
          <cell r="E940">
            <v>1.03</v>
          </cell>
        </row>
        <row r="941">
          <cell r="A941" t="str">
            <v>T5753</v>
          </cell>
          <cell r="B941">
            <v>0</v>
          </cell>
          <cell r="C941">
            <v>79.577800000000011</v>
          </cell>
          <cell r="D941">
            <v>77.260000000000005</v>
          </cell>
          <cell r="E941">
            <v>1.03</v>
          </cell>
        </row>
        <row r="942">
          <cell r="A942" t="str">
            <v>T5757</v>
          </cell>
          <cell r="B942">
            <v>0</v>
          </cell>
          <cell r="C942">
            <v>110.53959999999999</v>
          </cell>
          <cell r="D942">
            <v>107.32</v>
          </cell>
          <cell r="E942">
            <v>1.03</v>
          </cell>
        </row>
        <row r="943">
          <cell r="A943" t="str">
            <v>T5821</v>
          </cell>
          <cell r="B943">
            <v>0</v>
          </cell>
          <cell r="C943">
            <v>11.340300000000001</v>
          </cell>
          <cell r="D943">
            <v>11.01</v>
          </cell>
          <cell r="E943">
            <v>1.03</v>
          </cell>
        </row>
        <row r="944">
          <cell r="A944" t="str">
            <v>T5823</v>
          </cell>
          <cell r="B944">
            <v>0</v>
          </cell>
          <cell r="C944">
            <v>74.201200000000014</v>
          </cell>
          <cell r="D944">
            <v>72.040000000000006</v>
          </cell>
          <cell r="E944">
            <v>1.03</v>
          </cell>
        </row>
        <row r="945">
          <cell r="A945" t="str">
            <v>T5825</v>
          </cell>
          <cell r="B945">
            <v>0</v>
          </cell>
          <cell r="C945">
            <v>86.28</v>
          </cell>
        </row>
        <row r="946">
          <cell r="A946" t="str">
            <v>T5827</v>
          </cell>
          <cell r="B946">
            <v>0</v>
          </cell>
          <cell r="C946">
            <v>96.335900000000009</v>
          </cell>
          <cell r="D946">
            <v>93.53</v>
          </cell>
          <cell r="E946">
            <v>1.03</v>
          </cell>
        </row>
        <row r="947">
          <cell r="A947" t="str">
            <v>T5947</v>
          </cell>
          <cell r="B947">
            <v>0</v>
          </cell>
          <cell r="C947">
            <v>81.760000000000005</v>
          </cell>
        </row>
        <row r="948">
          <cell r="A948" t="str">
            <v>T5981</v>
          </cell>
          <cell r="B948">
            <v>0</v>
          </cell>
          <cell r="C948">
            <v>13.41</v>
          </cell>
        </row>
        <row r="949">
          <cell r="A949" t="str">
            <v>T5982</v>
          </cell>
          <cell r="B949">
            <v>0</v>
          </cell>
          <cell r="C949">
            <v>56.72</v>
          </cell>
        </row>
        <row r="950">
          <cell r="A950" t="str">
            <v>T5985</v>
          </cell>
          <cell r="B950">
            <v>0</v>
          </cell>
          <cell r="C950">
            <v>74.87</v>
          </cell>
        </row>
        <row r="951">
          <cell r="A951" t="str">
            <v>T5987</v>
          </cell>
          <cell r="B951">
            <v>0</v>
          </cell>
          <cell r="C951">
            <v>82.99</v>
          </cell>
        </row>
        <row r="952">
          <cell r="A952" t="str">
            <v>T7681</v>
          </cell>
          <cell r="B952">
            <v>0</v>
          </cell>
          <cell r="C952">
            <v>12.3</v>
          </cell>
          <cell r="D952">
            <v>11.94</v>
          </cell>
        </row>
        <row r="953">
          <cell r="A953" t="str">
            <v>T7683</v>
          </cell>
          <cell r="B953">
            <v>0</v>
          </cell>
          <cell r="C953">
            <v>57.09</v>
          </cell>
          <cell r="D953">
            <v>55.43</v>
          </cell>
        </row>
        <row r="954">
          <cell r="A954" t="str">
            <v>T7687</v>
          </cell>
          <cell r="B954">
            <v>0</v>
          </cell>
          <cell r="C954">
            <v>69.19</v>
          </cell>
          <cell r="D954">
            <v>67.17</v>
          </cell>
        </row>
        <row r="955">
          <cell r="A955" t="str">
            <v>T7761</v>
          </cell>
          <cell r="B955">
            <v>0</v>
          </cell>
          <cell r="C955">
            <v>14.76</v>
          </cell>
          <cell r="D955">
            <v>14.76</v>
          </cell>
        </row>
        <row r="956">
          <cell r="A956" t="str">
            <v>T7763</v>
          </cell>
          <cell r="B956">
            <v>0</v>
          </cell>
          <cell r="C956">
            <v>64.34</v>
          </cell>
          <cell r="D956">
            <v>64.34</v>
          </cell>
        </row>
        <row r="957">
          <cell r="A957" t="str">
            <v>T7765</v>
          </cell>
          <cell r="B957">
            <v>0</v>
          </cell>
          <cell r="C957">
            <v>69.23</v>
          </cell>
          <cell r="D957">
            <v>69.23</v>
          </cell>
        </row>
        <row r="958">
          <cell r="A958" t="str">
            <v>T7766</v>
          </cell>
          <cell r="B958">
            <v>0</v>
          </cell>
          <cell r="C958">
            <v>83.24</v>
          </cell>
          <cell r="D958">
            <v>83.24</v>
          </cell>
        </row>
        <row r="959">
          <cell r="A959" t="str">
            <v>T7767</v>
          </cell>
          <cell r="B959">
            <v>0</v>
          </cell>
          <cell r="C959">
            <v>86.17</v>
          </cell>
          <cell r="D959">
            <v>86.17</v>
          </cell>
        </row>
        <row r="960">
          <cell r="A960" t="str">
            <v>T8891</v>
          </cell>
          <cell r="B960">
            <v>0</v>
          </cell>
          <cell r="C960">
            <v>14.76</v>
          </cell>
          <cell r="D960">
            <v>14.76</v>
          </cell>
        </row>
        <row r="961">
          <cell r="A961" t="str">
            <v>T8893</v>
          </cell>
          <cell r="B961">
            <v>0</v>
          </cell>
          <cell r="C961">
            <v>64.34</v>
          </cell>
          <cell r="D961">
            <v>64.34</v>
          </cell>
        </row>
        <row r="962">
          <cell r="A962" t="str">
            <v>T8895</v>
          </cell>
          <cell r="B962">
            <v>0</v>
          </cell>
          <cell r="C962">
            <v>69.23</v>
          </cell>
          <cell r="D962">
            <v>69.23</v>
          </cell>
        </row>
        <row r="963">
          <cell r="A963" t="str">
            <v>T8896</v>
          </cell>
          <cell r="B963">
            <v>0</v>
          </cell>
          <cell r="C963">
            <v>83.24</v>
          </cell>
          <cell r="D963">
            <v>83.24</v>
          </cell>
        </row>
        <row r="964">
          <cell r="A964" t="str">
            <v>T8897</v>
          </cell>
          <cell r="B964">
            <v>0</v>
          </cell>
          <cell r="C964">
            <v>86.17</v>
          </cell>
          <cell r="D964">
            <v>86.17</v>
          </cell>
        </row>
        <row r="965">
          <cell r="A965" t="str">
            <v>T8900</v>
          </cell>
          <cell r="B965">
            <v>0</v>
          </cell>
          <cell r="C965">
            <v>12.41</v>
          </cell>
          <cell r="D965">
            <v>12.41</v>
          </cell>
        </row>
        <row r="966">
          <cell r="A966" t="str">
            <v>T8951</v>
          </cell>
          <cell r="B966">
            <v>0</v>
          </cell>
          <cell r="C966">
            <v>14.52</v>
          </cell>
          <cell r="D966">
            <v>14.52</v>
          </cell>
        </row>
        <row r="967">
          <cell r="A967" t="str">
            <v>T8952</v>
          </cell>
          <cell r="B967">
            <v>0</v>
          </cell>
          <cell r="C967">
            <v>50.4</v>
          </cell>
          <cell r="D967">
            <v>50.4</v>
          </cell>
        </row>
        <row r="968">
          <cell r="A968" t="str">
            <v>T8953</v>
          </cell>
          <cell r="B968">
            <v>0</v>
          </cell>
          <cell r="C968">
            <v>63.36</v>
          </cell>
          <cell r="D968">
            <v>63.36</v>
          </cell>
        </row>
        <row r="969">
          <cell r="A969" t="str">
            <v>T8955</v>
          </cell>
          <cell r="B969">
            <v>0</v>
          </cell>
          <cell r="C969">
            <v>68.5</v>
          </cell>
          <cell r="D969">
            <v>68.5</v>
          </cell>
        </row>
        <row r="970">
          <cell r="A970" t="str">
            <v>T8956</v>
          </cell>
          <cell r="B970">
            <v>0</v>
          </cell>
          <cell r="C970">
            <v>80.290000000000006</v>
          </cell>
          <cell r="D970">
            <v>80.290000000000006</v>
          </cell>
        </row>
        <row r="971">
          <cell r="A971" t="str">
            <v>T8957</v>
          </cell>
          <cell r="B971">
            <v>0</v>
          </cell>
          <cell r="C971">
            <v>83.66</v>
          </cell>
          <cell r="D971">
            <v>83.66</v>
          </cell>
        </row>
        <row r="972">
          <cell r="A972" t="str">
            <v>T9021</v>
          </cell>
          <cell r="B972">
            <v>0</v>
          </cell>
          <cell r="C972">
            <v>11.38</v>
          </cell>
        </row>
        <row r="973">
          <cell r="A973" t="str">
            <v>T9022</v>
          </cell>
          <cell r="B973">
            <v>0</v>
          </cell>
          <cell r="C973">
            <v>64.08</v>
          </cell>
        </row>
        <row r="974">
          <cell r="A974" t="str">
            <v>T9025</v>
          </cell>
          <cell r="B974">
            <v>0</v>
          </cell>
          <cell r="C974">
            <v>89.21</v>
          </cell>
        </row>
        <row r="975">
          <cell r="A975" t="str">
            <v>T9027</v>
          </cell>
          <cell r="B975">
            <v>0</v>
          </cell>
          <cell r="C975">
            <v>111.36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A1:F1048576" totalsRowShown="0" headerRowDxfId="83" dataDxfId="82">
  <autoFilter ref="A1:F1048576" xr:uid="{00000000-0009-0000-0100-000003000000}"/>
  <tableColumns count="6">
    <tableColumn id="1" xr3:uid="{00000000-0010-0000-0000-000001000000}" name="Column1" dataDxfId="81"/>
    <tableColumn id="2" xr3:uid="{00000000-0010-0000-0000-000002000000}" name="Column2" dataDxfId="80"/>
    <tableColumn id="3" xr3:uid="{00000000-0010-0000-0000-000003000000}" name="Column3" dataDxfId="79"/>
    <tableColumn id="4" xr3:uid="{00000000-0010-0000-0000-000004000000}" name="Column4" dataDxfId="78"/>
    <tableColumn id="5" xr3:uid="{00000000-0010-0000-0000-000005000000}" name="Column5" dataDxfId="77"/>
    <tableColumn id="6" xr3:uid="{00000000-0010-0000-0000-000006000000}" name="Column6" dataDxfId="7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3:F870" totalsRowShown="0" headerRowDxfId="75" dataDxfId="73" headerRowBorderDxfId="74" tableBorderDxfId="72" totalsRowBorderDxfId="71">
  <autoFilter ref="A3:F870" xr:uid="{00000000-0009-0000-0100-000001000000}">
    <filterColumn colId="5">
      <filters blank="1">
        <filter val="Fairmont"/>
        <filter val="Sutter Street"/>
        <filter val="Teknion"/>
        <filter val="Vanguard"/>
      </filters>
    </filterColumn>
  </autoFilter>
  <sortState xmlns:xlrd2="http://schemas.microsoft.com/office/spreadsheetml/2017/richdata2" ref="A18:F830">
    <sortCondition ref="A3:A830"/>
  </sortState>
  <tableColumns count="6">
    <tableColumn id="1" xr3:uid="{00000000-0010-0000-0100-000001000000}" name="Frame" dataDxfId="70"/>
    <tableColumn id="2" xr3:uid="{00000000-0010-0000-0100-000002000000}" name="Frame Name" dataDxfId="69"/>
    <tableColumn id="3" xr3:uid="{00000000-0010-0000-0100-000003000000}" name="KNOCK/UP" dataDxfId="68" dataCellStyle="Currency"/>
    <tableColumn id="4" xr3:uid="{00000000-0010-0000-0100-000004000000}" name="SPRING/UP" dataDxfId="67" dataCellStyle="Currency"/>
    <tableColumn id="6" xr3:uid="{00000000-0010-0000-0100-000006000000}" name="Barcode" dataDxfId="66">
      <calculatedColumnFormula>"*"&amp;Table1[[#This Row],[Frame]]&amp;"*"</calculatedColumnFormula>
    </tableColumn>
    <tableColumn id="5" xr3:uid="{00000000-0010-0000-0100-000005000000}" name="Company" dataDxfId="65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e26" displayName="Table26" ref="A6:O29" totalsRowShown="0" headerRowDxfId="64" dataDxfId="63">
  <autoFilter ref="A6:O29" xr:uid="{00000000-0009-0000-0100-000005000000}"/>
  <sortState xmlns:xlrd2="http://schemas.microsoft.com/office/spreadsheetml/2017/richdata2" ref="A7:O37">
    <sortCondition ref="O6:O37"/>
  </sortState>
  <tableColumns count="15">
    <tableColumn id="1" xr3:uid="{00000000-0010-0000-0200-000001000000}" name="Employee No." dataDxfId="62"/>
    <tableColumn id="2" xr3:uid="{00000000-0010-0000-0200-000002000000}" name="Employee Name" dataDxfId="61"/>
    <tableColumn id="3" xr3:uid="{00000000-0010-0000-0200-000003000000}" name="Department" dataDxfId="60"/>
    <tableColumn id="4" xr3:uid="{00000000-0010-0000-0200-000004000000}" name="Rate Type" dataDxfId="59"/>
    <tableColumn id="5" xr3:uid="{00000000-0010-0000-0200-000005000000}" name="Rate" dataDxfId="58" dataCellStyle="Currency"/>
    <tableColumn id="6" xr3:uid="{00000000-0010-0000-0200-000006000000}" name="Reg Hr" dataDxfId="57"/>
    <tableColumn id="7" xr3:uid="{00000000-0010-0000-0200-000007000000}" name="Wks W" dataDxfId="56">
      <calculatedColumnFormula>(Table26[[#This Row],[Reg Hr]]*Table26[[#This Row],[Rate]])+((Table26[[#This Row],[Ovt Hrs]]*1.5)*Table26[[#This Row],[Rate]])</calculatedColumnFormula>
    </tableColumn>
    <tableColumn id="8" xr3:uid="{00000000-0010-0000-0200-000008000000}" name="Ovt Hrs" dataDxfId="55"/>
    <tableColumn id="9" xr3:uid="{00000000-0010-0000-0200-000009000000}" name="Desc" dataDxfId="54"/>
    <tableColumn id="10" xr3:uid="{00000000-0010-0000-0200-00000A000000}" name="Hrs/Unt" dataDxfId="53"/>
    <tableColumn id="11" xr3:uid="{00000000-0010-0000-0200-00000B000000}" name="Rate2" dataDxfId="52"/>
    <tableColumn id="12" xr3:uid="{00000000-0010-0000-0200-00000C000000}" name="Desc3" dataDxfId="51"/>
    <tableColumn id="13" xr3:uid="{00000000-0010-0000-0200-00000D000000}" name="Hrs" dataDxfId="50"/>
    <tableColumn id="14" xr3:uid="{00000000-0010-0000-0200-00000E000000}" name="Rate4" dataDxfId="49"/>
    <tableColumn id="15" xr3:uid="{00000000-0010-0000-0200-00000F000000}" name="Rate5" dataDxfId="48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able43" displayName="Table43" ref="A1:K20" totalsRowShown="0" headerRowDxfId="39" dataDxfId="38">
  <autoFilter ref="A1:K20" xr:uid="{00000000-0009-0000-0100-000002000000}"/>
  <sortState xmlns:xlrd2="http://schemas.microsoft.com/office/spreadsheetml/2017/richdata2" ref="A2:J25">
    <sortCondition ref="J3:J28"/>
  </sortState>
  <tableColumns count="11">
    <tableColumn id="1" xr3:uid="{00000000-0010-0000-0300-000001000000}" name="NAME" dataDxfId="0"/>
    <tableColumn id="2" xr3:uid="{00000000-0010-0000-0300-000002000000}" name="MONDAY " dataDxfId="37">
      <calculatedColumnFormula>'REDI FRAME PAYROLL'!B4</calculatedColumnFormula>
    </tableColumn>
    <tableColumn id="3" xr3:uid="{00000000-0010-0000-0300-000003000000}" name="TUESDAY" dataDxfId="36">
      <calculatedColumnFormula>'REDI FRAME PAYROLL'!C4</calculatedColumnFormula>
    </tableColumn>
    <tableColumn id="4" xr3:uid="{00000000-0010-0000-0300-000004000000}" name="WEDSDAY" dataDxfId="35">
      <calculatedColumnFormula>'REDI FRAME PAYROLL'!D4</calculatedColumnFormula>
    </tableColumn>
    <tableColumn id="5" xr3:uid="{00000000-0010-0000-0300-000005000000}" name="THURSDAY" dataDxfId="34">
      <calculatedColumnFormula>'REDI FRAME PAYROLL'!E4</calculatedColumnFormula>
    </tableColumn>
    <tableColumn id="6" xr3:uid="{00000000-0010-0000-0300-000006000000}" name="FRIDAY" dataDxfId="33">
      <calculatedColumnFormula>'REDI FRAME PAYROLL'!F4</calculatedColumnFormula>
    </tableColumn>
    <tableColumn id="7" xr3:uid="{00000000-0010-0000-0300-000007000000}" name="SATURDAY" dataDxfId="32">
      <calculatedColumnFormula>'REDI FRAME PAYROLL'!G4</calculatedColumnFormula>
    </tableColumn>
    <tableColumn id="8" xr3:uid="{00000000-0010-0000-0300-000008000000}" name="SUNDAY" dataDxfId="31">
      <calculatedColumnFormula>'REDI FRAME PAYROLL'!H4</calculatedColumnFormula>
    </tableColumn>
    <tableColumn id="10" xr3:uid="{00000000-0010-0000-0300-00000A000000}" name="TOTAL HRS" dataDxfId="30">
      <calculatedColumnFormula>'REDI FRAME PAYROLL'!I4</calculatedColumnFormula>
    </tableColumn>
    <tableColumn id="9" xr3:uid="{00000000-0010-0000-0300-000009000000}" name="Order" dataDxfId="29"/>
    <tableColumn id="11" xr3:uid="{00000000-0010-0000-0300-00000B000000}" name="Column1" dataDxfId="28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able4" displayName="Table4" ref="A3:K22" totalsRowShown="0" headerRowDxfId="22" dataDxfId="21">
  <autoFilter ref="A3:K22" xr:uid="{00000000-0009-0000-0100-000004000000}"/>
  <sortState xmlns:xlrd2="http://schemas.microsoft.com/office/spreadsheetml/2017/richdata2" ref="A4:J27">
    <sortCondition ref="J3:J28"/>
  </sortState>
  <tableColumns count="11">
    <tableColumn id="1" xr3:uid="{00000000-0010-0000-0400-000001000000}" name="NAME" dataDxfId="1"/>
    <tableColumn id="2" xr3:uid="{00000000-0010-0000-0400-000002000000}" name="MONDAY " dataDxfId="20"/>
    <tableColumn id="3" xr3:uid="{00000000-0010-0000-0400-000003000000}" name="TUESDAY" dataDxfId="19"/>
    <tableColumn id="4" xr3:uid="{00000000-0010-0000-0400-000004000000}" name="WEDSDAY" dataDxfId="18"/>
    <tableColumn id="5" xr3:uid="{00000000-0010-0000-0400-000005000000}" name="THURSDAY" dataDxfId="17"/>
    <tableColumn id="6" xr3:uid="{00000000-0010-0000-0400-000006000000}" name="FRIDAY" dataDxfId="16"/>
    <tableColumn id="7" xr3:uid="{00000000-0010-0000-0400-000007000000}" name="SATURDAY" dataDxfId="15"/>
    <tableColumn id="8" xr3:uid="{00000000-0010-0000-0400-000008000000}" name="SUNDAY" dataDxfId="14"/>
    <tableColumn id="10" xr3:uid="{00000000-0010-0000-0400-00000A000000}" name="TOTAL HRS" dataDxfId="13">
      <calculatedColumnFormula>SUM(B4:H4)</calculatedColumnFormula>
    </tableColumn>
    <tableColumn id="9" xr3:uid="{00000000-0010-0000-0400-000009000000}" name="Order" dataDxfId="12"/>
    <tableColumn id="11" xr3:uid="{00000000-0010-0000-0400-00000B000000}" name="Column1" dataDxfId="1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27"/>
  <sheetViews>
    <sheetView topLeftCell="A145" zoomScaleNormal="100" workbookViewId="0">
      <selection activeCell="A57" sqref="A57:D57"/>
    </sheetView>
  </sheetViews>
  <sheetFormatPr defaultColWidth="9.140625" defaultRowHeight="26.25"/>
  <cols>
    <col min="1" max="1" width="11.7109375" style="27" bestFit="1" customWidth="1"/>
    <col min="2" max="2" width="38.28515625" style="27" bestFit="1" customWidth="1"/>
    <col min="3" max="5" width="11.7109375" style="27" bestFit="1" customWidth="1"/>
    <col min="6" max="6" width="22.42578125" style="21" bestFit="1" customWidth="1"/>
    <col min="7" max="7" width="41.28515625" style="21" bestFit="1" customWidth="1"/>
    <col min="8" max="10" width="10.5703125" style="21" bestFit="1" customWidth="1"/>
    <col min="11" max="16384" width="9.140625" style="21"/>
  </cols>
  <sheetData>
    <row r="1" spans="1:6" s="17" customFormat="1" ht="36.75" customHeight="1">
      <c r="A1" s="22" t="s">
        <v>880</v>
      </c>
      <c r="B1" s="22" t="s">
        <v>881</v>
      </c>
      <c r="C1" s="23" t="s">
        <v>882</v>
      </c>
      <c r="D1" s="23" t="s">
        <v>883</v>
      </c>
      <c r="E1" s="23" t="s">
        <v>884</v>
      </c>
      <c r="F1" s="16" t="s">
        <v>885</v>
      </c>
    </row>
    <row r="2" spans="1:6" s="17" customFormat="1" ht="36.75" customHeight="1">
      <c r="A2" s="22" t="s">
        <v>158</v>
      </c>
      <c r="B2" s="22" t="s">
        <v>159</v>
      </c>
      <c r="C2" s="23">
        <f>E2+0.35</f>
        <v>2.85</v>
      </c>
      <c r="D2" s="23">
        <v>3.3</v>
      </c>
      <c r="E2" s="23">
        <v>2.5</v>
      </c>
      <c r="F2" s="16" t="e">
        <f>"*"&amp;Table1[[#This Row],[Frame]]&amp;"*"</f>
        <v>#VALUE!</v>
      </c>
    </row>
    <row r="3" spans="1:6" s="17" customFormat="1" ht="36.75" customHeight="1">
      <c r="A3" s="22" t="s">
        <v>384</v>
      </c>
      <c r="B3" s="22" t="s">
        <v>385</v>
      </c>
      <c r="C3" s="23">
        <f>E3</f>
        <v>0.75</v>
      </c>
      <c r="D3" s="23">
        <v>0.5</v>
      </c>
      <c r="E3" s="23">
        <v>0.75</v>
      </c>
      <c r="F3" s="16" t="e">
        <f>"*"&amp;Table1[[#This Row],[Frame]]&amp;"*"</f>
        <v>#VALUE!</v>
      </c>
    </row>
    <row r="4" spans="1:6" s="17" customFormat="1" ht="36.75" customHeight="1">
      <c r="A4" s="22" t="s">
        <v>160</v>
      </c>
      <c r="B4" s="22" t="s">
        <v>161</v>
      </c>
      <c r="C4" s="23">
        <f>E4+0.35</f>
        <v>4.0999999999999996</v>
      </c>
      <c r="D4" s="23">
        <v>4.05</v>
      </c>
      <c r="E4" s="23">
        <v>3.75</v>
      </c>
      <c r="F4" s="16" t="str">
        <f>"*"&amp;Table1[[#This Row],[Frame]]&amp;"*"</f>
        <v>*5850*</v>
      </c>
    </row>
    <row r="5" spans="1:6" s="17" customFormat="1" ht="36.75" customHeight="1">
      <c r="A5" s="22" t="s">
        <v>162</v>
      </c>
      <c r="B5" s="22" t="s">
        <v>163</v>
      </c>
      <c r="C5" s="23">
        <f>E5+0.35</f>
        <v>3.35</v>
      </c>
      <c r="D5" s="23">
        <v>3.3</v>
      </c>
      <c r="E5" s="23">
        <v>3</v>
      </c>
      <c r="F5" s="16" t="str">
        <f>"*"&amp;Table1[[#This Row],[Frame]]&amp;"*"</f>
        <v>*5851*</v>
      </c>
    </row>
    <row r="6" spans="1:6" s="17" customFormat="1" ht="36.75" customHeight="1">
      <c r="A6" s="22" t="s">
        <v>164</v>
      </c>
      <c r="B6" s="22" t="s">
        <v>165</v>
      </c>
      <c r="C6" s="23">
        <f>E6+0.35</f>
        <v>3.6</v>
      </c>
      <c r="D6" s="23">
        <v>3.8</v>
      </c>
      <c r="E6" s="23">
        <v>3.25</v>
      </c>
      <c r="F6" s="16" t="str">
        <f>"*"&amp;Table1[[#This Row],[Frame]]&amp;"*"</f>
        <v>*6803D*</v>
      </c>
    </row>
    <row r="7" spans="1:6" s="17" customFormat="1" ht="36.75" customHeight="1">
      <c r="A7" s="22" t="s">
        <v>166</v>
      </c>
      <c r="B7" s="22" t="s">
        <v>167</v>
      </c>
      <c r="C7" s="23">
        <f>E7</f>
        <v>1</v>
      </c>
      <c r="D7" s="23">
        <v>1</v>
      </c>
      <c r="E7" s="23">
        <v>1</v>
      </c>
      <c r="F7" s="16" t="str">
        <f>"*"&amp;Table1[[#This Row],[Frame]]&amp;"*"</f>
        <v>*2259*</v>
      </c>
    </row>
    <row r="8" spans="1:6" s="17" customFormat="1" ht="36.75" customHeight="1">
      <c r="A8" s="22" t="s">
        <v>168</v>
      </c>
      <c r="B8" s="22" t="s">
        <v>169</v>
      </c>
      <c r="C8" s="23">
        <f>E8+0.35</f>
        <v>3.85</v>
      </c>
      <c r="D8" s="23">
        <v>4.05</v>
      </c>
      <c r="E8" s="23">
        <v>3.5</v>
      </c>
      <c r="F8" s="16" t="str">
        <f>"*"&amp;Table1[[#This Row],[Frame]]&amp;"*"</f>
        <v>*4649*</v>
      </c>
    </row>
    <row r="9" spans="1:6" s="18" customFormat="1" ht="36.75" customHeight="1">
      <c r="A9" s="22" t="s">
        <v>170</v>
      </c>
      <c r="B9" s="22" t="s">
        <v>171</v>
      </c>
      <c r="C9" s="23">
        <f>E9+0.35</f>
        <v>3.85</v>
      </c>
      <c r="D9" s="23">
        <v>2.5499999999999998</v>
      </c>
      <c r="E9" s="23">
        <v>3.5</v>
      </c>
      <c r="F9" s="16" t="str">
        <f>"*"&amp;Table1[[#This Row],[Frame]]&amp;"*"</f>
        <v>*4732*</v>
      </c>
    </row>
    <row r="10" spans="1:6" s="18" customFormat="1" ht="36.75" customHeight="1">
      <c r="A10" s="22" t="s">
        <v>642</v>
      </c>
      <c r="B10" s="22" t="s">
        <v>644</v>
      </c>
      <c r="C10" s="22">
        <v>1.5</v>
      </c>
      <c r="D10" s="22">
        <v>1.5</v>
      </c>
      <c r="E10" s="22"/>
      <c r="F10" s="16" t="str">
        <f>"*"&amp;Table1[[#This Row],[Frame]]&amp;"*"</f>
        <v>*4733*</v>
      </c>
    </row>
    <row r="11" spans="1:6" s="18" customFormat="1" ht="36.75" customHeight="1">
      <c r="A11" s="22" t="s">
        <v>641</v>
      </c>
      <c r="B11" s="22" t="s">
        <v>643</v>
      </c>
      <c r="C11" s="22">
        <v>2</v>
      </c>
      <c r="D11" s="22">
        <v>1.75</v>
      </c>
      <c r="E11" s="22"/>
      <c r="F11" s="16" t="str">
        <f>"*"&amp;Table1[[#This Row],[Frame]]&amp;"*"</f>
        <v>*4734*</v>
      </c>
    </row>
    <row r="12" spans="1:6" s="18" customFormat="1" ht="36.75" customHeight="1">
      <c r="A12" s="22" t="s">
        <v>172</v>
      </c>
      <c r="B12" s="22" t="s">
        <v>173</v>
      </c>
      <c r="C12" s="23">
        <f t="shared" ref="C12:C41" si="0">E12+0.35</f>
        <v>2.85</v>
      </c>
      <c r="D12" s="23">
        <v>2.0499999999999998</v>
      </c>
      <c r="E12" s="23">
        <v>2.5</v>
      </c>
      <c r="F12" s="16" t="str">
        <f>"*"&amp;Table1[[#This Row],[Frame]]&amp;"*"</f>
        <v>*7208*</v>
      </c>
    </row>
    <row r="13" spans="1:6" s="18" customFormat="1" ht="36.75" customHeight="1">
      <c r="A13" s="22" t="s">
        <v>174</v>
      </c>
      <c r="B13" s="22" t="s">
        <v>175</v>
      </c>
      <c r="C13" s="23">
        <f t="shared" si="0"/>
        <v>2.85</v>
      </c>
      <c r="D13" s="23">
        <v>2.0499999999999998</v>
      </c>
      <c r="E13" s="23">
        <v>2.5</v>
      </c>
      <c r="F13" s="16" t="str">
        <f>"*"&amp;Table1[[#This Row],[Frame]]&amp;"*"</f>
        <v>*14649*</v>
      </c>
    </row>
    <row r="14" spans="1:6" s="18" customFormat="1" ht="36.75" customHeight="1">
      <c r="A14" s="22" t="s">
        <v>176</v>
      </c>
      <c r="B14" s="22" t="s">
        <v>177</v>
      </c>
      <c r="C14" s="23">
        <f t="shared" si="0"/>
        <v>3.85</v>
      </c>
      <c r="D14" s="23">
        <v>2.5499999999999998</v>
      </c>
      <c r="E14" s="23">
        <v>3.5</v>
      </c>
      <c r="F14" s="16" t="str">
        <f>"*"&amp;Table1[[#This Row],[Frame]]&amp;"*"</f>
        <v>*14988*</v>
      </c>
    </row>
    <row r="15" spans="1:6" s="18" customFormat="1" ht="36.75" customHeight="1">
      <c r="A15" s="22" t="s">
        <v>178</v>
      </c>
      <c r="B15" s="22" t="s">
        <v>179</v>
      </c>
      <c r="C15" s="23">
        <f t="shared" si="0"/>
        <v>3.35</v>
      </c>
      <c r="D15" s="23">
        <v>2.25</v>
      </c>
      <c r="E15" s="23">
        <v>3</v>
      </c>
      <c r="F15" s="16" t="str">
        <f>"*"&amp;Table1[[#This Row],[Frame]]&amp;"*"</f>
        <v>*15063*</v>
      </c>
    </row>
    <row r="16" spans="1:6" s="18" customFormat="1" ht="36.75" customHeight="1">
      <c r="A16" s="22" t="s">
        <v>418</v>
      </c>
      <c r="B16" s="22" t="s">
        <v>419</v>
      </c>
      <c r="C16" s="23">
        <f t="shared" si="0"/>
        <v>1.85</v>
      </c>
      <c r="D16" s="24">
        <v>1.55</v>
      </c>
      <c r="E16" s="24">
        <v>1.5</v>
      </c>
      <c r="F16" s="16" t="str">
        <f>"*"&amp;Table1[[#This Row],[Frame]]&amp;"*"</f>
        <v>*15226*</v>
      </c>
    </row>
    <row r="17" spans="1:6" s="18" customFormat="1" ht="36.75" customHeight="1">
      <c r="A17" s="22" t="s">
        <v>420</v>
      </c>
      <c r="B17" s="22" t="s">
        <v>421</v>
      </c>
      <c r="C17" s="23">
        <f t="shared" si="0"/>
        <v>2.85</v>
      </c>
      <c r="D17" s="24">
        <v>1.8</v>
      </c>
      <c r="E17" s="24">
        <v>2.5</v>
      </c>
      <c r="F17" s="16" t="str">
        <f>"*"&amp;Table1[[#This Row],[Frame]]&amp;"*"</f>
        <v>*17208*</v>
      </c>
    </row>
    <row r="18" spans="1:6" s="18" customFormat="1" ht="36.75" customHeight="1">
      <c r="A18" s="22" t="s">
        <v>483</v>
      </c>
      <c r="B18" s="22" t="s">
        <v>484</v>
      </c>
      <c r="C18" s="23">
        <f t="shared" si="0"/>
        <v>2.85</v>
      </c>
      <c r="D18" s="24">
        <v>2</v>
      </c>
      <c r="E18" s="24">
        <v>2.5</v>
      </c>
      <c r="F18" s="16" t="str">
        <f>"*"&amp;Table1[[#This Row],[Frame]]&amp;"*"</f>
        <v>*2099*</v>
      </c>
    </row>
    <row r="19" spans="1:6" s="17" customFormat="1" ht="36.75" customHeight="1">
      <c r="A19" s="22" t="s">
        <v>422</v>
      </c>
      <c r="B19" s="22" t="s">
        <v>423</v>
      </c>
      <c r="C19" s="23">
        <f t="shared" si="0"/>
        <v>2.85</v>
      </c>
      <c r="D19" s="24">
        <v>1.75</v>
      </c>
      <c r="E19" s="24">
        <v>2.5</v>
      </c>
      <c r="F19" s="16" t="str">
        <f>"*"&amp;Table1[[#This Row],[Frame]]&amp;"*"</f>
        <v>*14266*</v>
      </c>
    </row>
    <row r="20" spans="1:6" s="17" customFormat="1" ht="36.75" customHeight="1">
      <c r="A20" s="22" t="s">
        <v>410</v>
      </c>
      <c r="B20" s="22" t="s">
        <v>411</v>
      </c>
      <c r="C20" s="23">
        <f t="shared" si="0"/>
        <v>2.85</v>
      </c>
      <c r="D20" s="24">
        <v>2.0499999999999998</v>
      </c>
      <c r="E20" s="24">
        <v>2.5</v>
      </c>
      <c r="F20" s="16" t="str">
        <f>"*"&amp;Table1[[#This Row],[Frame]]&amp;"*"</f>
        <v>*58396*</v>
      </c>
    </row>
    <row r="21" spans="1:6" s="17" customFormat="1" ht="36.75" customHeight="1">
      <c r="A21" s="22" t="s">
        <v>412</v>
      </c>
      <c r="B21" s="22" t="s">
        <v>413</v>
      </c>
      <c r="C21" s="23">
        <f t="shared" si="0"/>
        <v>3.6</v>
      </c>
      <c r="D21" s="24">
        <v>2.5499999999999998</v>
      </c>
      <c r="E21" s="24">
        <v>3.25</v>
      </c>
      <c r="F21" s="16" t="str">
        <f>"*"&amp;Table1[[#This Row],[Frame]]&amp;"*"</f>
        <v>*71906*</v>
      </c>
    </row>
    <row r="22" spans="1:6" s="17" customFormat="1" ht="36.75" customHeight="1">
      <c r="A22" s="22" t="s">
        <v>424</v>
      </c>
      <c r="B22" s="22" t="s">
        <v>425</v>
      </c>
      <c r="C22" s="23">
        <f t="shared" si="0"/>
        <v>2.35</v>
      </c>
      <c r="D22" s="24">
        <v>1.55</v>
      </c>
      <c r="E22" s="24">
        <v>2</v>
      </c>
      <c r="F22" s="16" t="str">
        <f>"*"&amp;Table1[[#This Row],[Frame]]&amp;"*"</f>
        <v>*1460-6*</v>
      </c>
    </row>
    <row r="23" spans="1:6" s="17" customFormat="1" ht="36.75" customHeight="1">
      <c r="A23" s="22" t="s">
        <v>487</v>
      </c>
      <c r="B23" s="22" t="s">
        <v>488</v>
      </c>
      <c r="C23" s="23">
        <f t="shared" si="0"/>
        <v>2.85</v>
      </c>
      <c r="D23" s="24">
        <v>2.5499999999999998</v>
      </c>
      <c r="E23" s="24">
        <v>2.5</v>
      </c>
      <c r="F23" s="16" t="str">
        <f>"*"&amp;Table1[[#This Row],[Frame]]&amp;"*"</f>
        <v>*2400-6*</v>
      </c>
    </row>
    <row r="24" spans="1:6" s="17" customFormat="1" ht="36.75" customHeight="1">
      <c r="A24" s="22" t="s">
        <v>426</v>
      </c>
      <c r="B24" s="22" t="s">
        <v>427</v>
      </c>
      <c r="C24" s="23">
        <f t="shared" si="0"/>
        <v>2.85</v>
      </c>
      <c r="D24" s="24">
        <v>1.05</v>
      </c>
      <c r="E24" s="24">
        <v>2.5</v>
      </c>
      <c r="F24" s="16" t="str">
        <f>"*"&amp;Table1[[#This Row],[Frame]]&amp;"*"</f>
        <v>*2884B43B*</v>
      </c>
    </row>
    <row r="25" spans="1:6" s="17" customFormat="1" ht="36.75" customHeight="1">
      <c r="A25" s="22" t="s">
        <v>414</v>
      </c>
      <c r="B25" s="22" t="s">
        <v>415</v>
      </c>
      <c r="C25" s="23">
        <f t="shared" si="0"/>
        <v>3.1</v>
      </c>
      <c r="D25" s="24">
        <v>2.2999999999999998</v>
      </c>
      <c r="E25" s="24">
        <v>2.75</v>
      </c>
      <c r="F25" s="16" t="str">
        <f>"*"&amp;Table1[[#This Row],[Frame]]&amp;"*"</f>
        <v>*2884B5148B*</v>
      </c>
    </row>
    <row r="26" spans="1:6" s="17" customFormat="1" ht="36.75" customHeight="1">
      <c r="A26" s="22" t="s">
        <v>428</v>
      </c>
      <c r="B26" s="22" t="s">
        <v>429</v>
      </c>
      <c r="C26" s="23">
        <f t="shared" si="0"/>
        <v>2.35</v>
      </c>
      <c r="D26" s="24">
        <v>1.55</v>
      </c>
      <c r="E26" s="24">
        <v>2</v>
      </c>
      <c r="F26" s="16" t="str">
        <f>"*"&amp;Table1[[#This Row],[Frame]]&amp;"*"</f>
        <v>*2884B5260ALA*</v>
      </c>
    </row>
    <row r="27" spans="1:6" s="17" customFormat="1" ht="36.75" customHeight="1">
      <c r="A27" s="22" t="s">
        <v>430</v>
      </c>
      <c r="B27" s="22" t="s">
        <v>431</v>
      </c>
      <c r="C27" s="23">
        <f t="shared" si="0"/>
        <v>2.85</v>
      </c>
      <c r="D27" s="24">
        <v>2.5499999999999998</v>
      </c>
      <c r="E27" s="24">
        <v>2.5</v>
      </c>
      <c r="F27" s="16" t="str">
        <f>"*"&amp;Table1[[#This Row],[Frame]]&amp;"*"</f>
        <v>*2884B5260ALA*</v>
      </c>
    </row>
    <row r="28" spans="1:6" s="17" customFormat="1" ht="36.75" customHeight="1">
      <c r="A28" s="22" t="s">
        <v>432</v>
      </c>
      <c r="B28" s="22" t="s">
        <v>433</v>
      </c>
      <c r="C28" s="23">
        <f t="shared" si="0"/>
        <v>2.85</v>
      </c>
      <c r="D28" s="24">
        <v>2.0499999999999998</v>
      </c>
      <c r="E28" s="24">
        <v>2.5</v>
      </c>
      <c r="F28" s="16" t="str">
        <f>"*"&amp;Table1[[#This Row],[Frame]]&amp;"*"</f>
        <v>*2884B5260ARA*</v>
      </c>
    </row>
    <row r="29" spans="1:6" s="17" customFormat="1" ht="36.75" customHeight="1">
      <c r="A29" s="22" t="s">
        <v>434</v>
      </c>
      <c r="B29" s="22" t="s">
        <v>435</v>
      </c>
      <c r="C29" s="23">
        <f t="shared" si="0"/>
        <v>2.85</v>
      </c>
      <c r="D29" s="24">
        <v>1.55</v>
      </c>
      <c r="E29" s="24">
        <v>2.5</v>
      </c>
      <c r="F29" s="16" t="str">
        <f>"*"&amp;Table1[[#This Row],[Frame]]&amp;"*"</f>
        <v>*2884B526ALA*</v>
      </c>
    </row>
    <row r="30" spans="1:6" s="17" customFormat="1" ht="36.75" customHeight="1">
      <c r="A30" s="22" t="s">
        <v>416</v>
      </c>
      <c r="B30" s="22" t="s">
        <v>417</v>
      </c>
      <c r="C30" s="23">
        <f t="shared" si="0"/>
        <v>3.35</v>
      </c>
      <c r="D30" s="24">
        <v>2.5499999999999998</v>
      </c>
      <c r="E30" s="24">
        <v>3</v>
      </c>
      <c r="F30" s="16" t="str">
        <f>"*"&amp;Table1[[#This Row],[Frame]]&amp;"*"</f>
        <v>*2884B526ARA*</v>
      </c>
    </row>
    <row r="31" spans="1:6" s="17" customFormat="1" ht="36.75" customHeight="1">
      <c r="A31" s="22" t="s">
        <v>388</v>
      </c>
      <c r="B31" s="22" t="s">
        <v>389</v>
      </c>
      <c r="C31" s="23">
        <f t="shared" si="0"/>
        <v>2.35</v>
      </c>
      <c r="D31" s="23">
        <v>2.2999999999999998</v>
      </c>
      <c r="E31" s="23">
        <v>2</v>
      </c>
      <c r="F31" s="16" t="str">
        <f>"*"&amp;Table1[[#This Row],[Frame]]&amp;"*"</f>
        <v>*2884B52ALB*</v>
      </c>
    </row>
    <row r="32" spans="1:6" s="17" customFormat="1" ht="36.75" customHeight="1">
      <c r="A32" s="22" t="s">
        <v>390</v>
      </c>
      <c r="B32" s="22" t="s">
        <v>391</v>
      </c>
      <c r="C32" s="23">
        <f t="shared" si="0"/>
        <v>2.35</v>
      </c>
      <c r="D32" s="23">
        <v>2.2999999999999998</v>
      </c>
      <c r="E32" s="23">
        <v>2</v>
      </c>
      <c r="F32" s="16" t="str">
        <f>"*"&amp;Table1[[#This Row],[Frame]]&amp;"*"</f>
        <v>*2884B52ARB*</v>
      </c>
    </row>
    <row r="33" spans="1:6" s="17" customFormat="1" ht="36.75" customHeight="1">
      <c r="A33" s="22" t="s">
        <v>180</v>
      </c>
      <c r="B33" s="22" t="s">
        <v>181</v>
      </c>
      <c r="C33" s="23">
        <f t="shared" si="0"/>
        <v>2.85</v>
      </c>
      <c r="D33" s="23">
        <v>2.2999999999999998</v>
      </c>
      <c r="E33" s="23">
        <v>2.5</v>
      </c>
      <c r="F33" s="16" t="str">
        <f>"*"&amp;Table1[[#This Row],[Frame]]&amp;"*"</f>
        <v>*3180-06*</v>
      </c>
    </row>
    <row r="34" spans="1:6" s="17" customFormat="1" ht="36.75" customHeight="1">
      <c r="A34" s="22" t="s">
        <v>182</v>
      </c>
      <c r="B34" s="22" t="s">
        <v>183</v>
      </c>
      <c r="C34" s="23">
        <f t="shared" si="0"/>
        <v>2.85</v>
      </c>
      <c r="D34" s="23">
        <v>2.5499999999999998</v>
      </c>
      <c r="E34" s="23">
        <v>2.5</v>
      </c>
      <c r="F34" s="16" t="str">
        <f>"*"&amp;Table1[[#This Row],[Frame]]&amp;"*"</f>
        <v>*604D*</v>
      </c>
    </row>
    <row r="35" spans="1:6" s="17" customFormat="1" ht="36.75" customHeight="1">
      <c r="A35" s="22" t="s">
        <v>184</v>
      </c>
      <c r="B35" s="22" t="s">
        <v>185</v>
      </c>
      <c r="C35" s="23">
        <f t="shared" si="0"/>
        <v>3.35</v>
      </c>
      <c r="D35" s="23">
        <v>2.5499999999999998</v>
      </c>
      <c r="E35" s="23">
        <v>3</v>
      </c>
      <c r="F35" s="16" t="str">
        <f>"*"&amp;Table1[[#This Row],[Frame]]&amp;"*"</f>
        <v>*604E*</v>
      </c>
    </row>
    <row r="36" spans="1:6" s="17" customFormat="1" ht="36.75" customHeight="1">
      <c r="A36" s="22" t="s">
        <v>186</v>
      </c>
      <c r="B36" s="22" t="s">
        <v>187</v>
      </c>
      <c r="C36" s="23">
        <f t="shared" si="0"/>
        <v>3.35</v>
      </c>
      <c r="D36" s="23">
        <v>2.8</v>
      </c>
      <c r="E36" s="23">
        <v>3</v>
      </c>
      <c r="F36" s="16" t="str">
        <f>"*"&amp;Table1[[#This Row],[Frame]]&amp;"*"</f>
        <v>*8978-3*</v>
      </c>
    </row>
    <row r="37" spans="1:6" s="17" customFormat="1" ht="36.75" customHeight="1">
      <c r="A37" s="22" t="s">
        <v>188</v>
      </c>
      <c r="B37" s="22" t="s">
        <v>189</v>
      </c>
      <c r="C37" s="23">
        <f t="shared" si="0"/>
        <v>4.8499999999999996</v>
      </c>
      <c r="D37" s="23">
        <v>4.05</v>
      </c>
      <c r="E37" s="23">
        <v>4.5</v>
      </c>
      <c r="F37" s="16" t="str">
        <f>"*"&amp;Table1[[#This Row],[Frame]]&amp;"*"</f>
        <v>*D3018-04*</v>
      </c>
    </row>
    <row r="38" spans="1:6" s="17" customFormat="1" ht="36.75" customHeight="1">
      <c r="A38" s="22" t="s">
        <v>190</v>
      </c>
      <c r="B38" s="22" t="s">
        <v>191</v>
      </c>
      <c r="C38" s="23">
        <f t="shared" si="0"/>
        <v>3.35</v>
      </c>
      <c r="D38" s="23">
        <v>2.5499999999999998</v>
      </c>
      <c r="E38" s="23">
        <v>3</v>
      </c>
      <c r="F38" s="16" t="str">
        <f>"*"&amp;Table1[[#This Row],[Frame]]&amp;"*"</f>
        <v>*DOTTIE*</v>
      </c>
    </row>
    <row r="39" spans="1:6" s="17" customFormat="1" ht="36.75" customHeight="1">
      <c r="A39" s="22" t="s">
        <v>192</v>
      </c>
      <c r="B39" s="22" t="s">
        <v>193</v>
      </c>
      <c r="C39" s="23">
        <f t="shared" si="0"/>
        <v>4.8499999999999996</v>
      </c>
      <c r="D39" s="23">
        <v>4.05</v>
      </c>
      <c r="E39" s="23">
        <v>4.5</v>
      </c>
      <c r="F39" s="16" t="str">
        <f>"*"&amp;Table1[[#This Row],[Frame]]&amp;"*"</f>
        <v>*F002-04*</v>
      </c>
    </row>
    <row r="40" spans="1:6" s="17" customFormat="1" ht="36.75" customHeight="1">
      <c r="A40" s="22" t="s">
        <v>194</v>
      </c>
      <c r="B40" s="22" t="s">
        <v>195</v>
      </c>
      <c r="C40" s="23">
        <f t="shared" si="0"/>
        <v>3.85</v>
      </c>
      <c r="D40" s="23">
        <v>3.052</v>
      </c>
      <c r="E40" s="23">
        <v>3.5</v>
      </c>
      <c r="F40" s="16" t="str">
        <f>"*"&amp;Table1[[#This Row],[Frame]]&amp;"*"</f>
        <v>*F003-09*</v>
      </c>
    </row>
    <row r="41" spans="1:6" s="17" customFormat="1" ht="36.75" customHeight="1">
      <c r="A41" s="22" t="s">
        <v>196</v>
      </c>
      <c r="B41" s="22" t="s">
        <v>471</v>
      </c>
      <c r="C41" s="23">
        <f t="shared" si="0"/>
        <v>2.6</v>
      </c>
      <c r="D41" s="23">
        <v>2</v>
      </c>
      <c r="E41" s="23">
        <v>2.25</v>
      </c>
      <c r="F41" s="16" t="str">
        <f>"*"&amp;Table1[[#This Row],[Frame]]&amp;"*"</f>
        <v>*F010-04*</v>
      </c>
    </row>
    <row r="42" spans="1:6" s="17" customFormat="1" ht="36.75" customHeight="1">
      <c r="A42" s="22" t="s">
        <v>659</v>
      </c>
      <c r="B42" s="22" t="s">
        <v>664</v>
      </c>
      <c r="C42" s="22">
        <v>2.75</v>
      </c>
      <c r="D42" s="22">
        <v>2</v>
      </c>
      <c r="E42" s="22"/>
      <c r="F42" s="16" t="str">
        <f>"*"&amp;Table1[[#This Row],[Frame]]&amp;"*"</f>
        <v>*F011-09*</v>
      </c>
    </row>
    <row r="43" spans="1:6" s="17" customFormat="1" ht="36.75" customHeight="1">
      <c r="A43" s="22" t="s">
        <v>197</v>
      </c>
      <c r="B43" s="22" t="s">
        <v>472</v>
      </c>
      <c r="C43" s="23">
        <f t="shared" ref="C43:C51" si="1">E43+0.35</f>
        <v>1.85</v>
      </c>
      <c r="D43" s="23">
        <v>1.55</v>
      </c>
      <c r="E43" s="23">
        <v>1.5</v>
      </c>
      <c r="F43" s="16" t="str">
        <f>"*"&amp;Table1[[#This Row],[Frame]]&amp;"*"</f>
        <v>*F012-09*</v>
      </c>
    </row>
    <row r="44" spans="1:6" s="17" customFormat="1" ht="36.75" customHeight="1">
      <c r="A44" s="22" t="s">
        <v>198</v>
      </c>
      <c r="B44" s="22" t="s">
        <v>473</v>
      </c>
      <c r="C44" s="23">
        <f t="shared" si="1"/>
        <v>2.1</v>
      </c>
      <c r="D44" s="23">
        <v>1.55</v>
      </c>
      <c r="E44" s="23">
        <v>1.75</v>
      </c>
      <c r="F44" s="16" t="str">
        <f>"*"&amp;Table1[[#This Row],[Frame]]&amp;"*"</f>
        <v>*F014-04*</v>
      </c>
    </row>
    <row r="45" spans="1:6" s="17" customFormat="1" ht="36.75" customHeight="1">
      <c r="A45" s="22" t="s">
        <v>198</v>
      </c>
      <c r="B45" s="22" t="s">
        <v>473</v>
      </c>
      <c r="C45" s="23">
        <f t="shared" si="1"/>
        <v>2.35</v>
      </c>
      <c r="D45" s="23">
        <v>2.0499999999999998</v>
      </c>
      <c r="E45" s="23">
        <v>2</v>
      </c>
      <c r="F45" s="16" t="str">
        <f>"*"&amp;Table1[[#This Row],[Frame]]&amp;"*"</f>
        <v>*F015-09*</v>
      </c>
    </row>
    <row r="46" spans="1:6" s="17" customFormat="1" ht="36.75" customHeight="1">
      <c r="A46" s="22" t="s">
        <v>199</v>
      </c>
      <c r="B46" s="22" t="s">
        <v>474</v>
      </c>
      <c r="C46" s="23">
        <f t="shared" si="1"/>
        <v>3.1</v>
      </c>
      <c r="D46" s="23">
        <v>2.8</v>
      </c>
      <c r="E46" s="23">
        <v>2.75</v>
      </c>
      <c r="F46" s="16" t="str">
        <f>"*"&amp;Table1[[#This Row],[Frame]]&amp;"*"</f>
        <v>*F022-09*</v>
      </c>
    </row>
    <row r="47" spans="1:6" s="17" customFormat="1" ht="36.75" customHeight="1">
      <c r="A47" s="22" t="s">
        <v>200</v>
      </c>
      <c r="B47" s="22" t="s">
        <v>475</v>
      </c>
      <c r="C47" s="23">
        <f t="shared" si="1"/>
        <v>2.35</v>
      </c>
      <c r="D47" s="23">
        <v>2.0499999999999998</v>
      </c>
      <c r="E47" s="23">
        <v>2</v>
      </c>
      <c r="F47" s="16" t="str">
        <f>"*"&amp;Table1[[#This Row],[Frame]]&amp;"*"</f>
        <v>*F032-04*</v>
      </c>
    </row>
    <row r="48" spans="1:6" s="17" customFormat="1" ht="36.75" customHeight="1">
      <c r="A48" s="22" t="s">
        <v>201</v>
      </c>
      <c r="B48" s="22" t="s">
        <v>476</v>
      </c>
      <c r="C48" s="23">
        <f t="shared" si="1"/>
        <v>2.85</v>
      </c>
      <c r="D48" s="23">
        <v>2.5499999999999998</v>
      </c>
      <c r="E48" s="23">
        <v>2.5</v>
      </c>
      <c r="F48" s="16" t="str">
        <f>"*"&amp;Table1[[#This Row],[Frame]]&amp;"*"</f>
        <v>*F033-04*</v>
      </c>
    </row>
    <row r="49" spans="1:6" s="17" customFormat="1" ht="36.75" customHeight="1">
      <c r="A49" s="22" t="s">
        <v>202</v>
      </c>
      <c r="B49" s="22" t="s">
        <v>477</v>
      </c>
      <c r="C49" s="23">
        <f t="shared" si="1"/>
        <v>2.85</v>
      </c>
      <c r="D49" s="23">
        <v>2.5499999999999998</v>
      </c>
      <c r="E49" s="23">
        <v>2.5</v>
      </c>
      <c r="F49" s="16" t="str">
        <f>"*"&amp;Table1[[#This Row],[Frame]]&amp;"*"</f>
        <v>*F035-04*</v>
      </c>
    </row>
    <row r="50" spans="1:6" s="17" customFormat="1" ht="36.75" customHeight="1">
      <c r="A50" s="22" t="s">
        <v>203</v>
      </c>
      <c r="B50" s="22" t="s">
        <v>478</v>
      </c>
      <c r="C50" s="23">
        <f t="shared" si="1"/>
        <v>3.6</v>
      </c>
      <c r="D50" s="23">
        <v>3.05</v>
      </c>
      <c r="E50" s="23">
        <v>3.25</v>
      </c>
      <c r="F50" s="16" t="str">
        <f>"*"&amp;Table1[[#This Row],[Frame]]&amp;"*"</f>
        <v>*F041-04*</v>
      </c>
    </row>
    <row r="51" spans="1:6" s="17" customFormat="1" ht="36.75" customHeight="1">
      <c r="A51" s="22" t="s">
        <v>204</v>
      </c>
      <c r="B51" s="22" t="s">
        <v>479</v>
      </c>
      <c r="C51" s="23">
        <f t="shared" si="1"/>
        <v>3.85</v>
      </c>
      <c r="D51" s="23">
        <v>3.8</v>
      </c>
      <c r="E51" s="23">
        <v>3.5</v>
      </c>
      <c r="F51" s="16" t="str">
        <f>"*"&amp;Table1[[#This Row],[Frame]]&amp;"*"</f>
        <v>*F044-04*</v>
      </c>
    </row>
    <row r="52" spans="1:6" s="17" customFormat="1" ht="36.75" customHeight="1">
      <c r="A52" s="22" t="s">
        <v>205</v>
      </c>
      <c r="B52" s="22" t="s">
        <v>480</v>
      </c>
      <c r="C52" s="23">
        <f>E52</f>
        <v>1</v>
      </c>
      <c r="D52" s="23">
        <v>1</v>
      </c>
      <c r="E52" s="23">
        <v>1</v>
      </c>
      <c r="F52" s="16" t="str">
        <f>"*"&amp;Table1[[#This Row],[Frame]]&amp;"*"</f>
        <v>*F115A*</v>
      </c>
    </row>
    <row r="53" spans="1:6" s="17" customFormat="1" ht="36.75" customHeight="1">
      <c r="A53" s="22" t="s">
        <v>206</v>
      </c>
      <c r="B53" s="22" t="s">
        <v>207</v>
      </c>
      <c r="C53" s="23">
        <f t="shared" ref="C53:C59" si="2">E53+0.35</f>
        <v>3.1</v>
      </c>
      <c r="D53" s="23">
        <v>2.8</v>
      </c>
      <c r="E53" s="23">
        <v>2.75</v>
      </c>
      <c r="F53" s="16" t="str">
        <f>"*"&amp;Table1[[#This Row],[Frame]]&amp;"*"</f>
        <v>*F115D*</v>
      </c>
    </row>
    <row r="54" spans="1:6" s="17" customFormat="1" ht="36.75" customHeight="1">
      <c r="A54" s="22" t="s">
        <v>208</v>
      </c>
      <c r="B54" s="22" t="s">
        <v>209</v>
      </c>
      <c r="C54" s="23">
        <f t="shared" si="2"/>
        <v>2.85</v>
      </c>
      <c r="D54" s="23">
        <v>2.5499999999999998</v>
      </c>
      <c r="E54" s="23">
        <v>2.5</v>
      </c>
      <c r="F54" s="16" t="str">
        <f>"*"&amp;Table1[[#This Row],[Frame]]&amp;"*"</f>
        <v>*F115J*</v>
      </c>
    </row>
    <row r="55" spans="1:6" s="17" customFormat="1" ht="36.75" customHeight="1">
      <c r="A55" s="22" t="s">
        <v>210</v>
      </c>
      <c r="B55" s="22" t="s">
        <v>211</v>
      </c>
      <c r="C55" s="23">
        <f t="shared" si="2"/>
        <v>2.85</v>
      </c>
      <c r="D55" s="23">
        <v>2.5499999999999998</v>
      </c>
      <c r="E55" s="23">
        <v>2.5</v>
      </c>
      <c r="F55" s="16" t="str">
        <f>"*"&amp;Table1[[#This Row],[Frame]]&amp;"*"</f>
        <v>*F115S*</v>
      </c>
    </row>
    <row r="56" spans="1:6" s="17" customFormat="1" ht="36.75" customHeight="1">
      <c r="A56" s="22" t="s">
        <v>212</v>
      </c>
      <c r="B56" s="22" t="s">
        <v>213</v>
      </c>
      <c r="C56" s="23">
        <f t="shared" si="2"/>
        <v>3.35</v>
      </c>
      <c r="D56" s="23">
        <v>3.8</v>
      </c>
      <c r="E56" s="23">
        <v>3</v>
      </c>
      <c r="F56" s="16" t="str">
        <f>"*"&amp;Table1[[#This Row],[Frame]]&amp;"*"</f>
        <v>*F3004-09*</v>
      </c>
    </row>
    <row r="57" spans="1:6" s="17" customFormat="1" ht="36.75" customHeight="1">
      <c r="A57" s="22" t="s">
        <v>214</v>
      </c>
      <c r="B57" s="22" t="s">
        <v>215</v>
      </c>
      <c r="C57" s="23">
        <f t="shared" si="2"/>
        <v>2.85</v>
      </c>
      <c r="D57" s="23">
        <v>2.0499999999999998</v>
      </c>
      <c r="E57" s="23">
        <v>2.5</v>
      </c>
      <c r="F57" s="16" t="str">
        <f>"*"&amp;Table1[[#This Row],[Frame]]&amp;"*"</f>
        <v>*F3011-09*</v>
      </c>
    </row>
    <row r="58" spans="1:6" s="17" customFormat="1" ht="36.75" customHeight="1">
      <c r="A58" s="22" t="s">
        <v>216</v>
      </c>
      <c r="B58" s="22" t="s">
        <v>217</v>
      </c>
      <c r="C58" s="23">
        <f t="shared" si="2"/>
        <v>2.85</v>
      </c>
      <c r="D58" s="23">
        <v>2.2999999999999998</v>
      </c>
      <c r="E58" s="23">
        <v>2.5</v>
      </c>
      <c r="F58" s="16" t="str">
        <f>"*"&amp;Table1[[#This Row],[Frame]]&amp;"*"</f>
        <v>*F3012-09*</v>
      </c>
    </row>
    <row r="59" spans="1:6" s="17" customFormat="1" ht="36.75" customHeight="1">
      <c r="A59" s="22" t="s">
        <v>218</v>
      </c>
      <c r="B59" s="22" t="s">
        <v>219</v>
      </c>
      <c r="C59" s="23">
        <f t="shared" si="2"/>
        <v>4.0999999999999996</v>
      </c>
      <c r="D59" s="23">
        <v>4.05</v>
      </c>
      <c r="E59" s="23">
        <v>3.75</v>
      </c>
      <c r="F59" s="16" t="str">
        <f>"*"&amp;Table1[[#This Row],[Frame]]&amp;"*"</f>
        <v>*F3018-04*</v>
      </c>
    </row>
    <row r="60" spans="1:6" s="17" customFormat="1" ht="36.75" customHeight="1">
      <c r="A60" s="22" t="s">
        <v>220</v>
      </c>
      <c r="B60" s="22" t="s">
        <v>221</v>
      </c>
      <c r="C60" s="23">
        <f t="shared" ref="C60:C71" si="3">E60</f>
        <v>1.75</v>
      </c>
      <c r="D60" s="23">
        <v>1.3</v>
      </c>
      <c r="E60" s="23">
        <v>1.75</v>
      </c>
      <c r="F60" s="16" t="str">
        <f>"*"&amp;Table1[[#This Row],[Frame]]&amp;"*"</f>
        <v>*F512-01*</v>
      </c>
    </row>
    <row r="61" spans="1:6" s="17" customFormat="1" ht="36.75" customHeight="1">
      <c r="A61" s="22" t="s">
        <v>222</v>
      </c>
      <c r="B61" s="22" t="s">
        <v>223</v>
      </c>
      <c r="C61" s="23">
        <f t="shared" si="3"/>
        <v>2</v>
      </c>
      <c r="D61" s="23">
        <v>1.4</v>
      </c>
      <c r="E61" s="23">
        <v>2</v>
      </c>
      <c r="F61" s="16" t="str">
        <f>"*"&amp;Table1[[#This Row],[Frame]]&amp;"*"</f>
        <v>*F512-02*</v>
      </c>
    </row>
    <row r="62" spans="1:6" s="17" customFormat="1" ht="36.75" customHeight="1">
      <c r="A62" s="22" t="s">
        <v>224</v>
      </c>
      <c r="B62" s="22" t="s">
        <v>225</v>
      </c>
      <c r="C62" s="23">
        <f t="shared" si="3"/>
        <v>2</v>
      </c>
      <c r="D62" s="23">
        <v>1.3</v>
      </c>
      <c r="E62" s="23">
        <v>2</v>
      </c>
      <c r="F62" s="16" t="str">
        <f>"*"&amp;Table1[[#This Row],[Frame]]&amp;"*"</f>
        <v>*F512-03*</v>
      </c>
    </row>
    <row r="63" spans="1:6" s="17" customFormat="1" ht="36.75" customHeight="1">
      <c r="A63" s="22" t="s">
        <v>226</v>
      </c>
      <c r="B63" s="22" t="s">
        <v>227</v>
      </c>
      <c r="C63" s="23">
        <f t="shared" si="3"/>
        <v>1.5</v>
      </c>
      <c r="D63" s="23">
        <v>1</v>
      </c>
      <c r="E63" s="23">
        <v>1.5</v>
      </c>
      <c r="F63" s="16" t="str">
        <f>"*"&amp;Table1[[#This Row],[Frame]]&amp;"*"</f>
        <v>*F512A*</v>
      </c>
    </row>
    <row r="64" spans="1:6" s="17" customFormat="1" ht="36.75" customHeight="1">
      <c r="A64" s="22" t="s">
        <v>228</v>
      </c>
      <c r="B64" s="22" t="s">
        <v>229</v>
      </c>
      <c r="C64" s="23">
        <f t="shared" si="3"/>
        <v>1.75</v>
      </c>
      <c r="D64" s="23">
        <v>1</v>
      </c>
      <c r="E64" s="23">
        <v>1.75</v>
      </c>
      <c r="F64" s="16" t="str">
        <f>"*"&amp;Table1[[#This Row],[Frame]]&amp;"*"</f>
        <v>*F513-02*</v>
      </c>
    </row>
    <row r="65" spans="1:6" s="17" customFormat="1" ht="36.75" customHeight="1">
      <c r="A65" s="22" t="s">
        <v>230</v>
      </c>
      <c r="B65" s="22" t="s">
        <v>231</v>
      </c>
      <c r="C65" s="23">
        <f t="shared" si="3"/>
        <v>2</v>
      </c>
      <c r="D65" s="23">
        <v>1.25</v>
      </c>
      <c r="E65" s="23">
        <v>2</v>
      </c>
      <c r="F65" s="16" t="str">
        <f>"*"&amp;Table1[[#This Row],[Frame]]&amp;"*"</f>
        <v>*F513-09*</v>
      </c>
    </row>
    <row r="66" spans="1:6" s="17" customFormat="1" ht="36.75" customHeight="1">
      <c r="A66" s="22" t="s">
        <v>232</v>
      </c>
      <c r="B66" s="22" t="s">
        <v>233</v>
      </c>
      <c r="C66" s="23">
        <f t="shared" si="3"/>
        <v>2</v>
      </c>
      <c r="D66" s="23">
        <v>1.25</v>
      </c>
      <c r="E66" s="23">
        <v>2</v>
      </c>
      <c r="F66" s="16" t="str">
        <f>"*"&amp;Table1[[#This Row],[Frame]]&amp;"*"</f>
        <v>*F513-49*</v>
      </c>
    </row>
    <row r="67" spans="1:6" s="17" customFormat="1" ht="36.75" customHeight="1">
      <c r="A67" s="22" t="s">
        <v>234</v>
      </c>
      <c r="B67" s="22" t="s">
        <v>235</v>
      </c>
      <c r="C67" s="23">
        <f t="shared" si="3"/>
        <v>1.5</v>
      </c>
      <c r="D67" s="23">
        <v>1</v>
      </c>
      <c r="E67" s="23">
        <v>1.5</v>
      </c>
      <c r="F67" s="16" t="str">
        <f>"*"&amp;Table1[[#This Row],[Frame]]&amp;"*"</f>
        <v>*F513-49*</v>
      </c>
    </row>
    <row r="68" spans="1:6" s="17" customFormat="1" ht="36.75" customHeight="1">
      <c r="A68" s="22" t="s">
        <v>236</v>
      </c>
      <c r="B68" s="22" t="s">
        <v>237</v>
      </c>
      <c r="C68" s="23">
        <f t="shared" si="3"/>
        <v>1.75</v>
      </c>
      <c r="D68" s="23">
        <v>1.3</v>
      </c>
      <c r="E68" s="23">
        <v>1.75</v>
      </c>
      <c r="F68" s="16" t="str">
        <f>"*"&amp;Table1[[#This Row],[Frame]]&amp;"*"</f>
        <v>*F516-09*</v>
      </c>
    </row>
    <row r="69" spans="1:6" s="17" customFormat="1" ht="36.75" customHeight="1">
      <c r="A69" s="22" t="s">
        <v>238</v>
      </c>
      <c r="B69" s="22" t="s">
        <v>239</v>
      </c>
      <c r="C69" s="23">
        <f t="shared" si="3"/>
        <v>2</v>
      </c>
      <c r="D69" s="23">
        <v>1.5</v>
      </c>
      <c r="E69" s="23">
        <v>2</v>
      </c>
      <c r="F69" s="16" t="str">
        <f>"*"&amp;Table1[[#This Row],[Frame]]&amp;"*"</f>
        <v>*F516A*</v>
      </c>
    </row>
    <row r="70" spans="1:6" s="17" customFormat="1" ht="36.75" customHeight="1">
      <c r="A70" s="22" t="s">
        <v>240</v>
      </c>
      <c r="B70" s="22" t="s">
        <v>241</v>
      </c>
      <c r="C70" s="23">
        <f t="shared" si="3"/>
        <v>2</v>
      </c>
      <c r="D70" s="23">
        <v>1.5</v>
      </c>
      <c r="E70" s="23">
        <v>2</v>
      </c>
      <c r="F70" s="16" t="str">
        <f>"*"&amp;Table1[[#This Row],[Frame]]&amp;"*"</f>
        <v>*F516D*</v>
      </c>
    </row>
    <row r="71" spans="1:6" s="17" customFormat="1" ht="36.75" customHeight="1">
      <c r="A71" s="22" t="s">
        <v>242</v>
      </c>
      <c r="B71" s="22" t="s">
        <v>243</v>
      </c>
      <c r="C71" s="23">
        <f t="shared" si="3"/>
        <v>1.5</v>
      </c>
      <c r="D71" s="23">
        <v>1.3</v>
      </c>
      <c r="E71" s="23">
        <v>1.5</v>
      </c>
      <c r="F71" s="16" t="str">
        <f>"*"&amp;Table1[[#This Row],[Frame]]&amp;"*"</f>
        <v>*F516J*</v>
      </c>
    </row>
    <row r="72" spans="1:6" s="17" customFormat="1" ht="36.75" customHeight="1">
      <c r="A72" s="22" t="s">
        <v>244</v>
      </c>
      <c r="B72" s="22" t="s">
        <v>245</v>
      </c>
      <c r="C72" s="23">
        <f t="shared" ref="C72:C97" si="4">E72+0.35</f>
        <v>1.85</v>
      </c>
      <c r="D72" s="23"/>
      <c r="E72" s="23">
        <v>1.5</v>
      </c>
      <c r="F72" s="16" t="str">
        <f>"*"&amp;Table1[[#This Row],[Frame]]&amp;"*"</f>
        <v>*F516S*</v>
      </c>
    </row>
    <row r="73" spans="1:6" s="17" customFormat="1" ht="36.75" customHeight="1">
      <c r="A73" s="22" t="s">
        <v>246</v>
      </c>
      <c r="B73" s="22" t="s">
        <v>247</v>
      </c>
      <c r="C73" s="23">
        <f t="shared" si="4"/>
        <v>1.35</v>
      </c>
      <c r="D73" s="23"/>
      <c r="E73" s="23">
        <v>1</v>
      </c>
      <c r="F73" s="16" t="str">
        <f>"*"&amp;Table1[[#This Row],[Frame]]&amp;"*"</f>
        <v>*F517-01*</v>
      </c>
    </row>
    <row r="74" spans="1:6" s="17" customFormat="1" ht="36.75" customHeight="1">
      <c r="A74" s="22" t="s">
        <v>248</v>
      </c>
      <c r="B74" s="22" t="s">
        <v>245</v>
      </c>
      <c r="C74" s="23">
        <f t="shared" si="4"/>
        <v>1.85</v>
      </c>
      <c r="D74" s="23"/>
      <c r="E74" s="23">
        <v>1.5</v>
      </c>
      <c r="F74" s="16" t="str">
        <f>"*"&amp;Table1[[#This Row],[Frame]]&amp;"*"</f>
        <v>*F517-013*</v>
      </c>
    </row>
    <row r="75" spans="1:6" s="17" customFormat="1" ht="36.75" customHeight="1">
      <c r="A75" s="22" t="s">
        <v>249</v>
      </c>
      <c r="B75" s="22" t="s">
        <v>250</v>
      </c>
      <c r="C75" s="23">
        <f t="shared" si="4"/>
        <v>1.4500000000000002</v>
      </c>
      <c r="D75" s="23"/>
      <c r="E75" s="23">
        <v>1.1000000000000001</v>
      </c>
      <c r="F75" s="16" t="str">
        <f>"*"&amp;Table1[[#This Row],[Frame]]&amp;"*"</f>
        <v>*F517-01L*</v>
      </c>
    </row>
    <row r="76" spans="1:6" s="17" customFormat="1" ht="36.75" customHeight="1">
      <c r="A76" s="22" t="s">
        <v>251</v>
      </c>
      <c r="B76" s="22" t="s">
        <v>252</v>
      </c>
      <c r="C76" s="23">
        <f t="shared" si="4"/>
        <v>2.85</v>
      </c>
      <c r="D76" s="23">
        <v>2.5</v>
      </c>
      <c r="E76" s="23">
        <v>2.5</v>
      </c>
      <c r="F76" s="16" t="str">
        <f>"*"&amp;Table1[[#This Row],[Frame]]&amp;"*"</f>
        <v>*F517-01R*</v>
      </c>
    </row>
    <row r="77" spans="1:6" s="17" customFormat="1" ht="36.75" customHeight="1">
      <c r="A77" s="22" t="s">
        <v>253</v>
      </c>
      <c r="B77" s="22" t="s">
        <v>254</v>
      </c>
      <c r="C77" s="23">
        <f t="shared" si="4"/>
        <v>2.5</v>
      </c>
      <c r="D77" s="23">
        <v>1.85</v>
      </c>
      <c r="E77" s="23">
        <v>2.15</v>
      </c>
      <c r="F77" s="16" t="str">
        <f>"*"&amp;Table1[[#This Row],[Frame]]&amp;"*"</f>
        <v>*F517-02*</v>
      </c>
    </row>
    <row r="78" spans="1:6" s="17" customFormat="1" ht="36.75" customHeight="1">
      <c r="A78" s="22" t="s">
        <v>0</v>
      </c>
      <c r="B78" s="22" t="s">
        <v>255</v>
      </c>
      <c r="C78" s="23">
        <f t="shared" si="4"/>
        <v>2.85</v>
      </c>
      <c r="D78" s="23">
        <v>2.5</v>
      </c>
      <c r="E78" s="23">
        <v>2.5</v>
      </c>
      <c r="F78" s="16" t="str">
        <f>"*"&amp;Table1[[#This Row],[Frame]]&amp;"*"</f>
        <v>*F517-03*</v>
      </c>
    </row>
    <row r="79" spans="1:6" s="17" customFormat="1" ht="36.75" customHeight="1">
      <c r="A79" s="22" t="s">
        <v>1</v>
      </c>
      <c r="B79" s="22" t="s">
        <v>256</v>
      </c>
      <c r="C79" s="23">
        <f t="shared" si="4"/>
        <v>2.6</v>
      </c>
      <c r="D79" s="23">
        <v>2</v>
      </c>
      <c r="E79" s="23">
        <v>2.25</v>
      </c>
      <c r="F79" s="16" t="str">
        <f>"*"&amp;Table1[[#This Row],[Frame]]&amp;"*"</f>
        <v>*F517-03L*</v>
      </c>
    </row>
    <row r="80" spans="1:6" s="17" customFormat="1" ht="36.75" customHeight="1">
      <c r="A80" s="22" t="s">
        <v>1</v>
      </c>
      <c r="B80" s="22" t="s">
        <v>257</v>
      </c>
      <c r="C80" s="23">
        <f t="shared" si="4"/>
        <v>2.6</v>
      </c>
      <c r="D80" s="23">
        <v>2</v>
      </c>
      <c r="E80" s="23">
        <v>2.25</v>
      </c>
      <c r="F80" s="16" t="str">
        <f>"*"&amp;Table1[[#This Row],[Frame]]&amp;"*"</f>
        <v>*F517-03r*</v>
      </c>
    </row>
    <row r="81" spans="1:6" s="17" customFormat="1" ht="36.75" customHeight="1">
      <c r="A81" s="22" t="s">
        <v>2</v>
      </c>
      <c r="B81" s="22" t="s">
        <v>258</v>
      </c>
      <c r="C81" s="23">
        <f t="shared" si="4"/>
        <v>2.1</v>
      </c>
      <c r="D81" s="23">
        <v>1.5</v>
      </c>
      <c r="E81" s="23">
        <v>1.75</v>
      </c>
      <c r="F81" s="16" t="str">
        <f>"*"&amp;Table1[[#This Row],[Frame]]&amp;"*"</f>
        <v>*F517-05R*</v>
      </c>
    </row>
    <row r="82" spans="1:6" s="17" customFormat="1" ht="36.75" customHeight="1">
      <c r="A82" s="22" t="s">
        <v>3</v>
      </c>
      <c r="B82" s="22" t="s">
        <v>259</v>
      </c>
      <c r="C82" s="23">
        <f t="shared" si="4"/>
        <v>2.6</v>
      </c>
      <c r="D82" s="23">
        <v>2.5</v>
      </c>
      <c r="E82" s="23">
        <v>2.25</v>
      </c>
      <c r="F82" s="16" t="str">
        <f>"*"&amp;Table1[[#This Row],[Frame]]&amp;"*"</f>
        <v>*F517-13*</v>
      </c>
    </row>
    <row r="83" spans="1:6" s="17" customFormat="1" ht="36.75" customHeight="1">
      <c r="A83" s="22" t="s">
        <v>260</v>
      </c>
      <c r="B83" s="22" t="s">
        <v>261</v>
      </c>
      <c r="C83" s="23">
        <f t="shared" si="4"/>
        <v>2.35</v>
      </c>
      <c r="D83" s="23">
        <v>2</v>
      </c>
      <c r="E83" s="23">
        <v>2</v>
      </c>
      <c r="F83" s="16" t="str">
        <f>"*"&amp;Table1[[#This Row],[Frame]]&amp;"*"</f>
        <v>*F517-13L*</v>
      </c>
    </row>
    <row r="84" spans="1:6" s="17" customFormat="1" ht="36.75" customHeight="1">
      <c r="A84" s="22" t="s">
        <v>373</v>
      </c>
      <c r="B84" s="22" t="s">
        <v>374</v>
      </c>
      <c r="C84" s="23">
        <f t="shared" si="4"/>
        <v>2.35</v>
      </c>
      <c r="D84" s="23">
        <v>2</v>
      </c>
      <c r="E84" s="23">
        <v>2</v>
      </c>
      <c r="F84" s="16" t="str">
        <f>"*"&amp;Table1[[#This Row],[Frame]]&amp;"*"</f>
        <v>*F517-13R*</v>
      </c>
    </row>
    <row r="85" spans="1:6" s="17" customFormat="1" ht="36.75" customHeight="1">
      <c r="A85" s="22" t="s">
        <v>262</v>
      </c>
      <c r="B85" s="22" t="s">
        <v>263</v>
      </c>
      <c r="C85" s="23">
        <f t="shared" si="4"/>
        <v>2.6</v>
      </c>
      <c r="D85" s="23">
        <v>2.5</v>
      </c>
      <c r="E85" s="23">
        <v>2.25</v>
      </c>
      <c r="F85" s="16" t="str">
        <f>"*"&amp;Table1[[#This Row],[Frame]]&amp;"*"</f>
        <v>*F517-31*</v>
      </c>
    </row>
    <row r="86" spans="1:6" s="17" customFormat="1" ht="36.75" customHeight="1">
      <c r="A86" s="22" t="s">
        <v>264</v>
      </c>
      <c r="B86" s="22" t="s">
        <v>265</v>
      </c>
      <c r="C86" s="23">
        <f t="shared" si="4"/>
        <v>2.1</v>
      </c>
      <c r="D86" s="23">
        <v>1.5</v>
      </c>
      <c r="E86" s="23">
        <v>1.75</v>
      </c>
      <c r="F86" s="16" t="str">
        <f>"*"&amp;Table1[[#This Row],[Frame]]&amp;"*"</f>
        <v>*F517-33*</v>
      </c>
    </row>
    <row r="87" spans="1:6" s="17" customFormat="1" ht="36.75" customHeight="1">
      <c r="A87" s="22" t="s">
        <v>266</v>
      </c>
      <c r="B87" s="22" t="s">
        <v>267</v>
      </c>
      <c r="C87" s="23">
        <f t="shared" si="4"/>
        <v>2.35</v>
      </c>
      <c r="D87" s="23">
        <v>2</v>
      </c>
      <c r="E87" s="23">
        <v>2</v>
      </c>
      <c r="F87" s="16" t="str">
        <f>"*"&amp;Table1[[#This Row],[Frame]]&amp;"*"</f>
        <v>*F518-01*</v>
      </c>
    </row>
    <row r="88" spans="1:6" s="17" customFormat="1" ht="36.75" customHeight="1">
      <c r="A88" s="22" t="s">
        <v>268</v>
      </c>
      <c r="B88" s="22" t="s">
        <v>269</v>
      </c>
      <c r="C88" s="23">
        <f t="shared" si="4"/>
        <v>2.35</v>
      </c>
      <c r="D88" s="23">
        <v>2</v>
      </c>
      <c r="E88" s="23">
        <v>2</v>
      </c>
      <c r="F88" s="16" t="str">
        <f>"*"&amp;Table1[[#This Row],[Frame]]&amp;"*"</f>
        <v>*F518-02*</v>
      </c>
    </row>
    <row r="89" spans="1:6" s="17" customFormat="1" ht="36.75" customHeight="1">
      <c r="A89" s="22" t="s">
        <v>270</v>
      </c>
      <c r="B89" s="22" t="s">
        <v>271</v>
      </c>
      <c r="C89" s="23">
        <f t="shared" si="4"/>
        <v>2.85</v>
      </c>
      <c r="D89" s="23">
        <v>2.5</v>
      </c>
      <c r="E89" s="23">
        <v>2.5</v>
      </c>
      <c r="F89" s="16" t="str">
        <f>"*"&amp;Table1[[#This Row],[Frame]]&amp;"*"</f>
        <v>*F518-03*</v>
      </c>
    </row>
    <row r="90" spans="1:6" s="17" customFormat="1" ht="36.75" customHeight="1">
      <c r="A90" s="22" t="s">
        <v>272</v>
      </c>
      <c r="B90" s="22" t="s">
        <v>273</v>
      </c>
      <c r="C90" s="23">
        <f t="shared" si="4"/>
        <v>2.5</v>
      </c>
      <c r="D90" s="23">
        <v>1.85</v>
      </c>
      <c r="E90" s="23">
        <v>2.15</v>
      </c>
      <c r="F90" s="16" t="str">
        <f>"*"&amp;Table1[[#This Row],[Frame]]&amp;"*"</f>
        <v>*F519-01*</v>
      </c>
    </row>
    <row r="91" spans="1:6" s="17" customFormat="1" ht="36.75" customHeight="1">
      <c r="A91" s="22" t="s">
        <v>274</v>
      </c>
      <c r="B91" s="22" t="s">
        <v>275</v>
      </c>
      <c r="C91" s="23">
        <f t="shared" si="4"/>
        <v>2.85</v>
      </c>
      <c r="D91" s="23">
        <v>2.5</v>
      </c>
      <c r="E91" s="23">
        <v>2.5</v>
      </c>
      <c r="F91" s="16" t="str">
        <f>"*"&amp;Table1[[#This Row],[Frame]]&amp;"*"</f>
        <v>*F519-02*</v>
      </c>
    </row>
    <row r="92" spans="1:6" s="17" customFormat="1" ht="36.75" customHeight="1">
      <c r="A92" s="22" t="s">
        <v>276</v>
      </c>
      <c r="B92" s="22" t="s">
        <v>277</v>
      </c>
      <c r="C92" s="23">
        <f t="shared" si="4"/>
        <v>2.15</v>
      </c>
      <c r="D92" s="23">
        <v>1.5</v>
      </c>
      <c r="E92" s="23">
        <v>1.8</v>
      </c>
      <c r="F92" s="16" t="str">
        <f>"*"&amp;Table1[[#This Row],[Frame]]&amp;"*"</f>
        <v>*F519-03*</v>
      </c>
    </row>
    <row r="93" spans="1:6" s="17" customFormat="1" ht="36.75" customHeight="1">
      <c r="A93" s="22" t="s">
        <v>278</v>
      </c>
      <c r="B93" s="22" t="s">
        <v>279</v>
      </c>
      <c r="C93" s="23">
        <f t="shared" si="4"/>
        <v>2.85</v>
      </c>
      <c r="D93" s="23">
        <v>2</v>
      </c>
      <c r="E93" s="23">
        <v>2.5</v>
      </c>
      <c r="F93" s="16" t="str">
        <f>"*"&amp;Table1[[#This Row],[Frame]]&amp;"*"</f>
        <v>*F519-09*</v>
      </c>
    </row>
    <row r="94" spans="1:6" s="17" customFormat="1" ht="36.75" customHeight="1">
      <c r="A94" s="22" t="s">
        <v>280</v>
      </c>
      <c r="B94" s="22" t="s">
        <v>281</v>
      </c>
      <c r="C94" s="23">
        <f t="shared" si="4"/>
        <v>2.6</v>
      </c>
      <c r="D94" s="23">
        <v>1.75</v>
      </c>
      <c r="E94" s="23">
        <v>2.25</v>
      </c>
      <c r="F94" s="16" t="str">
        <f>"*"&amp;Table1[[#This Row],[Frame]]&amp;"*"</f>
        <v>*F521-01*</v>
      </c>
    </row>
    <row r="95" spans="1:6" s="17" customFormat="1" ht="36.75" customHeight="1">
      <c r="A95" s="22" t="s">
        <v>282</v>
      </c>
      <c r="B95" s="22" t="s">
        <v>283</v>
      </c>
      <c r="C95" s="23">
        <f t="shared" si="4"/>
        <v>2.1</v>
      </c>
      <c r="D95" s="23">
        <v>1.5</v>
      </c>
      <c r="E95" s="23">
        <v>1.75</v>
      </c>
      <c r="F95" s="16" t="str">
        <f>"*"&amp;Table1[[#This Row],[Frame]]&amp;"*"</f>
        <v>*F521-02*</v>
      </c>
    </row>
    <row r="96" spans="1:6" s="17" customFormat="1" ht="36.75" customHeight="1">
      <c r="A96" s="22" t="s">
        <v>394</v>
      </c>
      <c r="B96" s="22" t="s">
        <v>395</v>
      </c>
      <c r="C96" s="23">
        <f t="shared" si="4"/>
        <v>2.35</v>
      </c>
      <c r="D96" s="23">
        <v>2.2999999999999998</v>
      </c>
      <c r="E96" s="23">
        <v>2</v>
      </c>
      <c r="F96" s="16" t="str">
        <f>"*"&amp;Table1[[#This Row],[Frame]]&amp;"*"</f>
        <v>*F521-03*</v>
      </c>
    </row>
    <row r="97" spans="1:10" s="17" customFormat="1" ht="36.75" customHeight="1">
      <c r="A97" s="22" t="s">
        <v>284</v>
      </c>
      <c r="B97" s="22" t="s">
        <v>285</v>
      </c>
      <c r="C97" s="23">
        <f t="shared" si="4"/>
        <v>3.35</v>
      </c>
      <c r="D97" s="23">
        <v>3.05</v>
      </c>
      <c r="E97" s="23">
        <v>3</v>
      </c>
      <c r="F97" s="16" t="str">
        <f>"*"&amp;Table1[[#This Row],[Frame]]&amp;"*"</f>
        <v>*F521-09*</v>
      </c>
    </row>
    <row r="98" spans="1:10" s="17" customFormat="1" ht="36.75" customHeight="1">
      <c r="A98" s="22" t="s">
        <v>286</v>
      </c>
      <c r="B98" s="22" t="s">
        <v>287</v>
      </c>
      <c r="C98" s="23">
        <f t="shared" ref="C98:C111" si="5">E98</f>
        <v>2</v>
      </c>
      <c r="D98" s="23">
        <v>2.0499999999999998</v>
      </c>
      <c r="E98" s="23">
        <v>2</v>
      </c>
      <c r="F98" s="16" t="str">
        <f>"*"&amp;Table1[[#This Row],[Frame]]&amp;"*"</f>
        <v>*F522-09*</v>
      </c>
    </row>
    <row r="99" spans="1:10" s="17" customFormat="1" ht="36.75" customHeight="1">
      <c r="A99" s="22" t="s">
        <v>288</v>
      </c>
      <c r="B99" s="22" t="s">
        <v>289</v>
      </c>
      <c r="C99" s="23">
        <f t="shared" si="5"/>
        <v>3</v>
      </c>
      <c r="D99" s="23">
        <v>3.05</v>
      </c>
      <c r="E99" s="23">
        <v>3</v>
      </c>
      <c r="F99" s="16" t="str">
        <f>"*"&amp;Table1[[#This Row],[Frame]]&amp;"*"</f>
        <v>*F522A*</v>
      </c>
    </row>
    <row r="100" spans="1:10" s="17" customFormat="1" ht="36.75" customHeight="1">
      <c r="A100" s="22" t="s">
        <v>290</v>
      </c>
      <c r="B100" s="22" t="s">
        <v>291</v>
      </c>
      <c r="C100" s="23">
        <f t="shared" si="5"/>
        <v>1</v>
      </c>
      <c r="D100" s="23">
        <v>0.5</v>
      </c>
      <c r="E100" s="23">
        <v>1</v>
      </c>
      <c r="F100" s="16" t="str">
        <f>"*"&amp;Table1[[#This Row],[Frame]]&amp;"*"</f>
        <v>*F522D*</v>
      </c>
    </row>
    <row r="101" spans="1:10" s="17" customFormat="1" ht="36.75" customHeight="1">
      <c r="A101" s="22" t="s">
        <v>292</v>
      </c>
      <c r="B101" s="22" t="s">
        <v>293</v>
      </c>
      <c r="C101" s="23">
        <f t="shared" si="5"/>
        <v>0.75</v>
      </c>
      <c r="D101" s="23">
        <v>0.5</v>
      </c>
      <c r="E101" s="23">
        <v>0.75</v>
      </c>
      <c r="F101" s="16" t="str">
        <f>"*"&amp;Table1[[#This Row],[Frame]]&amp;"*"</f>
        <v>*F522S*</v>
      </c>
    </row>
    <row r="102" spans="1:10" s="17" customFormat="1" ht="36.75" customHeight="1">
      <c r="A102" s="22" t="s">
        <v>294</v>
      </c>
      <c r="B102" s="22" t="s">
        <v>295</v>
      </c>
      <c r="C102" s="23">
        <f t="shared" si="5"/>
        <v>1.5</v>
      </c>
      <c r="D102" s="23">
        <v>1</v>
      </c>
      <c r="E102" s="23">
        <v>1.5</v>
      </c>
      <c r="F102" s="16" t="str">
        <f>"*"&amp;Table1[[#This Row],[Frame]]&amp;"*"</f>
        <v>*f523d*</v>
      </c>
      <c r="G102" s="19"/>
      <c r="H102" s="20"/>
    </row>
    <row r="103" spans="1:10" s="17" customFormat="1" ht="36.75" customHeight="1">
      <c r="A103" s="22" t="s">
        <v>296</v>
      </c>
      <c r="B103" s="22" t="s">
        <v>297</v>
      </c>
      <c r="C103" s="23">
        <f t="shared" si="5"/>
        <v>1.75</v>
      </c>
      <c r="D103" s="23">
        <v>1</v>
      </c>
      <c r="E103" s="23">
        <v>1.75</v>
      </c>
      <c r="F103" s="16" t="str">
        <f>"*"&amp;Table1[[#This Row],[Frame]]&amp;"*"</f>
        <v>*F524-01*</v>
      </c>
      <c r="G103" s="18" t="s">
        <v>221</v>
      </c>
      <c r="H103" s="19">
        <f>J103</f>
        <v>1.75</v>
      </c>
      <c r="I103" s="20">
        <v>1.3</v>
      </c>
      <c r="J103" s="20">
        <v>1.75</v>
      </c>
    </row>
    <row r="104" spans="1:10" s="17" customFormat="1" ht="36.75" customHeight="1">
      <c r="A104" s="22" t="s">
        <v>298</v>
      </c>
      <c r="B104" s="22" t="s">
        <v>299</v>
      </c>
      <c r="C104" s="23">
        <f t="shared" si="5"/>
        <v>2</v>
      </c>
      <c r="D104" s="23">
        <v>1.25</v>
      </c>
      <c r="E104" s="23">
        <v>2</v>
      </c>
      <c r="F104" s="16" t="str">
        <f>"*"&amp;Table1[[#This Row],[Frame]]&amp;"*"</f>
        <v>*F524-02*</v>
      </c>
      <c r="G104" s="18" t="s">
        <v>223</v>
      </c>
      <c r="H104" s="19">
        <f>J104</f>
        <v>2</v>
      </c>
      <c r="I104" s="20">
        <v>1.4</v>
      </c>
      <c r="J104" s="20">
        <v>2</v>
      </c>
    </row>
    <row r="105" spans="1:10" s="17" customFormat="1" ht="36.75" customHeight="1">
      <c r="A105" s="22" t="s">
        <v>300</v>
      </c>
      <c r="B105" s="22" t="s">
        <v>301</v>
      </c>
      <c r="C105" s="23">
        <f t="shared" si="5"/>
        <v>2</v>
      </c>
      <c r="D105" s="23">
        <v>1.25</v>
      </c>
      <c r="E105" s="23">
        <v>2</v>
      </c>
      <c r="F105" s="16" t="str">
        <f>"*"&amp;Table1[[#This Row],[Frame]]&amp;"*"</f>
        <v>*F524-03*</v>
      </c>
      <c r="G105" s="18" t="s">
        <v>225</v>
      </c>
      <c r="H105" s="19">
        <f>J105</f>
        <v>2</v>
      </c>
      <c r="I105" s="20">
        <v>1.3</v>
      </c>
      <c r="J105" s="20">
        <v>2</v>
      </c>
    </row>
    <row r="106" spans="1:10" s="17" customFormat="1" ht="36.75" customHeight="1">
      <c r="A106" s="22" t="s">
        <v>302</v>
      </c>
      <c r="B106" s="22" t="s">
        <v>303</v>
      </c>
      <c r="C106" s="23">
        <f t="shared" si="5"/>
        <v>1.5</v>
      </c>
      <c r="D106" s="23">
        <v>1.3</v>
      </c>
      <c r="E106" s="23">
        <v>1.5</v>
      </c>
      <c r="F106" s="16" t="str">
        <f>"*"&amp;Table1[[#This Row],[Frame]]&amp;"*"</f>
        <v>*F524-30*</v>
      </c>
      <c r="G106" s="18" t="s">
        <v>227</v>
      </c>
      <c r="H106" s="19">
        <f>J106</f>
        <v>1.5</v>
      </c>
      <c r="I106" s="20">
        <v>1</v>
      </c>
      <c r="J106" s="20">
        <v>1.5</v>
      </c>
    </row>
    <row r="107" spans="1:10" s="17" customFormat="1" ht="36.75" customHeight="1">
      <c r="A107" s="22" t="s">
        <v>304</v>
      </c>
      <c r="B107" s="22" t="s">
        <v>305</v>
      </c>
      <c r="C107" s="23">
        <f t="shared" si="5"/>
        <v>1.75</v>
      </c>
      <c r="D107" s="23">
        <v>1.3</v>
      </c>
      <c r="E107" s="23">
        <v>1.75</v>
      </c>
      <c r="F107" s="16" t="str">
        <f>"*"&amp;Table1[[#This Row],[Frame]]&amp;"*"</f>
        <v>*F524C*</v>
      </c>
    </row>
    <row r="108" spans="1:10" s="17" customFormat="1" ht="36.75" customHeight="1">
      <c r="A108" s="22" t="s">
        <v>306</v>
      </c>
      <c r="B108" s="22" t="s">
        <v>307</v>
      </c>
      <c r="C108" s="23">
        <f t="shared" si="5"/>
        <v>2</v>
      </c>
      <c r="D108" s="23">
        <v>1.25</v>
      </c>
      <c r="E108" s="23">
        <v>2</v>
      </c>
      <c r="F108" s="16" t="str">
        <f>"*"&amp;Table1[[#This Row],[Frame]]&amp;"*"</f>
        <v>*F524CB*</v>
      </c>
    </row>
    <row r="109" spans="1:10" s="17" customFormat="1" ht="36.75" customHeight="1">
      <c r="A109" s="22" t="s">
        <v>308</v>
      </c>
      <c r="B109" s="22" t="s">
        <v>309</v>
      </c>
      <c r="C109" s="23">
        <f t="shared" si="5"/>
        <v>2</v>
      </c>
      <c r="D109" s="23">
        <v>1.5</v>
      </c>
      <c r="E109" s="23">
        <v>2</v>
      </c>
      <c r="F109" s="16" t="str">
        <f>"*"&amp;Table1[[#This Row],[Frame]]&amp;"*"</f>
        <v>*F524CC*</v>
      </c>
    </row>
    <row r="110" spans="1:10" s="17" customFormat="1" ht="36.75" customHeight="1">
      <c r="A110" s="22" t="s">
        <v>310</v>
      </c>
      <c r="B110" s="22" t="s">
        <v>311</v>
      </c>
      <c r="C110" s="23">
        <f t="shared" si="5"/>
        <v>2</v>
      </c>
      <c r="D110" s="23">
        <v>2.0499999999999998</v>
      </c>
      <c r="E110" s="23">
        <v>2</v>
      </c>
      <c r="F110" s="16" t="str">
        <f>"*"&amp;Table1[[#This Row],[Frame]]&amp;"*"</f>
        <v>*F524CZ*</v>
      </c>
    </row>
    <row r="111" spans="1:10" s="17" customFormat="1" ht="36.75" customHeight="1">
      <c r="A111" s="22" t="s">
        <v>312</v>
      </c>
      <c r="B111" s="22" t="s">
        <v>313</v>
      </c>
      <c r="C111" s="23">
        <f t="shared" si="5"/>
        <v>1</v>
      </c>
      <c r="D111" s="23">
        <v>1</v>
      </c>
      <c r="E111" s="23">
        <v>1</v>
      </c>
      <c r="F111" s="16" t="str">
        <f>"*"&amp;Table1[[#This Row],[Frame]]&amp;"*"</f>
        <v>*F524E*</v>
      </c>
    </row>
    <row r="112" spans="1:10" s="17" customFormat="1" ht="36.75" customHeight="1">
      <c r="A112" s="22" t="s">
        <v>314</v>
      </c>
      <c r="B112" s="25" t="s">
        <v>315</v>
      </c>
      <c r="C112" s="23">
        <f t="shared" ref="C112:C118" si="6">E112+0.35</f>
        <v>2.35</v>
      </c>
      <c r="D112" s="26">
        <v>1.75</v>
      </c>
      <c r="E112" s="26">
        <v>2</v>
      </c>
      <c r="F112" s="16" t="str">
        <f>"*"&amp;Table1[[#This Row],[Frame]]&amp;"*"</f>
        <v>*F524F*</v>
      </c>
    </row>
    <row r="113" spans="1:6" s="17" customFormat="1" ht="36.75" customHeight="1">
      <c r="A113" s="22" t="s">
        <v>355</v>
      </c>
      <c r="B113" s="22" t="s">
        <v>356</v>
      </c>
      <c r="C113" s="23">
        <f t="shared" si="6"/>
        <v>1.85</v>
      </c>
      <c r="D113" s="23">
        <v>1.25</v>
      </c>
      <c r="E113" s="23">
        <v>1.5</v>
      </c>
      <c r="F113" s="16" t="str">
        <f>"*"&amp;Table1[[#This Row],[Frame]]&amp;"*"</f>
        <v>*F524I*</v>
      </c>
    </row>
    <row r="114" spans="1:6" s="17" customFormat="1" ht="36.75" customHeight="1">
      <c r="A114" s="22" t="s">
        <v>316</v>
      </c>
      <c r="B114" s="25" t="s">
        <v>317</v>
      </c>
      <c r="C114" s="23">
        <f t="shared" si="6"/>
        <v>1.35</v>
      </c>
      <c r="D114" s="26"/>
      <c r="E114" s="26">
        <v>1</v>
      </c>
      <c r="F114" s="16" t="str">
        <f>"*"&amp;Table1[[#This Row],[Frame]]&amp;"*"</f>
        <v>*F524JL*</v>
      </c>
    </row>
    <row r="115" spans="1:6" s="17" customFormat="1" ht="36.75" customHeight="1">
      <c r="A115" s="25" t="s">
        <v>318</v>
      </c>
      <c r="B115" s="25" t="s">
        <v>319</v>
      </c>
      <c r="C115" s="23">
        <f t="shared" si="6"/>
        <v>2.5</v>
      </c>
      <c r="D115" s="26">
        <v>1.85</v>
      </c>
      <c r="E115" s="26">
        <v>2.15</v>
      </c>
      <c r="F115" s="16" t="str">
        <f>"*"&amp;Table1[[#This Row],[Frame]]&amp;"*"</f>
        <v>*F524LA*</v>
      </c>
    </row>
    <row r="116" spans="1:6" s="17" customFormat="1" ht="36.75" customHeight="1">
      <c r="A116" s="22" t="s">
        <v>359</v>
      </c>
      <c r="B116" s="22" t="s">
        <v>360</v>
      </c>
      <c r="C116" s="23">
        <f t="shared" si="6"/>
        <v>2.1</v>
      </c>
      <c r="D116" s="23">
        <v>1.5</v>
      </c>
      <c r="E116" s="23">
        <v>1.75</v>
      </c>
      <c r="F116" s="16" t="str">
        <f>"*"&amp;Table1[[#This Row],[Frame]]&amp;"*"</f>
        <v>*F524LC*</v>
      </c>
    </row>
    <row r="117" spans="1:6" s="17" customFormat="1" ht="36.75" customHeight="1">
      <c r="A117" s="22" t="s">
        <v>320</v>
      </c>
      <c r="B117" s="25" t="s">
        <v>321</v>
      </c>
      <c r="C117" s="23">
        <f t="shared" si="6"/>
        <v>1.35</v>
      </c>
      <c r="D117" s="26"/>
      <c r="E117" s="26">
        <v>1</v>
      </c>
      <c r="F117" s="16" t="str">
        <f>"*"&amp;Table1[[#This Row],[Frame]]&amp;"*"</f>
        <v>*F524LL*</v>
      </c>
    </row>
    <row r="118" spans="1:6" s="17" customFormat="1" ht="36.75" customHeight="1">
      <c r="A118" s="22" t="s">
        <v>392</v>
      </c>
      <c r="B118" s="22" t="s">
        <v>393</v>
      </c>
      <c r="C118" s="23">
        <f t="shared" si="6"/>
        <v>2.35</v>
      </c>
      <c r="D118" s="23">
        <v>2.2999999999999998</v>
      </c>
      <c r="E118" s="23">
        <v>2</v>
      </c>
      <c r="F118" s="16" t="str">
        <f>"*"&amp;Table1[[#This Row],[Frame]]&amp;"*"</f>
        <v>*F524OO*</v>
      </c>
    </row>
    <row r="119" spans="1:6" s="17" customFormat="1" ht="36.75" customHeight="1">
      <c r="A119" s="22" t="s">
        <v>567</v>
      </c>
      <c r="B119" s="22" t="s">
        <v>568</v>
      </c>
      <c r="C119" s="22">
        <f>E119</f>
        <v>1</v>
      </c>
      <c r="D119" s="24">
        <v>0.75</v>
      </c>
      <c r="E119" s="22">
        <v>1</v>
      </c>
      <c r="F119" s="16" t="str">
        <f>"*"&amp;Table1[[#This Row],[Frame]]&amp;"*"</f>
        <v>*F524P*</v>
      </c>
    </row>
    <row r="120" spans="1:6" s="17" customFormat="1" ht="36.75" customHeight="1">
      <c r="A120" s="22" t="s">
        <v>442</v>
      </c>
      <c r="B120" s="22" t="s">
        <v>443</v>
      </c>
      <c r="C120" s="23">
        <f t="shared" ref="C120:C127" si="7">E120+0.35</f>
        <v>3.35</v>
      </c>
      <c r="D120" s="24">
        <v>2.5499999999999998</v>
      </c>
      <c r="E120" s="24">
        <v>3</v>
      </c>
      <c r="F120" s="16" t="str">
        <f>"*"&amp;Table1[[#This Row],[Frame]]&amp;"*"</f>
        <v>*F524RA*</v>
      </c>
    </row>
    <row r="121" spans="1:6" s="17" customFormat="1" ht="36.75" customHeight="1">
      <c r="A121" s="22" t="s">
        <v>485</v>
      </c>
      <c r="B121" s="22" t="s">
        <v>486</v>
      </c>
      <c r="C121" s="23">
        <f t="shared" si="7"/>
        <v>2.85</v>
      </c>
      <c r="D121" s="24">
        <v>3.25</v>
      </c>
      <c r="E121" s="24">
        <v>2.5</v>
      </c>
      <c r="F121" s="16" t="str">
        <f>"*"&amp;Table1[[#This Row],[Frame]]&amp;"*"</f>
        <v>*F524RC*</v>
      </c>
    </row>
    <row r="122" spans="1:6" s="17" customFormat="1" ht="36.75" customHeight="1">
      <c r="A122" s="22" t="s">
        <v>396</v>
      </c>
      <c r="B122" s="22" t="s">
        <v>397</v>
      </c>
      <c r="C122" s="23">
        <f t="shared" si="7"/>
        <v>1.85</v>
      </c>
      <c r="D122" s="24">
        <v>1.25</v>
      </c>
      <c r="E122" s="24">
        <v>1.5</v>
      </c>
      <c r="F122" s="16" t="str">
        <f>"*"&amp;Table1[[#This Row],[Frame]]&amp;"*"</f>
        <v>*F524Y*</v>
      </c>
    </row>
    <row r="123" spans="1:6" s="17" customFormat="1" ht="36.75" customHeight="1">
      <c r="A123" s="22" t="s">
        <v>398</v>
      </c>
      <c r="B123" s="22" t="s">
        <v>399</v>
      </c>
      <c r="C123" s="23">
        <f t="shared" si="7"/>
        <v>2.1</v>
      </c>
      <c r="D123" s="24">
        <v>1.5</v>
      </c>
      <c r="E123" s="24">
        <v>1.75</v>
      </c>
      <c r="F123" s="16" t="str">
        <f>"*"&amp;Table1[[#This Row],[Frame]]&amp;"*"</f>
        <v>*F525-01*</v>
      </c>
    </row>
    <row r="124" spans="1:6" s="17" customFormat="1" ht="36.75" customHeight="1">
      <c r="A124" s="22" t="s">
        <v>400</v>
      </c>
      <c r="B124" s="22" t="s">
        <v>401</v>
      </c>
      <c r="C124" s="23">
        <f t="shared" si="7"/>
        <v>2.35</v>
      </c>
      <c r="D124" s="24">
        <v>2</v>
      </c>
      <c r="E124" s="24">
        <v>2</v>
      </c>
      <c r="F124" s="16" t="str">
        <f>"*"&amp;Table1[[#This Row],[Frame]]&amp;"*"</f>
        <v>*F525-02*</v>
      </c>
    </row>
    <row r="125" spans="1:6" s="17" customFormat="1" ht="36.75" customHeight="1">
      <c r="A125" s="22" t="s">
        <v>406</v>
      </c>
      <c r="B125" s="22" t="s">
        <v>407</v>
      </c>
      <c r="C125" s="23">
        <f t="shared" si="7"/>
        <v>1.35</v>
      </c>
      <c r="D125" s="24"/>
      <c r="E125" s="24">
        <v>1</v>
      </c>
      <c r="F125" s="16" t="str">
        <f>"*"&amp;Table1[[#This Row],[Frame]]&amp;"*"</f>
        <v>*F525-03*</v>
      </c>
    </row>
    <row r="126" spans="1:6" s="17" customFormat="1" ht="36.75" customHeight="1">
      <c r="A126" s="22" t="s">
        <v>404</v>
      </c>
      <c r="B126" s="22" t="s">
        <v>405</v>
      </c>
      <c r="C126" s="23">
        <f t="shared" si="7"/>
        <v>1.35</v>
      </c>
      <c r="D126" s="24"/>
      <c r="E126" s="24">
        <v>1</v>
      </c>
      <c r="F126" s="16" t="str">
        <f>"*"&amp;Table1[[#This Row],[Frame]]&amp;"*"</f>
        <v>*F525-09*</v>
      </c>
    </row>
    <row r="127" spans="1:6">
      <c r="A127" s="22" t="s">
        <v>402</v>
      </c>
      <c r="B127" s="22" t="s">
        <v>403</v>
      </c>
      <c r="C127" s="23">
        <f t="shared" si="7"/>
        <v>1.4500000000000002</v>
      </c>
      <c r="D127" s="24"/>
      <c r="E127" s="24">
        <v>1.1000000000000001</v>
      </c>
      <c r="F127" s="16" t="str">
        <f>"*"&amp;Table1[[#This Row],[Frame]]&amp;"*"</f>
        <v>*F533-09*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F870"/>
  <sheetViews>
    <sheetView topLeftCell="A81" zoomScale="60" zoomScaleNormal="60" zoomScalePageLayoutView="60" workbookViewId="0">
      <selection activeCell="A107" sqref="A107"/>
    </sheetView>
  </sheetViews>
  <sheetFormatPr defaultColWidth="9.140625" defaultRowHeight="36.75" customHeight="1"/>
  <cols>
    <col min="1" max="1" width="17.7109375" style="44" bestFit="1" customWidth="1"/>
    <col min="2" max="2" width="66.85546875" style="44" bestFit="1" customWidth="1"/>
    <col min="3" max="3" width="22.7109375" style="223" bestFit="1" customWidth="1"/>
    <col min="4" max="4" width="23.28515625" style="223" bestFit="1" customWidth="1"/>
    <col min="5" max="5" width="63.85546875" style="15" bestFit="1" customWidth="1"/>
    <col min="6" max="6" width="18.28515625" style="47" bestFit="1" customWidth="1"/>
    <col min="7" max="7" width="28.42578125" style="28" bestFit="1" customWidth="1"/>
    <col min="8" max="16384" width="9.140625" style="28"/>
  </cols>
  <sheetData>
    <row r="2" spans="1:6" ht="36.75" customHeight="1">
      <c r="A2" s="34"/>
      <c r="B2" s="34"/>
      <c r="C2" s="74"/>
      <c r="D2" s="74"/>
    </row>
    <row r="3" spans="1:6" ht="36.75" customHeight="1">
      <c r="A3" s="35" t="s">
        <v>4</v>
      </c>
      <c r="B3" s="36" t="s">
        <v>5</v>
      </c>
      <c r="C3" s="75" t="s">
        <v>6</v>
      </c>
      <c r="D3" s="75" t="s">
        <v>7</v>
      </c>
      <c r="E3" s="218" t="s">
        <v>879</v>
      </c>
      <c r="F3" s="219" t="s">
        <v>1097</v>
      </c>
    </row>
    <row r="4" spans="1:6" ht="36.75" hidden="1" customHeight="1">
      <c r="A4" s="32">
        <v>5850</v>
      </c>
      <c r="B4" s="33" t="s">
        <v>11</v>
      </c>
      <c r="C4" s="66">
        <v>1.35</v>
      </c>
      <c r="D4" s="66">
        <v>0.75</v>
      </c>
      <c r="E4" s="29" t="str">
        <f>"*"&amp;Table1[[#This Row],[Frame]]&amp;"*"</f>
        <v>*5850*</v>
      </c>
      <c r="F4" s="47" t="s">
        <v>1108</v>
      </c>
    </row>
    <row r="5" spans="1:6" ht="36.75" hidden="1" customHeight="1">
      <c r="A5" s="32">
        <v>5851</v>
      </c>
      <c r="B5" s="33" t="s">
        <v>12</v>
      </c>
      <c r="C5" s="66">
        <v>1.85</v>
      </c>
      <c r="D5" s="66">
        <v>1</v>
      </c>
      <c r="E5" s="29" t="str">
        <f>"*"&amp;Table1[[#This Row],[Frame]]&amp;"*"</f>
        <v>*5851*</v>
      </c>
      <c r="F5" s="47" t="s">
        <v>1108</v>
      </c>
    </row>
    <row r="6" spans="1:6" ht="36.75" hidden="1" customHeight="1">
      <c r="A6" s="32" t="s">
        <v>13</v>
      </c>
      <c r="B6" s="33" t="s">
        <v>14</v>
      </c>
      <c r="C6" s="66">
        <v>1.85</v>
      </c>
      <c r="D6" s="66">
        <v>2</v>
      </c>
      <c r="E6" s="29" t="str">
        <f>"*"&amp;Table1[[#This Row],[Frame]]&amp;"*"</f>
        <v>*6803D*</v>
      </c>
      <c r="F6" s="47" t="s">
        <v>1108</v>
      </c>
    </row>
    <row r="7" spans="1:6" ht="36.75" hidden="1" customHeight="1">
      <c r="A7" s="32">
        <v>2259</v>
      </c>
      <c r="B7" s="33" t="s">
        <v>802</v>
      </c>
      <c r="C7" s="66">
        <v>3.5</v>
      </c>
      <c r="D7" s="66">
        <v>2.5</v>
      </c>
      <c r="E7" s="29" t="str">
        <f>"*"&amp;Table1[[#This Row],[Frame]]&amp;"*"</f>
        <v>*2259*</v>
      </c>
      <c r="F7" s="47" t="s">
        <v>1107</v>
      </c>
    </row>
    <row r="8" spans="1:6" ht="36.75" hidden="1" customHeight="1">
      <c r="A8" s="32">
        <v>4649</v>
      </c>
      <c r="B8" s="33"/>
      <c r="C8" s="66">
        <v>2.75</v>
      </c>
      <c r="D8" s="66">
        <v>1.75</v>
      </c>
      <c r="E8" s="29" t="str">
        <f>"*"&amp;Table1[[#This Row],[Frame]]&amp;"*"</f>
        <v>*4649*</v>
      </c>
      <c r="F8" s="47" t="s">
        <v>1107</v>
      </c>
    </row>
    <row r="9" spans="1:6" ht="36.75" hidden="1" customHeight="1">
      <c r="A9" s="32">
        <v>4732</v>
      </c>
      <c r="B9" s="33" t="s">
        <v>8</v>
      </c>
      <c r="C9" s="66">
        <v>1.35</v>
      </c>
      <c r="D9" s="66">
        <v>1</v>
      </c>
      <c r="E9" s="29" t="str">
        <f>"*"&amp;Table1[[#This Row],[Frame]]&amp;"*"</f>
        <v>*4732*</v>
      </c>
      <c r="F9" s="47" t="s">
        <v>1107</v>
      </c>
    </row>
    <row r="10" spans="1:6" ht="36.75" hidden="1" customHeight="1">
      <c r="A10" s="32">
        <v>4733</v>
      </c>
      <c r="B10" s="33" t="s">
        <v>9</v>
      </c>
      <c r="C10" s="66">
        <v>1.35</v>
      </c>
      <c r="D10" s="66">
        <v>1</v>
      </c>
      <c r="E10" s="29" t="str">
        <f>"*"&amp;Table1[[#This Row],[Frame]]&amp;"*"</f>
        <v>*4733*</v>
      </c>
      <c r="F10" s="47" t="s">
        <v>1107</v>
      </c>
    </row>
    <row r="11" spans="1:6" ht="36.75" hidden="1" customHeight="1">
      <c r="A11" s="32">
        <v>4734</v>
      </c>
      <c r="B11" s="33" t="s">
        <v>10</v>
      </c>
      <c r="C11" s="66">
        <v>1.35</v>
      </c>
      <c r="D11" s="66">
        <v>1</v>
      </c>
      <c r="E11" s="29" t="str">
        <f>"*"&amp;Table1[[#This Row],[Frame]]&amp;"*"</f>
        <v>*4734*</v>
      </c>
      <c r="F11" s="47" t="s">
        <v>1107</v>
      </c>
    </row>
    <row r="12" spans="1:6" ht="36.75" hidden="1" customHeight="1">
      <c r="A12" s="32">
        <v>7208</v>
      </c>
      <c r="B12" s="33"/>
      <c r="C12" s="66">
        <v>2.5</v>
      </c>
      <c r="D12" s="66">
        <v>2</v>
      </c>
      <c r="E12" s="29" t="str">
        <f>"*"&amp;Table1[[#This Row],[Frame]]&amp;"*"</f>
        <v>*7208*</v>
      </c>
      <c r="F12" s="47" t="s">
        <v>1107</v>
      </c>
    </row>
    <row r="13" spans="1:6" ht="36.75" hidden="1" customHeight="1">
      <c r="A13" s="32">
        <v>14649</v>
      </c>
      <c r="B13" s="33"/>
      <c r="C13" s="66">
        <v>2.75</v>
      </c>
      <c r="D13" s="66">
        <v>2</v>
      </c>
      <c r="E13" s="29" t="str">
        <f>"*"&amp;Table1[[#This Row],[Frame]]&amp;"*"</f>
        <v>*14649*</v>
      </c>
      <c r="F13" s="47" t="s">
        <v>1107</v>
      </c>
    </row>
    <row r="14" spans="1:6" ht="36.75" hidden="1" customHeight="1">
      <c r="A14" s="32">
        <v>14988</v>
      </c>
      <c r="B14" s="33"/>
      <c r="C14" s="66">
        <v>3</v>
      </c>
      <c r="D14" s="66">
        <v>2</v>
      </c>
      <c r="E14" s="29" t="str">
        <f>"*"&amp;Table1[[#This Row],[Frame]]&amp;"*"</f>
        <v>*14988*</v>
      </c>
      <c r="F14" s="47" t="s">
        <v>1107</v>
      </c>
    </row>
    <row r="15" spans="1:6" ht="36.75" hidden="1" customHeight="1">
      <c r="A15" s="32">
        <v>15063</v>
      </c>
      <c r="B15" s="33"/>
      <c r="C15" s="66">
        <v>1.5</v>
      </c>
      <c r="D15" s="66">
        <v>2</v>
      </c>
      <c r="E15" s="29" t="str">
        <f>"*"&amp;Table1[[#This Row],[Frame]]&amp;"*"</f>
        <v>*15063*</v>
      </c>
      <c r="F15" s="47" t="s">
        <v>1107</v>
      </c>
    </row>
    <row r="16" spans="1:6" ht="36.75" hidden="1" customHeight="1">
      <c r="A16" s="32">
        <v>15226</v>
      </c>
      <c r="B16" s="33"/>
      <c r="C16" s="66">
        <v>3</v>
      </c>
      <c r="D16" s="66">
        <v>3</v>
      </c>
      <c r="E16" s="29" t="str">
        <f>"*"&amp;Table1[[#This Row],[Frame]]&amp;"*"</f>
        <v>*15226*</v>
      </c>
      <c r="F16" s="47" t="s">
        <v>1107</v>
      </c>
    </row>
    <row r="17" spans="1:6" ht="36.75" hidden="1" customHeight="1">
      <c r="A17" s="32">
        <v>17208</v>
      </c>
      <c r="B17" s="33"/>
      <c r="C17" s="66">
        <v>2.5</v>
      </c>
      <c r="D17" s="66">
        <v>2</v>
      </c>
      <c r="E17" s="29" t="str">
        <f>"*"&amp;Table1[[#This Row],[Frame]]&amp;"*"</f>
        <v>*17208*</v>
      </c>
      <c r="F17" s="47" t="s">
        <v>1107</v>
      </c>
    </row>
    <row r="18" spans="1:6" ht="36.75" customHeight="1">
      <c r="A18" s="302">
        <v>2099</v>
      </c>
      <c r="B18" s="33" t="s">
        <v>1183</v>
      </c>
      <c r="C18" s="66">
        <v>4.5</v>
      </c>
      <c r="D18" s="66">
        <v>4.2</v>
      </c>
      <c r="E18" s="29" t="str">
        <f>"*"&amp;Table1[[#This Row],[Frame]]&amp;"*"</f>
        <v>*2099*</v>
      </c>
      <c r="F18" s="47" t="s">
        <v>1107</v>
      </c>
    </row>
    <row r="19" spans="1:6" ht="36.75" customHeight="1">
      <c r="A19" s="302">
        <v>14266</v>
      </c>
      <c r="B19" s="33" t="s">
        <v>1184</v>
      </c>
      <c r="C19" s="66">
        <v>4.5</v>
      </c>
      <c r="D19" s="66">
        <v>3.8</v>
      </c>
      <c r="E19" s="29" t="str">
        <f>"*"&amp;Table1[[#This Row],[Frame]]&amp;"*"</f>
        <v>*14266*</v>
      </c>
    </row>
    <row r="20" spans="1:6" ht="36.75" customHeight="1">
      <c r="A20" s="32">
        <v>58396</v>
      </c>
      <c r="B20" s="33" t="s">
        <v>1183</v>
      </c>
      <c r="C20" s="66">
        <v>3.25</v>
      </c>
      <c r="D20" s="66">
        <v>2.75</v>
      </c>
      <c r="E20" s="29" t="str">
        <f>"*"&amp;Table1[[#This Row],[Frame]]&amp;"*"</f>
        <v>*58396*</v>
      </c>
    </row>
    <row r="21" spans="1:6" ht="36.75" customHeight="1">
      <c r="A21" s="304">
        <v>71906</v>
      </c>
      <c r="B21" s="321" t="s">
        <v>1736</v>
      </c>
      <c r="C21" s="333">
        <v>3.75</v>
      </c>
      <c r="D21" s="333">
        <v>4.5</v>
      </c>
      <c r="E21" s="349" t="str">
        <f>"*"&amp;Table1[[#This Row],[Frame]]&amp;"*"</f>
        <v>*71906*</v>
      </c>
      <c r="F21" s="235"/>
    </row>
    <row r="22" spans="1:6" ht="36.75" customHeight="1">
      <c r="A22" s="32" t="s">
        <v>1259</v>
      </c>
      <c r="B22" s="33"/>
      <c r="C22" s="66">
        <v>4.5</v>
      </c>
      <c r="D22" s="66">
        <v>3.25</v>
      </c>
      <c r="E22" s="29" t="str">
        <f>"*"&amp;Table1[[#This Row],[Frame]]&amp;"*"</f>
        <v>*1460-6*</v>
      </c>
    </row>
    <row r="23" spans="1:6" ht="36.75" customHeight="1">
      <c r="A23" s="32" t="s">
        <v>1252</v>
      </c>
      <c r="B23" s="33" t="s">
        <v>1254</v>
      </c>
      <c r="C23" s="66">
        <v>3</v>
      </c>
      <c r="D23" s="66">
        <v>3.25</v>
      </c>
      <c r="E23" s="29" t="str">
        <f>"*"&amp;Table1[[#This Row],[Frame]]&amp;"*"</f>
        <v>*2400-6*</v>
      </c>
    </row>
    <row r="24" spans="1:6" ht="36.75" customHeight="1">
      <c r="A24" s="32" t="s">
        <v>1488</v>
      </c>
      <c r="B24" s="33" t="s">
        <v>1489</v>
      </c>
      <c r="C24" s="66">
        <v>2.5</v>
      </c>
      <c r="D24" s="66">
        <v>0</v>
      </c>
      <c r="E24" s="29" t="str">
        <f>"*"&amp;Table1[[#This Row],[Frame]]&amp;"*"</f>
        <v>*2884B43B*</v>
      </c>
    </row>
    <row r="25" spans="1:6" ht="36.75" customHeight="1">
      <c r="A25" s="32" t="s">
        <v>1483</v>
      </c>
      <c r="B25" s="33" t="s">
        <v>1494</v>
      </c>
      <c r="C25" s="66">
        <v>3.75</v>
      </c>
      <c r="D25" s="66">
        <v>0.5</v>
      </c>
      <c r="E25" s="29" t="str">
        <f>"*"&amp;Table1[[#This Row],[Frame]]&amp;"*"</f>
        <v>*2884B5148B*</v>
      </c>
    </row>
    <row r="26" spans="1:6" ht="36.75" customHeight="1">
      <c r="A26" s="32" t="s">
        <v>1492</v>
      </c>
      <c r="B26" s="33" t="s">
        <v>1493</v>
      </c>
      <c r="C26" s="66">
        <v>3.75</v>
      </c>
      <c r="D26" s="66">
        <v>0.5</v>
      </c>
      <c r="E26" s="29" t="str">
        <f>"*"&amp;Table1[[#This Row],[Frame]]&amp;"*"</f>
        <v>*2884B5260ALA*</v>
      </c>
    </row>
    <row r="27" spans="1:6" ht="36.75" customHeight="1">
      <c r="A27" s="32" t="s">
        <v>1492</v>
      </c>
      <c r="B27" s="33" t="s">
        <v>1493</v>
      </c>
      <c r="C27" s="66">
        <v>3.75</v>
      </c>
      <c r="D27" s="66">
        <v>0.5</v>
      </c>
      <c r="E27" s="29" t="str">
        <f>"*"&amp;Table1[[#This Row],[Frame]]&amp;"*"</f>
        <v>*2884B5260ALA*</v>
      </c>
    </row>
    <row r="28" spans="1:6" ht="36.75" customHeight="1">
      <c r="A28" s="32" t="s">
        <v>1490</v>
      </c>
      <c r="B28" s="33" t="s">
        <v>1491</v>
      </c>
      <c r="C28" s="66">
        <v>3.75</v>
      </c>
      <c r="D28" s="66">
        <v>0.5</v>
      </c>
      <c r="E28" s="29" t="str">
        <f>"*"&amp;Table1[[#This Row],[Frame]]&amp;"*"</f>
        <v>*2884B5260ARA*</v>
      </c>
    </row>
    <row r="29" spans="1:6" ht="36.75" customHeight="1">
      <c r="A29" s="32" t="s">
        <v>1531</v>
      </c>
      <c r="B29" s="33" t="s">
        <v>1493</v>
      </c>
      <c r="C29" s="66">
        <v>3.75</v>
      </c>
      <c r="D29" s="66">
        <v>0.5</v>
      </c>
      <c r="E29" s="29" t="str">
        <f>"*"&amp;Table1[[#This Row],[Frame]]&amp;"*"</f>
        <v>*2884B526ALA*</v>
      </c>
    </row>
    <row r="30" spans="1:6" ht="36.75" customHeight="1">
      <c r="A30" s="32" t="s">
        <v>1532</v>
      </c>
      <c r="B30" s="33" t="s">
        <v>1491</v>
      </c>
      <c r="C30" s="66">
        <v>3.75</v>
      </c>
      <c r="D30" s="66">
        <v>0.5</v>
      </c>
      <c r="E30" s="29" t="str">
        <f>"*"&amp;Table1[[#This Row],[Frame]]&amp;"*"</f>
        <v>*2884B526ARA*</v>
      </c>
    </row>
    <row r="31" spans="1:6" ht="36.75" customHeight="1">
      <c r="A31" s="32" t="s">
        <v>1485</v>
      </c>
      <c r="B31" s="33" t="s">
        <v>1487</v>
      </c>
      <c r="C31" s="66">
        <v>3</v>
      </c>
      <c r="D31" s="66">
        <v>0.5</v>
      </c>
      <c r="E31" s="29" t="str">
        <f>"*"&amp;Table1[[#This Row],[Frame]]&amp;"*"</f>
        <v>*2884B52ALB*</v>
      </c>
    </row>
    <row r="32" spans="1:6" ht="36.75" customHeight="1">
      <c r="A32" s="32" t="s">
        <v>1486</v>
      </c>
      <c r="B32" s="33" t="s">
        <v>1487</v>
      </c>
      <c r="C32" s="66">
        <v>3</v>
      </c>
      <c r="D32" s="66">
        <v>0</v>
      </c>
      <c r="E32" s="29" t="str">
        <f>"*"&amp;Table1[[#This Row],[Frame]]&amp;"*"</f>
        <v>*2884B52ARB*</v>
      </c>
    </row>
    <row r="33" spans="1:6" ht="36.75" customHeight="1">
      <c r="A33" s="304" t="s">
        <v>1754</v>
      </c>
      <c r="B33" s="321" t="s">
        <v>1736</v>
      </c>
      <c r="C33" s="333">
        <v>3.75</v>
      </c>
      <c r="D33" s="333">
        <v>4.5</v>
      </c>
      <c r="E33" s="349" t="str">
        <f>"*"&amp;Table1[[#This Row],[Frame]]&amp;"*"</f>
        <v>*3180-06*</v>
      </c>
      <c r="F33" s="235"/>
    </row>
    <row r="34" spans="1:6" ht="36.75" customHeight="1">
      <c r="A34" s="32" t="s">
        <v>728</v>
      </c>
      <c r="B34" s="33" t="s">
        <v>732</v>
      </c>
      <c r="C34" s="66">
        <v>3.5</v>
      </c>
      <c r="D34" s="66">
        <v>0.5</v>
      </c>
      <c r="E34" s="29" t="str">
        <f>"*"&amp;Table1[[#This Row],[Frame]]&amp;"*"</f>
        <v>*604D*</v>
      </c>
      <c r="F34" s="47" t="s">
        <v>1101</v>
      </c>
    </row>
    <row r="35" spans="1:6" ht="36.75" customHeight="1">
      <c r="A35" s="32" t="s">
        <v>1128</v>
      </c>
      <c r="B35" s="33" t="s">
        <v>1129</v>
      </c>
      <c r="C35" s="66">
        <v>3</v>
      </c>
      <c r="D35" s="66">
        <v>0.5</v>
      </c>
      <c r="E35" s="29" t="str">
        <f>"*"&amp;Table1[[#This Row],[Frame]]&amp;"*"</f>
        <v>*604E*</v>
      </c>
      <c r="F35" s="47" t="s">
        <v>1101</v>
      </c>
    </row>
    <row r="36" spans="1:6" ht="36.75" customHeight="1">
      <c r="A36" s="32" t="s">
        <v>1382</v>
      </c>
      <c r="B36" s="33" t="s">
        <v>1357</v>
      </c>
      <c r="C36" s="66">
        <v>3.5</v>
      </c>
      <c r="D36" s="66">
        <v>0</v>
      </c>
      <c r="E36" s="29" t="str">
        <f>"*"&amp;Table1[[#This Row],[Frame]]&amp;"*"</f>
        <v>*8978-3*</v>
      </c>
    </row>
    <row r="37" spans="1:6" ht="36.75" customHeight="1">
      <c r="A37" s="303" t="s">
        <v>1175</v>
      </c>
      <c r="B37" s="320" t="s">
        <v>1176</v>
      </c>
      <c r="C37" s="332">
        <v>2.75</v>
      </c>
      <c r="D37" s="332">
        <v>2</v>
      </c>
      <c r="E37" s="29" t="str">
        <f>"*"&amp;Table1[[#This Row],[Frame]]&amp;"*"</f>
        <v>*D3018-04*</v>
      </c>
      <c r="F37" s="47" t="s">
        <v>1098</v>
      </c>
    </row>
    <row r="38" spans="1:6" ht="36.75" customHeight="1">
      <c r="A38" s="32" t="s">
        <v>1066</v>
      </c>
      <c r="B38" s="33" t="s">
        <v>1069</v>
      </c>
      <c r="C38" s="66">
        <v>4.0999999999999996</v>
      </c>
      <c r="D38" s="66">
        <v>4.05</v>
      </c>
      <c r="E38" s="29" t="str">
        <f>"*"&amp;Table1[[#This Row],[Frame]]&amp;"*"</f>
        <v>*DOTTIE*</v>
      </c>
      <c r="F38" s="47" t="s">
        <v>1100</v>
      </c>
    </row>
    <row r="39" spans="1:6" ht="36.75" customHeight="1">
      <c r="A39" s="32" t="s">
        <v>1340</v>
      </c>
      <c r="B39" s="33" t="s">
        <v>1344</v>
      </c>
      <c r="C39" s="66">
        <v>2.5</v>
      </c>
      <c r="D39" s="66">
        <v>2</v>
      </c>
      <c r="E39" s="29" t="str">
        <f>"*"&amp;Table1[[#This Row],[Frame]]&amp;"*"</f>
        <v>*F002-04*</v>
      </c>
    </row>
    <row r="40" spans="1:6" ht="36.75" customHeight="1">
      <c r="A40" s="32" t="s">
        <v>1616</v>
      </c>
      <c r="B40" s="33" t="s">
        <v>1629</v>
      </c>
      <c r="C40" s="66">
        <v>1</v>
      </c>
      <c r="D40" s="66">
        <v>0.5</v>
      </c>
      <c r="E40" s="29" t="str">
        <f>"*"&amp;Table1[[#This Row],[Frame]]&amp;"*"</f>
        <v>*F003-09*</v>
      </c>
    </row>
    <row r="41" spans="1:6" ht="36.75" customHeight="1">
      <c r="A41" s="32" t="s">
        <v>1416</v>
      </c>
      <c r="B41" s="33" t="s">
        <v>1215</v>
      </c>
      <c r="C41" s="66">
        <v>3.5</v>
      </c>
      <c r="D41" s="66">
        <v>2.5</v>
      </c>
      <c r="E41" s="29" t="str">
        <f>"*"&amp;Table1[[#This Row],[Frame]]&amp;"*"</f>
        <v>*F010-04*</v>
      </c>
    </row>
    <row r="42" spans="1:6" ht="36.75" customHeight="1">
      <c r="A42" s="32" t="s">
        <v>1199</v>
      </c>
      <c r="B42" s="33" t="s">
        <v>1200</v>
      </c>
      <c r="C42" s="66">
        <v>1</v>
      </c>
      <c r="D42" s="66">
        <v>0.5</v>
      </c>
      <c r="E42" s="29" t="str">
        <f>"*"&amp;Table1[[#This Row],[Frame]]&amp;"*"</f>
        <v>*F011-09*</v>
      </c>
    </row>
    <row r="43" spans="1:6" ht="36.75" customHeight="1">
      <c r="A43" s="32" t="s">
        <v>1526</v>
      </c>
      <c r="B43" s="33" t="s">
        <v>1351</v>
      </c>
      <c r="C43" s="66">
        <v>1</v>
      </c>
      <c r="D43" s="66">
        <v>0</v>
      </c>
      <c r="E43" s="29" t="str">
        <f>"*"&amp;Table1[[#This Row],[Frame]]&amp;"*"</f>
        <v>*F012-09*</v>
      </c>
    </row>
    <row r="44" spans="1:6" ht="36.75" customHeight="1">
      <c r="A44" s="32" t="s">
        <v>1314</v>
      </c>
      <c r="B44" s="33" t="s">
        <v>1328</v>
      </c>
      <c r="C44" s="66">
        <v>3.5</v>
      </c>
      <c r="D44" s="66">
        <v>2.5</v>
      </c>
      <c r="E44" s="29" t="str">
        <f>"*"&amp;Table1[[#This Row],[Frame]]&amp;"*"</f>
        <v>*F014-04*</v>
      </c>
    </row>
    <row r="45" spans="1:6" ht="36.75" customHeight="1">
      <c r="A45" s="32" t="s">
        <v>1284</v>
      </c>
      <c r="B45" s="33" t="s">
        <v>1267</v>
      </c>
      <c r="C45" s="66">
        <v>1</v>
      </c>
      <c r="D45" s="66">
        <v>0.75</v>
      </c>
      <c r="E45" s="29" t="str">
        <f>"*"&amp;Table1[[#This Row],[Frame]]&amp;"*"</f>
        <v>*F015-09*</v>
      </c>
    </row>
    <row r="46" spans="1:6" ht="36.75" customHeight="1">
      <c r="A46" s="32" t="s">
        <v>1208</v>
      </c>
      <c r="B46" s="33" t="s">
        <v>1209</v>
      </c>
      <c r="C46" s="66">
        <v>2</v>
      </c>
      <c r="D46" s="66">
        <v>1.25</v>
      </c>
      <c r="E46" s="29" t="str">
        <f>"*"&amp;Table1[[#This Row],[Frame]]&amp;"*"</f>
        <v>*F022-09*</v>
      </c>
    </row>
    <row r="47" spans="1:6" ht="36.75" customHeight="1">
      <c r="A47" s="32" t="s">
        <v>1449</v>
      </c>
      <c r="B47" s="33" t="s">
        <v>1447</v>
      </c>
      <c r="C47" s="66">
        <v>2</v>
      </c>
      <c r="D47" s="66">
        <v>2.5</v>
      </c>
      <c r="E47" s="29" t="str">
        <f>"*"&amp;Table1[[#This Row],[Frame]]&amp;"*"</f>
        <v>*F032-04*</v>
      </c>
    </row>
    <row r="48" spans="1:6" ht="36.75" customHeight="1">
      <c r="A48" s="32" t="s">
        <v>1448</v>
      </c>
      <c r="B48" s="33" t="s">
        <v>1447</v>
      </c>
      <c r="C48" s="66">
        <v>2</v>
      </c>
      <c r="D48" s="66">
        <v>2.5</v>
      </c>
      <c r="E48" s="29" t="str">
        <f>"*"&amp;Table1[[#This Row],[Frame]]&amp;"*"</f>
        <v>*F033-04*</v>
      </c>
    </row>
    <row r="49" spans="1:6" ht="36.75" customHeight="1">
      <c r="A49" s="32" t="s">
        <v>1446</v>
      </c>
      <c r="B49" s="33" t="s">
        <v>1447</v>
      </c>
      <c r="C49" s="66">
        <v>2</v>
      </c>
      <c r="D49" s="66">
        <v>2.5</v>
      </c>
      <c r="E49" s="29" t="str">
        <f>"*"&amp;Table1[[#This Row],[Frame]]&amp;"*"</f>
        <v>*F035-04*</v>
      </c>
    </row>
    <row r="50" spans="1:6" ht="36.75" customHeight="1">
      <c r="A50" s="32" t="s">
        <v>1788</v>
      </c>
      <c r="B50" s="33"/>
      <c r="C50" s="66"/>
      <c r="D50" s="66">
        <v>0.75</v>
      </c>
      <c r="E50" s="29" t="str">
        <f>"*"&amp;Table1[[#This Row],[Frame]]&amp;"*"</f>
        <v>*F041-04*</v>
      </c>
    </row>
    <row r="51" spans="1:6" ht="36.75" customHeight="1">
      <c r="A51" s="32" t="s">
        <v>1670</v>
      </c>
      <c r="B51" s="33" t="s">
        <v>1478</v>
      </c>
      <c r="C51" s="66">
        <v>2</v>
      </c>
      <c r="D51" s="66">
        <v>2.5</v>
      </c>
      <c r="E51" s="29" t="str">
        <f>"*"&amp;Table1[[#This Row],[Frame]]&amp;"*"</f>
        <v>*F044-04*</v>
      </c>
    </row>
    <row r="52" spans="1:6" ht="36.75" customHeight="1">
      <c r="A52" s="32" t="s">
        <v>15</v>
      </c>
      <c r="B52" s="33" t="s">
        <v>16</v>
      </c>
      <c r="C52" s="66">
        <v>3.7</v>
      </c>
      <c r="D52" s="66">
        <v>2.5</v>
      </c>
      <c r="E52" s="29" t="str">
        <f>"*"&amp;Table1[[#This Row],[Frame]]&amp;"*"</f>
        <v>*F115A*</v>
      </c>
      <c r="F52" s="47" t="s">
        <v>1098</v>
      </c>
    </row>
    <row r="53" spans="1:6" ht="36.75" customHeight="1">
      <c r="A53" s="32" t="s">
        <v>17</v>
      </c>
      <c r="B53" s="33" t="s">
        <v>18</v>
      </c>
      <c r="C53" s="66">
        <v>3.2</v>
      </c>
      <c r="D53" s="66">
        <v>2</v>
      </c>
      <c r="E53" s="29" t="str">
        <f>"*"&amp;Table1[[#This Row],[Frame]]&amp;"*"</f>
        <v>*F115D*</v>
      </c>
      <c r="F53" s="47" t="s">
        <v>1098</v>
      </c>
    </row>
    <row r="54" spans="1:6" ht="36.75" customHeight="1">
      <c r="A54" s="32" t="s">
        <v>668</v>
      </c>
      <c r="B54" s="33" t="s">
        <v>669</v>
      </c>
      <c r="C54" s="66">
        <v>0.75</v>
      </c>
      <c r="D54" s="66">
        <v>0.5</v>
      </c>
      <c r="E54" s="29" t="str">
        <f>"*"&amp;Table1[[#This Row],[Frame]]&amp;"*"</f>
        <v>*F115J*</v>
      </c>
      <c r="F54" s="47" t="s">
        <v>1098</v>
      </c>
    </row>
    <row r="55" spans="1:6" ht="36.75" customHeight="1">
      <c r="A55" s="32" t="s">
        <v>19</v>
      </c>
      <c r="B55" s="33" t="s">
        <v>20</v>
      </c>
      <c r="C55" s="66">
        <v>2.9</v>
      </c>
      <c r="D55" s="66">
        <v>1.75</v>
      </c>
      <c r="E55" s="29" t="str">
        <f>"*"&amp;Table1[[#This Row],[Frame]]&amp;"*"</f>
        <v>*F115S*</v>
      </c>
      <c r="F55" s="47" t="s">
        <v>1098</v>
      </c>
    </row>
    <row r="56" spans="1:6" ht="36.75" customHeight="1">
      <c r="A56" s="32" t="s">
        <v>1189</v>
      </c>
      <c r="B56" s="33" t="s">
        <v>1190</v>
      </c>
      <c r="C56" s="66">
        <v>1</v>
      </c>
      <c r="D56" s="66">
        <v>0.5</v>
      </c>
      <c r="E56" s="29" t="str">
        <f>"*"&amp;Table1[[#This Row],[Frame]]&amp;"*"</f>
        <v>*F3004-09*</v>
      </c>
    </row>
    <row r="57" spans="1:6" ht="36.75" customHeight="1">
      <c r="A57" s="32" t="s">
        <v>1198</v>
      </c>
      <c r="B57" s="33" t="s">
        <v>1200</v>
      </c>
      <c r="C57" s="66">
        <v>1</v>
      </c>
      <c r="D57" s="66">
        <v>0.5</v>
      </c>
      <c r="E57" s="29" t="str">
        <f>"*"&amp;Table1[[#This Row],[Frame]]&amp;"*"</f>
        <v>*F3011-09*</v>
      </c>
    </row>
    <row r="58" spans="1:6" ht="36.75" customHeight="1">
      <c r="A58" s="32" t="s">
        <v>1350</v>
      </c>
      <c r="B58" s="33" t="s">
        <v>1351</v>
      </c>
      <c r="C58" s="66">
        <v>1</v>
      </c>
      <c r="D58" s="66">
        <v>0</v>
      </c>
      <c r="E58" s="29" t="str">
        <f>"*"&amp;Table1[[#This Row],[Frame]]&amp;"*"</f>
        <v>*F3012-09*</v>
      </c>
    </row>
    <row r="59" spans="1:6" ht="36.75" customHeight="1">
      <c r="A59" s="37" t="s">
        <v>1186</v>
      </c>
      <c r="B59" s="33" t="s">
        <v>1176</v>
      </c>
      <c r="C59" s="66">
        <v>2.75</v>
      </c>
      <c r="D59" s="66">
        <v>2</v>
      </c>
      <c r="E59" s="29" t="str">
        <f>"*"&amp;Table1[[#This Row],[Frame]]&amp;"*"</f>
        <v>*F3018-04*</v>
      </c>
    </row>
    <row r="60" spans="1:6" ht="36.75" customHeight="1">
      <c r="A60" s="32" t="s">
        <v>1300</v>
      </c>
      <c r="B60" s="33" t="s">
        <v>1304</v>
      </c>
      <c r="C60" s="66">
        <v>2.5</v>
      </c>
      <c r="D60" s="66">
        <v>1.75</v>
      </c>
      <c r="E60" s="29" t="str">
        <f>"*"&amp;Table1[[#This Row],[Frame]]&amp;"*"</f>
        <v>*F512-01*</v>
      </c>
    </row>
    <row r="61" spans="1:6" ht="36.75" customHeight="1">
      <c r="A61" s="32" t="s">
        <v>1302</v>
      </c>
      <c r="B61" s="33" t="s">
        <v>1305</v>
      </c>
      <c r="C61" s="66">
        <v>2.65</v>
      </c>
      <c r="D61" s="66">
        <v>2</v>
      </c>
      <c r="E61" s="29" t="str">
        <f>"*"&amp;Table1[[#This Row],[Frame]]&amp;"*"</f>
        <v>*F512-02*</v>
      </c>
    </row>
    <row r="62" spans="1:6" ht="36.75" customHeight="1">
      <c r="A62" s="32" t="s">
        <v>1301</v>
      </c>
      <c r="B62" s="33" t="s">
        <v>1306</v>
      </c>
      <c r="C62" s="66">
        <v>3</v>
      </c>
      <c r="D62" s="66">
        <v>2.25</v>
      </c>
      <c r="E62" s="29" t="str">
        <f>"*"&amp;Table1[[#This Row],[Frame]]&amp;"*"</f>
        <v>*F512-03*</v>
      </c>
    </row>
    <row r="63" spans="1:6" ht="36.75" customHeight="1">
      <c r="A63" s="32" t="s">
        <v>566</v>
      </c>
      <c r="B63" s="33" t="s">
        <v>569</v>
      </c>
      <c r="C63" s="66">
        <v>3.85</v>
      </c>
      <c r="D63" s="66">
        <v>2.25</v>
      </c>
      <c r="E63" s="29" t="str">
        <f>"*"&amp;Table1[[#This Row],[Frame]]&amp;"*"</f>
        <v>*F512A*</v>
      </c>
      <c r="F63" s="47" t="s">
        <v>1098</v>
      </c>
    </row>
    <row r="64" spans="1:6" ht="36.75" customHeight="1">
      <c r="A64" s="220" t="s">
        <v>1121</v>
      </c>
      <c r="B64" s="221" t="s">
        <v>1122</v>
      </c>
      <c r="C64" s="222">
        <v>3.25</v>
      </c>
      <c r="D64" s="222">
        <v>2.5</v>
      </c>
      <c r="E64" s="29" t="str">
        <f>"*"&amp;Table1[[#This Row],[Frame]]&amp;"*"</f>
        <v>*F513-02*</v>
      </c>
      <c r="F64" s="47" t="s">
        <v>1098</v>
      </c>
    </row>
    <row r="65" spans="1:6" ht="36.75" customHeight="1">
      <c r="A65" s="32" t="s">
        <v>1201</v>
      </c>
      <c r="B65" s="33" t="s">
        <v>1202</v>
      </c>
      <c r="C65" s="66">
        <v>1</v>
      </c>
      <c r="D65" s="66">
        <v>0.5</v>
      </c>
      <c r="E65" s="29" t="str">
        <f>"*"&amp;Table1[[#This Row],[Frame]]&amp;"*"</f>
        <v>*F513-09*</v>
      </c>
    </row>
    <row r="66" spans="1:6" ht="36.75" customHeight="1">
      <c r="A66" s="32" t="s">
        <v>1338</v>
      </c>
      <c r="B66" s="33"/>
      <c r="C66" s="66"/>
      <c r="D66" s="66"/>
      <c r="E66" s="29" t="str">
        <f>"*"&amp;Table1[[#This Row],[Frame]]&amp;"*"</f>
        <v>*F513-49*</v>
      </c>
    </row>
    <row r="67" spans="1:6" ht="36.75" customHeight="1">
      <c r="A67" s="307" t="s">
        <v>1338</v>
      </c>
      <c r="B67" s="323" t="s">
        <v>1202</v>
      </c>
      <c r="C67" s="335">
        <v>1</v>
      </c>
      <c r="D67" s="335">
        <v>0.5</v>
      </c>
      <c r="E67" s="351" t="str">
        <f>"*"&amp;Table1[[#This Row],[Frame]]&amp;"*"</f>
        <v>*F513-49*</v>
      </c>
      <c r="F67" s="229"/>
    </row>
    <row r="68" spans="1:6" ht="36.75" customHeight="1">
      <c r="A68" s="32" t="s">
        <v>1004</v>
      </c>
      <c r="B68" s="33" t="s">
        <v>1005</v>
      </c>
      <c r="C68" s="66">
        <v>1.1499999999999999</v>
      </c>
      <c r="D68" s="66">
        <v>0.5</v>
      </c>
      <c r="E68" s="29" t="str">
        <f>"*"&amp;Table1[[#This Row],[Frame]]&amp;"*"</f>
        <v>*F516-09*</v>
      </c>
      <c r="F68" s="47" t="s">
        <v>1098</v>
      </c>
    </row>
    <row r="69" spans="1:6" ht="36.75" customHeight="1">
      <c r="A69" s="37" t="s">
        <v>866</v>
      </c>
      <c r="B69" s="33" t="s">
        <v>873</v>
      </c>
      <c r="C69" s="66">
        <v>3.75</v>
      </c>
      <c r="D69" s="66">
        <v>2</v>
      </c>
      <c r="E69" s="29" t="str">
        <f>"*"&amp;Table1[[#This Row],[Frame]]&amp;"*"</f>
        <v>*F516A*</v>
      </c>
      <c r="F69" s="47" t="s">
        <v>1098</v>
      </c>
    </row>
    <row r="70" spans="1:6" ht="36.75" customHeight="1">
      <c r="A70" s="37" t="s">
        <v>871</v>
      </c>
      <c r="B70" s="33" t="s">
        <v>872</v>
      </c>
      <c r="C70" s="66">
        <v>3.5</v>
      </c>
      <c r="D70" s="66">
        <v>1.75</v>
      </c>
      <c r="E70" s="29" t="str">
        <f>"*"&amp;Table1[[#This Row],[Frame]]&amp;"*"</f>
        <v>*F516D*</v>
      </c>
      <c r="F70" s="47" t="s">
        <v>1098</v>
      </c>
    </row>
    <row r="71" spans="1:6" ht="36.75" customHeight="1">
      <c r="A71" s="37" t="s">
        <v>869</v>
      </c>
      <c r="B71" s="33" t="s">
        <v>874</v>
      </c>
      <c r="C71" s="66">
        <v>1.1499999999999999</v>
      </c>
      <c r="D71" s="66">
        <v>0.5</v>
      </c>
      <c r="E71" s="29" t="str">
        <f>"*"&amp;Table1[[#This Row],[Frame]]&amp;"*"</f>
        <v>*F516J*</v>
      </c>
      <c r="F71" s="47" t="s">
        <v>1098</v>
      </c>
    </row>
    <row r="72" spans="1:6" ht="36.75" customHeight="1">
      <c r="A72" s="37" t="s">
        <v>867</v>
      </c>
      <c r="B72" s="33" t="s">
        <v>870</v>
      </c>
      <c r="C72" s="66">
        <v>3.25</v>
      </c>
      <c r="D72" s="66">
        <v>1.75</v>
      </c>
      <c r="E72" s="29" t="str">
        <f>"*"&amp;Table1[[#This Row],[Frame]]&amp;"*"</f>
        <v>*F516S*</v>
      </c>
      <c r="F72" s="47" t="s">
        <v>1098</v>
      </c>
    </row>
    <row r="73" spans="1:6" ht="36.75" customHeight="1">
      <c r="A73" s="32" t="s">
        <v>1028</v>
      </c>
      <c r="B73" s="33" t="s">
        <v>1030</v>
      </c>
      <c r="C73" s="66">
        <v>2.5</v>
      </c>
      <c r="D73" s="66">
        <v>1.75</v>
      </c>
      <c r="E73" s="29" t="str">
        <f>"*"&amp;Table1[[#This Row],[Frame]]&amp;"*"</f>
        <v>*F517-01*</v>
      </c>
      <c r="F73" s="47" t="s">
        <v>1098</v>
      </c>
    </row>
    <row r="74" spans="1:6" ht="36.75" customHeight="1">
      <c r="A74" s="303" t="s">
        <v>1144</v>
      </c>
      <c r="B74" s="320" t="s">
        <v>1123</v>
      </c>
      <c r="C74" s="332">
        <v>4.75</v>
      </c>
      <c r="D74" s="332">
        <v>3.25</v>
      </c>
      <c r="E74" s="29" t="str">
        <f>"*"&amp;Table1[[#This Row],[Frame]]&amp;"*"</f>
        <v>*F517-013*</v>
      </c>
      <c r="F74" s="47" t="s">
        <v>1098</v>
      </c>
    </row>
    <row r="75" spans="1:6" ht="36.75" customHeight="1">
      <c r="A75" s="32" t="s">
        <v>1381</v>
      </c>
      <c r="B75" s="33" t="s">
        <v>1385</v>
      </c>
      <c r="C75" s="66">
        <v>3.1500000000000004</v>
      </c>
      <c r="D75" s="66">
        <v>2</v>
      </c>
      <c r="E75" s="29" t="str">
        <f>"*"&amp;Table1[[#This Row],[Frame]]&amp;"*"</f>
        <v>*F517-01L*</v>
      </c>
    </row>
    <row r="76" spans="1:6" ht="36.75" customHeight="1">
      <c r="A76" s="32" t="s">
        <v>1380</v>
      </c>
      <c r="B76" s="33" t="s">
        <v>1385</v>
      </c>
      <c r="C76" s="66">
        <v>3.1500000000000004</v>
      </c>
      <c r="D76" s="66">
        <v>2</v>
      </c>
      <c r="E76" s="29" t="str">
        <f>"*"&amp;Table1[[#This Row],[Frame]]&amp;"*"</f>
        <v>*F517-01R*</v>
      </c>
    </row>
    <row r="77" spans="1:6" ht="36.75" customHeight="1">
      <c r="A77" s="32" t="s">
        <v>1029</v>
      </c>
      <c r="B77" s="33" t="s">
        <v>1037</v>
      </c>
      <c r="C77" s="66">
        <v>2.65</v>
      </c>
      <c r="D77" s="66">
        <v>2</v>
      </c>
      <c r="E77" s="29" t="str">
        <f>"*"&amp;Table1[[#This Row],[Frame]]&amp;"*"</f>
        <v>*F517-02*</v>
      </c>
      <c r="F77" s="47" t="s">
        <v>1098</v>
      </c>
    </row>
    <row r="78" spans="1:6" ht="36.75" customHeight="1">
      <c r="A78" s="32" t="s">
        <v>1036</v>
      </c>
      <c r="B78" s="33" t="s">
        <v>1032</v>
      </c>
      <c r="C78" s="66">
        <v>3</v>
      </c>
      <c r="D78" s="66">
        <v>2.25</v>
      </c>
      <c r="E78" s="29" t="str">
        <f>"*"&amp;Table1[[#This Row],[Frame]]&amp;"*"</f>
        <v>*F517-03*</v>
      </c>
      <c r="F78" s="47" t="s">
        <v>1098</v>
      </c>
    </row>
    <row r="79" spans="1:6" ht="36.75" customHeight="1">
      <c r="A79" s="220" t="s">
        <v>1162</v>
      </c>
      <c r="B79" s="221" t="s">
        <v>1114</v>
      </c>
      <c r="C79" s="222">
        <v>3.7</v>
      </c>
      <c r="D79" s="222">
        <v>3</v>
      </c>
      <c r="E79" s="29" t="str">
        <f>"*"&amp;Table1[[#This Row],[Frame]]&amp;"*"</f>
        <v>*F517-03L*</v>
      </c>
      <c r="F79" s="47" t="s">
        <v>1098</v>
      </c>
    </row>
    <row r="80" spans="1:6" ht="36.75" customHeight="1">
      <c r="A80" s="220" t="s">
        <v>1113</v>
      </c>
      <c r="B80" s="221" t="s">
        <v>1114</v>
      </c>
      <c r="C80" s="222">
        <v>3.7</v>
      </c>
      <c r="D80" s="222">
        <v>3</v>
      </c>
      <c r="E80" s="29" t="str">
        <f>"*"&amp;Table1[[#This Row],[Frame]]&amp;"*"</f>
        <v>*F517-03r*</v>
      </c>
      <c r="F80" s="47" t="s">
        <v>1098</v>
      </c>
    </row>
    <row r="81" spans="1:6" ht="36.75" customHeight="1">
      <c r="A81" s="32" t="s">
        <v>1188</v>
      </c>
      <c r="B81" s="33" t="s">
        <v>1191</v>
      </c>
      <c r="C81" s="66">
        <v>3.1500000000000004</v>
      </c>
      <c r="D81" s="66">
        <v>2.25</v>
      </c>
      <c r="E81" s="29" t="str">
        <f>"*"&amp;Table1[[#This Row],[Frame]]&amp;"*"</f>
        <v>*F517-05R*</v>
      </c>
    </row>
    <row r="82" spans="1:6" ht="36.75" customHeight="1">
      <c r="A82" s="303" t="s">
        <v>1145</v>
      </c>
      <c r="B82" s="320" t="s">
        <v>1123</v>
      </c>
      <c r="C82" s="332">
        <v>4.75</v>
      </c>
      <c r="D82" s="332">
        <v>3.25</v>
      </c>
      <c r="E82" s="29" t="str">
        <f>"*"&amp;Table1[[#This Row],[Frame]]&amp;"*"</f>
        <v>*F517-13*</v>
      </c>
      <c r="F82" s="47" t="s">
        <v>1098</v>
      </c>
    </row>
    <row r="83" spans="1:6" ht="36.75" customHeight="1">
      <c r="A83" s="220" t="s">
        <v>1119</v>
      </c>
      <c r="B83" s="221" t="s">
        <v>1123</v>
      </c>
      <c r="C83" s="222">
        <v>4.75</v>
      </c>
      <c r="D83" s="222">
        <v>3.25</v>
      </c>
      <c r="E83" s="29" t="str">
        <f>"*"&amp;Table1[[#This Row],[Frame]]&amp;"*"</f>
        <v>*F517-13L*</v>
      </c>
      <c r="F83" s="47" t="s">
        <v>1098</v>
      </c>
    </row>
    <row r="84" spans="1:6" ht="36.75" customHeight="1">
      <c r="A84" s="220" t="s">
        <v>1163</v>
      </c>
      <c r="B84" s="221" t="s">
        <v>1123</v>
      </c>
      <c r="C84" s="222">
        <v>4.75</v>
      </c>
      <c r="D84" s="222">
        <v>3.25</v>
      </c>
      <c r="E84" s="29" t="str">
        <f>"*"&amp;Table1[[#This Row],[Frame]]&amp;"*"</f>
        <v>*F517-13R*</v>
      </c>
      <c r="F84" s="47" t="s">
        <v>1098</v>
      </c>
    </row>
    <row r="85" spans="1:6" ht="36.75" customHeight="1">
      <c r="A85" s="32" t="s">
        <v>1352</v>
      </c>
      <c r="B85" s="33" t="s">
        <v>1353</v>
      </c>
      <c r="C85" s="66">
        <v>2.4500000000000002</v>
      </c>
      <c r="D85" s="66">
        <v>1.5</v>
      </c>
      <c r="E85" s="29" t="str">
        <f>"*"&amp;Table1[[#This Row],[Frame]]&amp;"*"</f>
        <v>*F517-31*</v>
      </c>
    </row>
    <row r="86" spans="1:6" ht="36.75" customHeight="1">
      <c r="A86" s="32" t="s">
        <v>1231</v>
      </c>
      <c r="B86" s="33" t="s">
        <v>1233</v>
      </c>
      <c r="C86" s="66">
        <v>2.75</v>
      </c>
      <c r="D86" s="66">
        <v>1</v>
      </c>
      <c r="E86" s="29" t="str">
        <f>"*"&amp;Table1[[#This Row],[Frame]]&amp;"*"</f>
        <v>*F517-33*</v>
      </c>
    </row>
    <row r="87" spans="1:6" ht="36.75" customHeight="1">
      <c r="A87" s="32" t="s">
        <v>1268</v>
      </c>
      <c r="B87" s="33" t="s">
        <v>1269</v>
      </c>
      <c r="C87" s="66">
        <v>2.75</v>
      </c>
      <c r="D87" s="66">
        <v>2</v>
      </c>
      <c r="E87" s="29" t="str">
        <f>"*"&amp;Table1[[#This Row],[Frame]]&amp;"*"</f>
        <v>*F518-01*</v>
      </c>
    </row>
    <row r="88" spans="1:6" ht="36.75" customHeight="1">
      <c r="A88" s="32" t="s">
        <v>1212</v>
      </c>
      <c r="B88" s="33" t="s">
        <v>1213</v>
      </c>
      <c r="C88" s="66">
        <v>3</v>
      </c>
      <c r="D88" s="66">
        <v>2.25</v>
      </c>
      <c r="E88" s="29" t="str">
        <f>"*"&amp;Table1[[#This Row],[Frame]]&amp;"*"</f>
        <v>*F518-02*</v>
      </c>
    </row>
    <row r="89" spans="1:6" ht="36.75" customHeight="1">
      <c r="A89" s="32" t="s">
        <v>1230</v>
      </c>
      <c r="B89" s="33" t="s">
        <v>1232</v>
      </c>
      <c r="C89" s="66">
        <v>3.5</v>
      </c>
      <c r="D89" s="66">
        <v>2.2999999999999998</v>
      </c>
      <c r="E89" s="29" t="str">
        <f>"*"&amp;Table1[[#This Row],[Frame]]&amp;"*"</f>
        <v>*F518-03*</v>
      </c>
    </row>
    <row r="90" spans="1:6" ht="36.75" customHeight="1">
      <c r="A90" s="32" t="s">
        <v>1014</v>
      </c>
      <c r="B90" s="33" t="s">
        <v>1019</v>
      </c>
      <c r="C90" s="66">
        <v>2.75</v>
      </c>
      <c r="D90" s="66">
        <v>2</v>
      </c>
      <c r="E90" s="29" t="str">
        <f>"*"&amp;Table1[[#This Row],[Frame]]&amp;"*"</f>
        <v>*F519-01*</v>
      </c>
      <c r="F90" s="47" t="s">
        <v>1098</v>
      </c>
    </row>
    <row r="91" spans="1:6" ht="36.75" customHeight="1">
      <c r="A91" s="32" t="s">
        <v>1013</v>
      </c>
      <c r="B91" s="33" t="s">
        <v>1009</v>
      </c>
      <c r="C91" s="66">
        <v>3</v>
      </c>
      <c r="D91" s="66">
        <v>2.25</v>
      </c>
      <c r="E91" s="29" t="str">
        <f>"*"&amp;Table1[[#This Row],[Frame]]&amp;"*"</f>
        <v>*F519-02*</v>
      </c>
      <c r="F91" s="47" t="s">
        <v>1098</v>
      </c>
    </row>
    <row r="92" spans="1:6" ht="36.75" customHeight="1">
      <c r="A92" s="37" t="s">
        <v>1008</v>
      </c>
      <c r="B92" s="33" t="s">
        <v>1010</v>
      </c>
      <c r="C92" s="66">
        <v>3.5</v>
      </c>
      <c r="D92" s="66">
        <v>2.2999999999999998</v>
      </c>
      <c r="E92" s="29" t="str">
        <f>"*"&amp;Table1[[#This Row],[Frame]]&amp;"*"</f>
        <v>*F519-03*</v>
      </c>
      <c r="F92" s="47" t="s">
        <v>1098</v>
      </c>
    </row>
    <row r="93" spans="1:6" ht="36.75" customHeight="1">
      <c r="A93" s="220" t="s">
        <v>1062</v>
      </c>
      <c r="B93" s="221" t="s">
        <v>1072</v>
      </c>
      <c r="C93" s="222">
        <v>1</v>
      </c>
      <c r="D93" s="222">
        <v>0.75</v>
      </c>
      <c r="E93" s="29" t="str">
        <f>"*"&amp;Table1[[#This Row],[Frame]]&amp;"*"</f>
        <v>*F519-09*</v>
      </c>
      <c r="F93" s="47" t="s">
        <v>1098</v>
      </c>
    </row>
    <row r="94" spans="1:6" ht="36.75" customHeight="1">
      <c r="A94" s="303" t="s">
        <v>1136</v>
      </c>
      <c r="B94" s="320" t="s">
        <v>1141</v>
      </c>
      <c r="C94" s="332">
        <v>2.15</v>
      </c>
      <c r="D94" s="332">
        <v>1.75</v>
      </c>
      <c r="E94" s="29" t="str">
        <f>"*"&amp;Table1[[#This Row],[Frame]]&amp;"*"</f>
        <v>*F521-01*</v>
      </c>
      <c r="F94" s="47" t="s">
        <v>1098</v>
      </c>
    </row>
    <row r="95" spans="1:6" ht="36.75" customHeight="1">
      <c r="A95" s="303" t="s">
        <v>1139</v>
      </c>
      <c r="B95" s="320" t="s">
        <v>1140</v>
      </c>
      <c r="C95" s="332">
        <v>2.5</v>
      </c>
      <c r="D95" s="332">
        <v>2</v>
      </c>
      <c r="E95" s="29" t="str">
        <f>"*"&amp;Table1[[#This Row],[Frame]]&amp;"*"</f>
        <v>*F521-02*</v>
      </c>
      <c r="F95" s="47" t="s">
        <v>1098</v>
      </c>
    </row>
    <row r="96" spans="1:6" ht="36.75" customHeight="1">
      <c r="A96" s="303" t="s">
        <v>1138</v>
      </c>
      <c r="B96" s="320" t="s">
        <v>1142</v>
      </c>
      <c r="C96" s="332">
        <v>2.85</v>
      </c>
      <c r="D96" s="332">
        <v>2.25</v>
      </c>
      <c r="E96" s="29" t="str">
        <f>"*"&amp;Table1[[#This Row],[Frame]]&amp;"*"</f>
        <v>*F521-03*</v>
      </c>
      <c r="F96" s="47" t="s">
        <v>1098</v>
      </c>
    </row>
    <row r="97" spans="1:6" ht="36.75" customHeight="1">
      <c r="A97" s="303" t="s">
        <v>1137</v>
      </c>
      <c r="B97" s="320" t="s">
        <v>1143</v>
      </c>
      <c r="C97" s="332">
        <v>0.75</v>
      </c>
      <c r="D97" s="332">
        <v>0.5</v>
      </c>
      <c r="E97" s="29" t="str">
        <f>"*"&amp;Table1[[#This Row],[Frame]]&amp;"*"</f>
        <v>*F521-09*</v>
      </c>
      <c r="F97" s="47" t="s">
        <v>1098</v>
      </c>
    </row>
    <row r="98" spans="1:6" ht="36.75" customHeight="1">
      <c r="A98" s="220" t="s">
        <v>1063</v>
      </c>
      <c r="B98" s="221" t="s">
        <v>1071</v>
      </c>
      <c r="C98" s="222">
        <v>0.75</v>
      </c>
      <c r="D98" s="222">
        <v>0.5</v>
      </c>
      <c r="E98" s="29" t="str">
        <f>"*"&amp;Table1[[#This Row],[Frame]]&amp;"*"</f>
        <v>*F522-09*</v>
      </c>
      <c r="F98" s="47" t="s">
        <v>1098</v>
      </c>
    </row>
    <row r="99" spans="1:6" ht="36.75" customHeight="1">
      <c r="A99" s="37" t="s">
        <v>853</v>
      </c>
      <c r="B99" s="33" t="s">
        <v>860</v>
      </c>
      <c r="C99" s="66">
        <v>3.45</v>
      </c>
      <c r="D99" s="66">
        <v>2.1</v>
      </c>
      <c r="E99" s="29" t="str">
        <f>"*"&amp;Table1[[#This Row],[Frame]]&amp;"*"</f>
        <v>*F522A*</v>
      </c>
      <c r="F99" s="47" t="s">
        <v>1098</v>
      </c>
    </row>
    <row r="100" spans="1:6" ht="36.75" customHeight="1">
      <c r="A100" s="37" t="s">
        <v>855</v>
      </c>
      <c r="B100" s="33" t="s">
        <v>859</v>
      </c>
      <c r="C100" s="66">
        <v>3.2</v>
      </c>
      <c r="D100" s="66">
        <v>1.75</v>
      </c>
      <c r="E100" s="29" t="str">
        <f>"*"&amp;Table1[[#This Row],[Frame]]&amp;"*"</f>
        <v>*F522D*</v>
      </c>
      <c r="F100" s="47" t="s">
        <v>1098</v>
      </c>
    </row>
    <row r="101" spans="1:6" ht="36.75" customHeight="1">
      <c r="A101" s="37" t="s">
        <v>847</v>
      </c>
      <c r="B101" s="33" t="s">
        <v>861</v>
      </c>
      <c r="C101" s="66">
        <v>2.95</v>
      </c>
      <c r="D101" s="66">
        <v>1.5</v>
      </c>
      <c r="E101" s="29" t="str">
        <f>"*"&amp;Table1[[#This Row],[Frame]]&amp;"*"</f>
        <v>*F522S*</v>
      </c>
      <c r="F101" s="47" t="s">
        <v>1098</v>
      </c>
    </row>
    <row r="102" spans="1:6" ht="36.75" customHeight="1">
      <c r="A102" s="32" t="s">
        <v>920</v>
      </c>
      <c r="B102" s="33" t="s">
        <v>921</v>
      </c>
      <c r="C102" s="66">
        <v>3.1</v>
      </c>
      <c r="D102" s="66">
        <v>1.75</v>
      </c>
      <c r="E102" s="29" t="str">
        <f>"*"&amp;Table1[[#This Row],[Frame]]&amp;"*"</f>
        <v>*f523d*</v>
      </c>
      <c r="F102" s="47" t="s">
        <v>1098</v>
      </c>
    </row>
    <row r="103" spans="1:6" ht="36.75" customHeight="1">
      <c r="A103" s="220" t="s">
        <v>1104</v>
      </c>
      <c r="B103" s="221" t="s">
        <v>1106</v>
      </c>
      <c r="C103" s="222">
        <v>2.75</v>
      </c>
      <c r="D103" s="222">
        <v>2.25</v>
      </c>
      <c r="E103" s="29" t="str">
        <f>"*"&amp;Table1[[#This Row],[Frame]]&amp;"*"</f>
        <v>*F524-01*</v>
      </c>
      <c r="F103" s="47" t="s">
        <v>1098</v>
      </c>
    </row>
    <row r="104" spans="1:6" ht="36.75" customHeight="1">
      <c r="A104" s="220" t="s">
        <v>1118</v>
      </c>
      <c r="B104" s="221" t="s">
        <v>1122</v>
      </c>
      <c r="C104" s="222">
        <v>3.25</v>
      </c>
      <c r="D104" s="222">
        <v>2.5</v>
      </c>
      <c r="E104" s="29" t="str">
        <f>"*"&amp;Table1[[#This Row],[Frame]]&amp;"*"</f>
        <v>*F524-02*</v>
      </c>
      <c r="F104" s="47" t="s">
        <v>1098</v>
      </c>
    </row>
    <row r="105" spans="1:6" ht="36.75" customHeight="1">
      <c r="A105" s="220" t="s">
        <v>1103</v>
      </c>
      <c r="B105" s="221" t="s">
        <v>1105</v>
      </c>
      <c r="C105" s="222">
        <v>3.5</v>
      </c>
      <c r="D105" s="222">
        <v>2.75</v>
      </c>
      <c r="E105" s="29" t="str">
        <f>"*"&amp;Table1[[#This Row],[Frame]]&amp;"*"</f>
        <v>*F524-03*</v>
      </c>
      <c r="F105" s="47" t="s">
        <v>1098</v>
      </c>
    </row>
    <row r="106" spans="1:6" ht="36.75" customHeight="1">
      <c r="A106" s="318" t="s">
        <v>1835</v>
      </c>
      <c r="B106" s="331" t="s">
        <v>1837</v>
      </c>
      <c r="C106" s="344">
        <v>2.35</v>
      </c>
      <c r="D106" s="344">
        <v>1</v>
      </c>
      <c r="E106" s="359" t="str">
        <f>"*"&amp;Table1[[#This Row],[Frame]]&amp;"*"</f>
        <v>*F524-30*</v>
      </c>
      <c r="F106" s="301"/>
    </row>
    <row r="107" spans="1:6" ht="36.75" customHeight="1">
      <c r="A107" s="37" t="s">
        <v>901</v>
      </c>
      <c r="B107" s="33" t="s">
        <v>905</v>
      </c>
      <c r="C107" s="66">
        <v>2.6</v>
      </c>
      <c r="D107" s="66">
        <v>1.75</v>
      </c>
      <c r="E107" s="29" t="str">
        <f>"*"&amp;Table1[[#This Row],[Frame]]&amp;"*"</f>
        <v>*F524C*</v>
      </c>
      <c r="F107" s="47" t="s">
        <v>1098</v>
      </c>
    </row>
    <row r="108" spans="1:6" ht="36.75" customHeight="1">
      <c r="A108" s="37" t="s">
        <v>899</v>
      </c>
      <c r="B108" s="33" t="s">
        <v>909</v>
      </c>
      <c r="C108" s="66">
        <v>3.35</v>
      </c>
      <c r="D108" s="66">
        <v>1.75</v>
      </c>
      <c r="E108" s="29" t="str">
        <f>"*"&amp;Table1[[#This Row],[Frame]]&amp;"*"</f>
        <v>*F524CB*</v>
      </c>
      <c r="F108" s="47" t="s">
        <v>1098</v>
      </c>
    </row>
    <row r="109" spans="1:6" ht="36.75" customHeight="1">
      <c r="A109" s="220" t="s">
        <v>1120</v>
      </c>
      <c r="B109" s="221" t="s">
        <v>1124</v>
      </c>
      <c r="C109" s="222">
        <v>3.35</v>
      </c>
      <c r="D109" s="222">
        <v>2.25</v>
      </c>
      <c r="E109" s="29" t="str">
        <f>"*"&amp;Table1[[#This Row],[Frame]]&amp;"*"</f>
        <v>*F524CC*</v>
      </c>
      <c r="F109" s="47" t="s">
        <v>1098</v>
      </c>
    </row>
    <row r="110" spans="1:6" ht="36.75" customHeight="1">
      <c r="A110" s="37" t="s">
        <v>900</v>
      </c>
      <c r="B110" s="33" t="s">
        <v>908</v>
      </c>
      <c r="C110" s="66">
        <v>3.45</v>
      </c>
      <c r="D110" s="66">
        <v>1.75</v>
      </c>
      <c r="E110" s="29" t="str">
        <f>"*"&amp;Table1[[#This Row],[Frame]]&amp;"*"</f>
        <v>*F524CZ*</v>
      </c>
      <c r="F110" s="47" t="s">
        <v>1098</v>
      </c>
    </row>
    <row r="111" spans="1:6" ht="36.75" customHeight="1">
      <c r="A111" s="32" t="s">
        <v>932</v>
      </c>
      <c r="B111" s="33" t="s">
        <v>933</v>
      </c>
      <c r="C111" s="66">
        <v>2.6</v>
      </c>
      <c r="D111" s="66">
        <v>1.75</v>
      </c>
      <c r="E111" s="29" t="str">
        <f>"*"&amp;Table1[[#This Row],[Frame]]&amp;"*"</f>
        <v>*F524E*</v>
      </c>
      <c r="F111" s="47" t="s">
        <v>1098</v>
      </c>
    </row>
    <row r="112" spans="1:6" ht="36.75" customHeight="1">
      <c r="A112" s="32" t="s">
        <v>1412</v>
      </c>
      <c r="B112" s="33" t="s">
        <v>1415</v>
      </c>
      <c r="C112" s="66">
        <v>2.1</v>
      </c>
      <c r="D112" s="66">
        <v>1.25</v>
      </c>
      <c r="E112" s="29" t="str">
        <f>"*"&amp;Table1[[#This Row],[Frame]]&amp;"*"</f>
        <v>*F524F*</v>
      </c>
    </row>
    <row r="113" spans="1:6" ht="36.75" customHeight="1">
      <c r="A113" s="37" t="s">
        <v>1409</v>
      </c>
      <c r="B113" s="33" t="s">
        <v>1042</v>
      </c>
      <c r="C113" s="66">
        <v>1.6</v>
      </c>
      <c r="D113" s="66">
        <v>0.75</v>
      </c>
      <c r="E113" s="29" t="str">
        <f>"*"&amp;Table1[[#This Row],[Frame]]&amp;"*"</f>
        <v>*F524I*</v>
      </c>
      <c r="F113" s="47" t="s">
        <v>1098</v>
      </c>
    </row>
    <row r="114" spans="1:6" ht="36.75" customHeight="1">
      <c r="A114" s="32" t="s">
        <v>1260</v>
      </c>
      <c r="B114" s="33" t="s">
        <v>1261</v>
      </c>
      <c r="C114" s="66">
        <v>1</v>
      </c>
      <c r="D114" s="66">
        <v>0.75</v>
      </c>
      <c r="E114" s="29" t="str">
        <f>"*"&amp;Table1[[#This Row],[Frame]]&amp;"*"</f>
        <v>*F524JL*</v>
      </c>
    </row>
    <row r="115" spans="1:6" ht="36.75" customHeight="1">
      <c r="A115" s="32" t="s">
        <v>958</v>
      </c>
      <c r="B115" s="33" t="s">
        <v>961</v>
      </c>
      <c r="C115" s="66">
        <v>2.75</v>
      </c>
      <c r="D115" s="66">
        <v>2</v>
      </c>
      <c r="E115" s="29" t="str">
        <f>"*"&amp;Table1[[#This Row],[Frame]]&amp;"*"</f>
        <v>*F524LA*</v>
      </c>
      <c r="F115" s="47" t="s">
        <v>1098</v>
      </c>
    </row>
    <row r="116" spans="1:6" ht="36.75" customHeight="1">
      <c r="A116" s="220" t="s">
        <v>1127</v>
      </c>
      <c r="B116" s="221" t="s">
        <v>1126</v>
      </c>
      <c r="C116" s="222">
        <v>2.4500000000000002</v>
      </c>
      <c r="D116" s="222">
        <v>1.5</v>
      </c>
      <c r="E116" s="29" t="str">
        <f>"*"&amp;Table1[[#This Row],[Frame]]&amp;"*"</f>
        <v>*F524LC*</v>
      </c>
      <c r="F116" s="47" t="s">
        <v>1098</v>
      </c>
    </row>
    <row r="117" spans="1:6" ht="36.75" customHeight="1">
      <c r="A117" s="32" t="s">
        <v>1115</v>
      </c>
      <c r="B117" s="33" t="s">
        <v>1117</v>
      </c>
      <c r="C117" s="66">
        <v>4.5</v>
      </c>
      <c r="D117" s="66">
        <v>4</v>
      </c>
      <c r="E117" s="29" t="str">
        <f>"*"&amp;Table1[[#This Row],[Frame]]&amp;"*"</f>
        <v>*F524LL*</v>
      </c>
      <c r="F117" s="47" t="s">
        <v>1098</v>
      </c>
    </row>
    <row r="118" spans="1:6" ht="36.75" customHeight="1">
      <c r="A118" s="32" t="s">
        <v>1116</v>
      </c>
      <c r="B118" s="33" t="s">
        <v>1117</v>
      </c>
      <c r="C118" s="66">
        <v>4.5</v>
      </c>
      <c r="D118" s="66">
        <v>4</v>
      </c>
      <c r="E118" s="29" t="str">
        <f>"*"&amp;Table1[[#This Row],[Frame]]&amp;"*"</f>
        <v>*F524OO*</v>
      </c>
      <c r="F118" s="47" t="s">
        <v>1098</v>
      </c>
    </row>
    <row r="119" spans="1:6" ht="36.75" customHeight="1">
      <c r="A119" s="37" t="s">
        <v>897</v>
      </c>
      <c r="B119" s="33" t="s">
        <v>907</v>
      </c>
      <c r="C119" s="66">
        <v>4.0999999999999996</v>
      </c>
      <c r="D119" s="66">
        <v>2.75</v>
      </c>
      <c r="E119" s="29" t="str">
        <f>"*"&amp;Table1[[#This Row],[Frame]]&amp;"*"</f>
        <v>*F524P*</v>
      </c>
      <c r="F119" s="47" t="s">
        <v>1098</v>
      </c>
    </row>
    <row r="120" spans="1:6" ht="36.75" customHeight="1">
      <c r="A120" s="32" t="s">
        <v>935</v>
      </c>
      <c r="B120" s="33" t="s">
        <v>933</v>
      </c>
      <c r="C120" s="66">
        <v>2.75</v>
      </c>
      <c r="D120" s="66">
        <v>1.75</v>
      </c>
      <c r="E120" s="29" t="str">
        <f>"*"&amp;Table1[[#This Row],[Frame]]&amp;"*"</f>
        <v>*F524RA*</v>
      </c>
      <c r="F120" s="47" t="s">
        <v>1098</v>
      </c>
    </row>
    <row r="121" spans="1:6" ht="36.75" customHeight="1">
      <c r="A121" s="220" t="s">
        <v>1125</v>
      </c>
      <c r="B121" s="221" t="s">
        <v>1126</v>
      </c>
      <c r="C121" s="222">
        <v>2.4500000000000002</v>
      </c>
      <c r="D121" s="222">
        <v>1.5</v>
      </c>
      <c r="E121" s="29" t="str">
        <f>"*"&amp;Table1[[#This Row],[Frame]]&amp;"*"</f>
        <v>*F524RC*</v>
      </c>
      <c r="F121" s="47" t="s">
        <v>1098</v>
      </c>
    </row>
    <row r="122" spans="1:6" ht="36.75" customHeight="1">
      <c r="A122" s="37" t="s">
        <v>906</v>
      </c>
      <c r="B122" s="33" t="s">
        <v>907</v>
      </c>
      <c r="C122" s="66">
        <v>4.0999999999999996</v>
      </c>
      <c r="D122" s="66">
        <v>2.5</v>
      </c>
      <c r="E122" s="29" t="str">
        <f>"*"&amp;Table1[[#This Row],[Frame]]&amp;"*"</f>
        <v>*F524Y*</v>
      </c>
      <c r="F122" s="47" t="s">
        <v>1098</v>
      </c>
    </row>
    <row r="123" spans="1:6" ht="36.75" customHeight="1">
      <c r="A123" s="32" t="s">
        <v>998</v>
      </c>
      <c r="B123" s="33" t="s">
        <v>999</v>
      </c>
      <c r="C123" s="66">
        <v>3.5</v>
      </c>
      <c r="D123" s="66">
        <v>2</v>
      </c>
      <c r="E123" s="29" t="str">
        <f>"*"&amp;Table1[[#This Row],[Frame]]&amp;"*"</f>
        <v>*F525-01*</v>
      </c>
      <c r="F123" s="47" t="s">
        <v>1098</v>
      </c>
    </row>
    <row r="124" spans="1:6" ht="36.75" customHeight="1">
      <c r="A124" s="32" t="s">
        <v>993</v>
      </c>
      <c r="B124" s="33" t="s">
        <v>994</v>
      </c>
      <c r="C124" s="66">
        <v>3.85</v>
      </c>
      <c r="D124" s="66">
        <v>2.25</v>
      </c>
      <c r="E124" s="29" t="str">
        <f>"*"&amp;Table1[[#This Row],[Frame]]&amp;"*"</f>
        <v>*F525-02*</v>
      </c>
      <c r="F124" s="47" t="s">
        <v>1098</v>
      </c>
    </row>
    <row r="125" spans="1:6" ht="36.75" customHeight="1">
      <c r="A125" s="32" t="s">
        <v>997</v>
      </c>
      <c r="B125" s="33" t="s">
        <v>1000</v>
      </c>
      <c r="C125" s="66">
        <v>4.5</v>
      </c>
      <c r="D125" s="66">
        <v>2.5</v>
      </c>
      <c r="E125" s="29" t="str">
        <f>"*"&amp;Table1[[#This Row],[Frame]]&amp;"*"</f>
        <v>*F525-03*</v>
      </c>
      <c r="F125" s="47" t="s">
        <v>1098</v>
      </c>
    </row>
    <row r="126" spans="1:6" ht="36.75" customHeight="1">
      <c r="A126" s="32" t="s">
        <v>996</v>
      </c>
      <c r="B126" s="33" t="s">
        <v>1001</v>
      </c>
      <c r="C126" s="66">
        <v>0.75</v>
      </c>
      <c r="D126" s="66">
        <v>0.5</v>
      </c>
      <c r="E126" s="29" t="str">
        <f>"*"&amp;Table1[[#This Row],[Frame]]&amp;"*"</f>
        <v>*F525-09*</v>
      </c>
      <c r="F126" s="47" t="s">
        <v>1098</v>
      </c>
    </row>
    <row r="127" spans="1:6" ht="36.75" customHeight="1">
      <c r="A127" s="32" t="s">
        <v>1513</v>
      </c>
      <c r="B127" s="33" t="s">
        <v>1516</v>
      </c>
      <c r="C127" s="66">
        <v>1</v>
      </c>
      <c r="D127" s="66">
        <v>0.5</v>
      </c>
      <c r="E127" s="29" t="str">
        <f>"*"&amp;Table1[[#This Row],[Frame]]&amp;"*"</f>
        <v>*F533-09*</v>
      </c>
    </row>
    <row r="128" spans="1:6" ht="36.75" customHeight="1">
      <c r="A128" s="37" t="s">
        <v>1045</v>
      </c>
      <c r="B128" s="33" t="s">
        <v>1048</v>
      </c>
      <c r="C128" s="66">
        <v>2.5</v>
      </c>
      <c r="D128" s="66">
        <v>2.25</v>
      </c>
      <c r="E128" s="29" t="str">
        <f>"*"&amp;Table1[[#This Row],[Frame]]&amp;"*"</f>
        <v>*F534-01*</v>
      </c>
      <c r="F128" s="47" t="s">
        <v>1098</v>
      </c>
    </row>
    <row r="129" spans="1:6" ht="36.75" customHeight="1">
      <c r="A129" s="37" t="s">
        <v>1043</v>
      </c>
      <c r="B129" s="33" t="s">
        <v>1049</v>
      </c>
      <c r="C129" s="66">
        <v>3.5</v>
      </c>
      <c r="D129" s="66">
        <v>2.5</v>
      </c>
      <c r="E129" s="29" t="str">
        <f>"*"&amp;Table1[[#This Row],[Frame]]&amp;"*"</f>
        <v>*F534-02*</v>
      </c>
      <c r="F129" s="47" t="s">
        <v>1098</v>
      </c>
    </row>
    <row r="130" spans="1:6" ht="36.75" customHeight="1">
      <c r="A130" s="37" t="s">
        <v>1044</v>
      </c>
      <c r="B130" s="33" t="s">
        <v>1050</v>
      </c>
      <c r="C130" s="66">
        <v>3.5</v>
      </c>
      <c r="D130" s="66">
        <v>2.75</v>
      </c>
      <c r="E130" s="29" t="str">
        <f>"*"&amp;Table1[[#This Row],[Frame]]&amp;"*"</f>
        <v>*F534-03*</v>
      </c>
      <c r="F130" s="47" t="s">
        <v>1098</v>
      </c>
    </row>
    <row r="131" spans="1:6" ht="36.75" customHeight="1">
      <c r="A131" s="37" t="s">
        <v>1053</v>
      </c>
      <c r="B131" s="33" t="s">
        <v>1054</v>
      </c>
      <c r="C131" s="66">
        <v>0.75</v>
      </c>
      <c r="D131" s="66">
        <v>0.5</v>
      </c>
      <c r="E131" s="29" t="str">
        <f>"*"&amp;Table1[[#This Row],[Frame]]&amp;"*"</f>
        <v>*F534-09*</v>
      </c>
      <c r="F131" s="47" t="s">
        <v>1098</v>
      </c>
    </row>
    <row r="132" spans="1:6" ht="36.75" customHeight="1">
      <c r="A132" s="32" t="s">
        <v>1094</v>
      </c>
      <c r="B132" s="33" t="s">
        <v>999</v>
      </c>
      <c r="C132" s="66">
        <v>3.5</v>
      </c>
      <c r="D132" s="66">
        <v>1.75</v>
      </c>
      <c r="E132" s="29" t="str">
        <f>"*"&amp;Table1[[#This Row],[Frame]]&amp;"*"</f>
        <v>*F540-01*</v>
      </c>
      <c r="F132" s="47" t="s">
        <v>1098</v>
      </c>
    </row>
    <row r="133" spans="1:6" ht="36.75" customHeight="1">
      <c r="A133" s="32" t="s">
        <v>1095</v>
      </c>
      <c r="B133" s="33" t="s">
        <v>994</v>
      </c>
      <c r="C133" s="66">
        <v>3.85</v>
      </c>
      <c r="D133" s="66">
        <v>2</v>
      </c>
      <c r="E133" s="29" t="str">
        <f>"*"&amp;Table1[[#This Row],[Frame]]&amp;"*"</f>
        <v>*F540-02*</v>
      </c>
      <c r="F133" s="47" t="s">
        <v>1098</v>
      </c>
    </row>
    <row r="134" spans="1:6" ht="36.75" customHeight="1">
      <c r="A134" s="32" t="s">
        <v>1093</v>
      </c>
      <c r="B134" s="33" t="s">
        <v>1000</v>
      </c>
      <c r="C134" s="66">
        <v>4.5</v>
      </c>
      <c r="D134" s="66">
        <v>2.25</v>
      </c>
      <c r="E134" s="29" t="str">
        <f>"*"&amp;Table1[[#This Row],[Frame]]&amp;"*"</f>
        <v>*F540-03*</v>
      </c>
      <c r="F134" s="47" t="s">
        <v>1098</v>
      </c>
    </row>
    <row r="135" spans="1:6" ht="36.75" customHeight="1">
      <c r="A135" s="32" t="s">
        <v>1096</v>
      </c>
      <c r="B135" s="33" t="s">
        <v>1001</v>
      </c>
      <c r="C135" s="66">
        <v>0.75</v>
      </c>
      <c r="D135" s="66">
        <v>0.5</v>
      </c>
      <c r="E135" s="29" t="str">
        <f>"*"&amp;Table1[[#This Row],[Frame]]&amp;"*"</f>
        <v>*F540-09*</v>
      </c>
      <c r="F135" s="47" t="s">
        <v>1098</v>
      </c>
    </row>
    <row r="136" spans="1:6" ht="36.75" customHeight="1">
      <c r="A136" s="32" t="s">
        <v>1025</v>
      </c>
      <c r="B136" s="33" t="s">
        <v>1034</v>
      </c>
      <c r="C136" s="66">
        <v>3.25</v>
      </c>
      <c r="D136" s="66">
        <v>2.5</v>
      </c>
      <c r="E136" s="29" t="str">
        <f>"*"&amp;Table1[[#This Row],[Frame]]&amp;"*"</f>
        <v>*F545A*</v>
      </c>
      <c r="F136" s="47" t="s">
        <v>1098</v>
      </c>
    </row>
    <row r="137" spans="1:6" ht="36.75" customHeight="1">
      <c r="A137" s="32" t="s">
        <v>800</v>
      </c>
      <c r="B137" s="33" t="s">
        <v>801</v>
      </c>
      <c r="C137" s="66">
        <v>2.75</v>
      </c>
      <c r="D137" s="66">
        <v>1.75</v>
      </c>
      <c r="E137" s="29" t="str">
        <f>"*"&amp;Table1[[#This Row],[Frame]]&amp;"*"</f>
        <v>*F545C*</v>
      </c>
      <c r="F137" s="47" t="s">
        <v>1098</v>
      </c>
    </row>
    <row r="138" spans="1:6" ht="36.75" customHeight="1">
      <c r="A138" s="32" t="s">
        <v>800</v>
      </c>
      <c r="B138" s="33" t="s">
        <v>916</v>
      </c>
      <c r="C138" s="66">
        <v>2.75</v>
      </c>
      <c r="D138" s="66">
        <v>1.75</v>
      </c>
      <c r="E138" s="29" t="str">
        <f>"*"&amp;Table1[[#This Row],[Frame]]&amp;"*"</f>
        <v>*F545C*</v>
      </c>
      <c r="F138" s="47" t="s">
        <v>1098</v>
      </c>
    </row>
    <row r="139" spans="1:6" ht="36.75" customHeight="1">
      <c r="A139" s="32" t="s">
        <v>780</v>
      </c>
      <c r="B139" s="33" t="s">
        <v>784</v>
      </c>
      <c r="C139" s="66">
        <v>3.6</v>
      </c>
      <c r="D139" s="66">
        <v>1.75</v>
      </c>
      <c r="E139" s="29" t="str">
        <f>"*"&amp;Table1[[#This Row],[Frame]]&amp;"*"</f>
        <v>*F545CB*</v>
      </c>
      <c r="F139" s="47" t="s">
        <v>1098</v>
      </c>
    </row>
    <row r="140" spans="1:6" ht="36.75" customHeight="1">
      <c r="A140" s="32" t="s">
        <v>1349</v>
      </c>
      <c r="B140" s="33" t="s">
        <v>784</v>
      </c>
      <c r="C140" s="66">
        <v>2.4500000000000002</v>
      </c>
      <c r="D140" s="66">
        <v>1.75</v>
      </c>
      <c r="E140" s="29" t="str">
        <f>"*"&amp;Table1[[#This Row],[Frame]]&amp;"*"</f>
        <v>*F545CB?*</v>
      </c>
      <c r="F140" s="47" t="s">
        <v>1098</v>
      </c>
    </row>
    <row r="141" spans="1:6" ht="36.75" customHeight="1">
      <c r="A141" s="37" t="s">
        <v>902</v>
      </c>
      <c r="B141" s="33" t="s">
        <v>903</v>
      </c>
      <c r="C141" s="66">
        <v>3.35</v>
      </c>
      <c r="D141" s="66">
        <v>2.25</v>
      </c>
      <c r="E141" s="29" t="str">
        <f>"*"&amp;Table1[[#This Row],[Frame]]&amp;"*"</f>
        <v>*F545CC*</v>
      </c>
      <c r="F141" s="47" t="s">
        <v>1098</v>
      </c>
    </row>
    <row r="142" spans="1:6" ht="36.75" customHeight="1">
      <c r="A142" s="37" t="s">
        <v>912</v>
      </c>
      <c r="B142" s="33" t="s">
        <v>801</v>
      </c>
      <c r="C142" s="66">
        <v>2.75</v>
      </c>
      <c r="D142" s="66">
        <v>1</v>
      </c>
      <c r="E142" s="29" t="str">
        <f>"*"&amp;Table1[[#This Row],[Frame]]&amp;"*"</f>
        <v>*F545CQ*</v>
      </c>
      <c r="F142" s="47" t="s">
        <v>1098</v>
      </c>
    </row>
    <row r="143" spans="1:6" ht="36.75" customHeight="1">
      <c r="A143" s="32" t="s">
        <v>785</v>
      </c>
      <c r="B143" s="33" t="s">
        <v>784</v>
      </c>
      <c r="C143" s="66">
        <v>3.6</v>
      </c>
      <c r="D143" s="66">
        <v>1.75</v>
      </c>
      <c r="E143" s="29" t="str">
        <f>"*"&amp;Table1[[#This Row],[Frame]]&amp;"*"</f>
        <v>*F545CZ*</v>
      </c>
      <c r="F143" s="47" t="s">
        <v>1098</v>
      </c>
    </row>
    <row r="144" spans="1:6" ht="36.75" customHeight="1">
      <c r="A144" s="32" t="s">
        <v>1060</v>
      </c>
      <c r="B144" s="33" t="s">
        <v>1067</v>
      </c>
      <c r="C144" s="66">
        <v>3</v>
      </c>
      <c r="D144" s="66">
        <v>1.75</v>
      </c>
      <c r="E144" s="29" t="str">
        <f>"*"&amp;Table1[[#This Row],[Frame]]&amp;"*"</f>
        <v>*F545D*</v>
      </c>
      <c r="F144" s="47" t="s">
        <v>1098</v>
      </c>
    </row>
    <row r="145" spans="1:6" ht="36.75" customHeight="1">
      <c r="A145" s="37" t="s">
        <v>913</v>
      </c>
      <c r="B145" s="33" t="s">
        <v>915</v>
      </c>
      <c r="C145" s="66">
        <v>3</v>
      </c>
      <c r="D145" s="66">
        <v>2</v>
      </c>
      <c r="E145" s="29" t="str">
        <f>"*"&amp;Table1[[#This Row],[Frame]]&amp;"*"</f>
        <v>*F545E*</v>
      </c>
      <c r="F145" s="47" t="s">
        <v>1098</v>
      </c>
    </row>
    <row r="146" spans="1:6" ht="36.75" customHeight="1">
      <c r="A146" s="32" t="s">
        <v>781</v>
      </c>
      <c r="B146" s="33" t="s">
        <v>786</v>
      </c>
      <c r="C146" s="66">
        <v>2.25</v>
      </c>
      <c r="D146" s="66">
        <v>1.25</v>
      </c>
      <c r="E146" s="29" t="str">
        <f>"*"&amp;Table1[[#This Row],[Frame]]&amp;"*"</f>
        <v>*F545F*</v>
      </c>
      <c r="F146" s="47" t="s">
        <v>1098</v>
      </c>
    </row>
    <row r="147" spans="1:6" ht="36.75" customHeight="1">
      <c r="A147" s="32" t="s">
        <v>813</v>
      </c>
      <c r="B147" s="33" t="s">
        <v>818</v>
      </c>
      <c r="C147" s="66">
        <v>1.6</v>
      </c>
      <c r="D147" s="66">
        <v>0.75</v>
      </c>
      <c r="E147" s="29" t="str">
        <f>"*"&amp;Table1[[#This Row],[Frame]]&amp;"*"</f>
        <v>*F545I*</v>
      </c>
      <c r="F147" s="47" t="s">
        <v>1098</v>
      </c>
    </row>
    <row r="148" spans="1:6" ht="36.75" customHeight="1">
      <c r="A148" s="32" t="s">
        <v>910</v>
      </c>
      <c r="B148" s="33" t="s">
        <v>1058</v>
      </c>
      <c r="C148" s="66">
        <v>0.75</v>
      </c>
      <c r="D148" s="66">
        <v>0.5</v>
      </c>
      <c r="E148" s="29" t="str">
        <f>"*"&amp;Table1[[#This Row],[Frame]]&amp;"*"</f>
        <v>*F545J*</v>
      </c>
      <c r="F148" s="47" t="s">
        <v>1098</v>
      </c>
    </row>
    <row r="149" spans="1:6" ht="36.75" customHeight="1">
      <c r="A149" s="37" t="s">
        <v>914</v>
      </c>
      <c r="B149" s="33" t="s">
        <v>917</v>
      </c>
      <c r="C149" s="66">
        <v>0.8</v>
      </c>
      <c r="D149" s="66">
        <v>0.5</v>
      </c>
      <c r="E149" s="29" t="str">
        <f>"*"&amp;Table1[[#This Row],[Frame]]&amp;"*"</f>
        <v>*F545JB*</v>
      </c>
      <c r="F149" s="47" t="s">
        <v>1098</v>
      </c>
    </row>
    <row r="150" spans="1:6" ht="36.75" customHeight="1">
      <c r="A150" s="32" t="s">
        <v>831</v>
      </c>
      <c r="B150" s="33" t="s">
        <v>832</v>
      </c>
      <c r="C150" s="66">
        <v>1</v>
      </c>
      <c r="D150" s="66">
        <v>0.75</v>
      </c>
      <c r="E150" s="29" t="str">
        <f>"*"&amp;Table1[[#This Row],[Frame]]&amp;"*"</f>
        <v>*F545JL*</v>
      </c>
      <c r="F150" s="47" t="s">
        <v>1098</v>
      </c>
    </row>
    <row r="151" spans="1:6" ht="36.75" customHeight="1">
      <c r="A151" s="32" t="s">
        <v>1164</v>
      </c>
      <c r="B151" s="33" t="s">
        <v>1171</v>
      </c>
      <c r="C151" s="66">
        <f>2.75+0.5</f>
        <v>3.25</v>
      </c>
      <c r="D151" s="66">
        <v>1.25</v>
      </c>
      <c r="E151" s="29" t="str">
        <f>"*"&amp;Table1[[#This Row],[Frame]]&amp;"*"</f>
        <v>*F545K*</v>
      </c>
      <c r="F151" s="47" t="s">
        <v>1098</v>
      </c>
    </row>
    <row r="152" spans="1:6" ht="36.75" customHeight="1">
      <c r="A152" s="32" t="s">
        <v>834</v>
      </c>
      <c r="B152" s="33" t="s">
        <v>836</v>
      </c>
      <c r="C152" s="66">
        <v>3</v>
      </c>
      <c r="D152" s="66">
        <v>2.5</v>
      </c>
      <c r="E152" s="29" t="str">
        <f>"*"&amp;Table1[[#This Row],[Frame]]&amp;"*"</f>
        <v>*F545LA*</v>
      </c>
      <c r="F152" s="47" t="s">
        <v>1098</v>
      </c>
    </row>
    <row r="153" spans="1:6" ht="36.75" customHeight="1">
      <c r="A153" s="37" t="s">
        <v>844</v>
      </c>
      <c r="B153" s="33" t="s">
        <v>845</v>
      </c>
      <c r="C153" s="66">
        <v>2.4500000000000002</v>
      </c>
      <c r="D153" s="66">
        <v>1.5</v>
      </c>
      <c r="E153" s="29" t="str">
        <f>"*"&amp;Table1[[#This Row],[Frame]]&amp;"*"</f>
        <v>*F545LC*</v>
      </c>
      <c r="F153" s="47" t="s">
        <v>1098</v>
      </c>
    </row>
    <row r="154" spans="1:6" ht="36.75" customHeight="1">
      <c r="A154" s="37" t="s">
        <v>854</v>
      </c>
      <c r="B154" s="33" t="s">
        <v>865</v>
      </c>
      <c r="C154" s="66">
        <v>4.5</v>
      </c>
      <c r="D154" s="66">
        <v>4</v>
      </c>
      <c r="E154" s="29" t="str">
        <f>"*"&amp;Table1[[#This Row],[Frame]]&amp;"*"</f>
        <v>*F545LL*</v>
      </c>
      <c r="F154" s="47" t="s">
        <v>1098</v>
      </c>
    </row>
    <row r="155" spans="1:6" ht="36.75" customHeight="1">
      <c r="A155" s="37" t="s">
        <v>864</v>
      </c>
      <c r="B155" s="33" t="s">
        <v>865</v>
      </c>
      <c r="C155" s="66">
        <v>4.5</v>
      </c>
      <c r="D155" s="66">
        <v>4</v>
      </c>
      <c r="E155" s="29" t="str">
        <f>"*"&amp;Table1[[#This Row],[Frame]]&amp;"*"</f>
        <v>*F545OO*</v>
      </c>
      <c r="F155" s="47" t="s">
        <v>1098</v>
      </c>
    </row>
    <row r="156" spans="1:6" ht="36.75" customHeight="1">
      <c r="A156" s="32" t="s">
        <v>787</v>
      </c>
      <c r="B156" s="33" t="s">
        <v>789</v>
      </c>
      <c r="C156" s="66">
        <v>4.0999999999999996</v>
      </c>
      <c r="D156" s="66">
        <v>2.5</v>
      </c>
      <c r="E156" s="29" t="str">
        <f>"*"&amp;Table1[[#This Row],[Frame]]&amp;"*"</f>
        <v>*F545P*</v>
      </c>
      <c r="F156" s="47" t="s">
        <v>1098</v>
      </c>
    </row>
    <row r="157" spans="1:6" ht="36.75" customHeight="1">
      <c r="A157" s="32" t="s">
        <v>833</v>
      </c>
      <c r="B157" s="33" t="s">
        <v>835</v>
      </c>
      <c r="C157" s="66">
        <v>3</v>
      </c>
      <c r="D157" s="66">
        <v>2.5</v>
      </c>
      <c r="E157" s="29" t="str">
        <f>"*"&amp;Table1[[#This Row],[Frame]]&amp;"*"</f>
        <v>*F545RA*</v>
      </c>
      <c r="F157" s="47" t="s">
        <v>1098</v>
      </c>
    </row>
    <row r="158" spans="1:6" ht="36.75" customHeight="1">
      <c r="A158" s="37" t="s">
        <v>843</v>
      </c>
      <c r="B158" s="33" t="s">
        <v>845</v>
      </c>
      <c r="C158" s="66">
        <v>2.4500000000000002</v>
      </c>
      <c r="D158" s="66">
        <v>1.5</v>
      </c>
      <c r="E158" s="29" t="str">
        <f>"*"&amp;Table1[[#This Row],[Frame]]&amp;"*"</f>
        <v>*F545RC*</v>
      </c>
      <c r="F158" s="47" t="s">
        <v>1098</v>
      </c>
    </row>
    <row r="159" spans="1:6" ht="36.75" customHeight="1">
      <c r="A159" s="32" t="s">
        <v>1061</v>
      </c>
      <c r="B159" s="33" t="s">
        <v>1068</v>
      </c>
      <c r="C159" s="66">
        <v>2.75</v>
      </c>
      <c r="D159" s="66">
        <v>1.75</v>
      </c>
      <c r="E159" s="29" t="str">
        <f>"*"&amp;Table1[[#This Row],[Frame]]&amp;"*"</f>
        <v>*F545S*</v>
      </c>
      <c r="F159" s="47" t="s">
        <v>1098</v>
      </c>
    </row>
    <row r="160" spans="1:6" ht="36.75" customHeight="1">
      <c r="A160" s="37" t="s">
        <v>911</v>
      </c>
      <c r="B160" s="33" t="s">
        <v>915</v>
      </c>
      <c r="C160" s="66">
        <v>2.85</v>
      </c>
      <c r="D160" s="66">
        <v>2</v>
      </c>
      <c r="E160" s="29" t="str">
        <f>"*"&amp;Table1[[#This Row],[Frame]]&amp;"*"</f>
        <v>*F545U*</v>
      </c>
      <c r="F160" s="47" t="s">
        <v>1098</v>
      </c>
    </row>
    <row r="161" spans="1:6" ht="36.75" customHeight="1">
      <c r="A161" s="32" t="s">
        <v>788</v>
      </c>
      <c r="B161" s="33" t="s">
        <v>790</v>
      </c>
      <c r="C161" s="66">
        <v>4.0999999999999996</v>
      </c>
      <c r="D161" s="66">
        <v>2.5</v>
      </c>
      <c r="E161" s="29" t="str">
        <f>"*"&amp;Table1[[#This Row],[Frame]]&amp;"*"</f>
        <v>*F545Y*</v>
      </c>
      <c r="F161" s="47" t="s">
        <v>1098</v>
      </c>
    </row>
    <row r="162" spans="1:6" ht="36.75" customHeight="1">
      <c r="A162" s="220" t="s">
        <v>1135</v>
      </c>
      <c r="B162" s="221" t="s">
        <v>1134</v>
      </c>
      <c r="C162" s="222">
        <v>3.25</v>
      </c>
      <c r="D162" s="222">
        <v>1.25</v>
      </c>
      <c r="E162" s="29" t="str">
        <f>"*"&amp;Table1[[#This Row],[Frame]]&amp;"*"</f>
        <v>*F546-01*</v>
      </c>
      <c r="F162" s="47" t="s">
        <v>1098</v>
      </c>
    </row>
    <row r="163" spans="1:6" ht="36.75" customHeight="1">
      <c r="A163" s="220" t="s">
        <v>1133</v>
      </c>
      <c r="B163" s="221" t="s">
        <v>1132</v>
      </c>
      <c r="C163" s="222">
        <v>3.85</v>
      </c>
      <c r="D163" s="222">
        <v>1.5</v>
      </c>
      <c r="E163" s="29" t="str">
        <f>"*"&amp;Table1[[#This Row],[Frame]]&amp;"*"</f>
        <v>*F546-02*</v>
      </c>
      <c r="F163" s="47" t="s">
        <v>1098</v>
      </c>
    </row>
    <row r="164" spans="1:6" ht="36.75" customHeight="1">
      <c r="A164" s="220" t="s">
        <v>1130</v>
      </c>
      <c r="B164" s="221" t="s">
        <v>1131</v>
      </c>
      <c r="C164" s="222">
        <v>4.25</v>
      </c>
      <c r="D164" s="222">
        <v>1.75</v>
      </c>
      <c r="E164" s="29" t="str">
        <f>"*"&amp;Table1[[#This Row],[Frame]]&amp;"*"</f>
        <v>*F546-03*</v>
      </c>
      <c r="F164" s="47" t="s">
        <v>1098</v>
      </c>
    </row>
    <row r="165" spans="1:6" ht="36.75" customHeight="1">
      <c r="A165" s="303" t="s">
        <v>1151</v>
      </c>
      <c r="B165" s="320" t="s">
        <v>1152</v>
      </c>
      <c r="C165" s="332">
        <v>1.5</v>
      </c>
      <c r="D165" s="332">
        <v>0.75</v>
      </c>
      <c r="E165" s="29" t="str">
        <f>"*"&amp;Table1[[#This Row],[Frame]]&amp;"*"</f>
        <v>*F546-09*</v>
      </c>
      <c r="F165" s="47" t="s">
        <v>1098</v>
      </c>
    </row>
    <row r="166" spans="1:6" ht="36.75" customHeight="1">
      <c r="A166" s="303" t="s">
        <v>1165</v>
      </c>
      <c r="B166" s="320" t="s">
        <v>1169</v>
      </c>
      <c r="C166" s="332">
        <v>2.75</v>
      </c>
      <c r="D166" s="332">
        <v>2</v>
      </c>
      <c r="E166" s="29" t="str">
        <f>"*"&amp;Table1[[#This Row],[Frame]]&amp;"*"</f>
        <v>*F549-01*</v>
      </c>
      <c r="F166" s="47" t="s">
        <v>1098</v>
      </c>
    </row>
    <row r="167" spans="1:6" ht="36.75" customHeight="1">
      <c r="A167" s="303" t="s">
        <v>1166</v>
      </c>
      <c r="B167" s="320" t="s">
        <v>1170</v>
      </c>
      <c r="C167" s="332">
        <v>2.85</v>
      </c>
      <c r="D167" s="332">
        <v>2.15</v>
      </c>
      <c r="E167" s="29" t="str">
        <f>"*"&amp;Table1[[#This Row],[Frame]]&amp;"*"</f>
        <v>*F549-02*</v>
      </c>
      <c r="F167" s="47" t="s">
        <v>1098</v>
      </c>
    </row>
    <row r="168" spans="1:6" ht="36.75" customHeight="1">
      <c r="A168" s="303" t="s">
        <v>1167</v>
      </c>
      <c r="B168" s="320" t="s">
        <v>1168</v>
      </c>
      <c r="C168" s="332">
        <v>3</v>
      </c>
      <c r="D168" s="332">
        <v>2.25</v>
      </c>
      <c r="E168" s="29" t="str">
        <f>"*"&amp;Table1[[#This Row],[Frame]]&amp;"*"</f>
        <v>*F549-03*</v>
      </c>
      <c r="F168" s="47" t="s">
        <v>1098</v>
      </c>
    </row>
    <row r="169" spans="1:6" ht="36.75" customHeight="1">
      <c r="A169" s="307" t="s">
        <v>1722</v>
      </c>
      <c r="B169" s="323" t="s">
        <v>1723</v>
      </c>
      <c r="C169" s="335">
        <v>1</v>
      </c>
      <c r="D169" s="335">
        <v>0.5</v>
      </c>
      <c r="E169" s="351" t="str">
        <f>"*"&amp;Table1[[#This Row],[Frame]]&amp;"*"</f>
        <v>*F549-09*</v>
      </c>
      <c r="F169" s="229"/>
    </row>
    <row r="170" spans="1:6" ht="36.75" customHeight="1">
      <c r="A170" s="32" t="s">
        <v>1295</v>
      </c>
      <c r="B170" s="33" t="s">
        <v>1206</v>
      </c>
      <c r="C170" s="66">
        <v>2.5</v>
      </c>
      <c r="D170" s="66">
        <v>2</v>
      </c>
      <c r="E170" s="29" t="str">
        <f>"*"&amp;Table1[[#This Row],[Frame]]&amp;"*"</f>
        <v>*F550-01L*</v>
      </c>
    </row>
    <row r="171" spans="1:6" ht="36.75" customHeight="1">
      <c r="A171" s="32" t="s">
        <v>1297</v>
      </c>
      <c r="B171" s="33" t="s">
        <v>1298</v>
      </c>
      <c r="C171" s="66">
        <v>2.5</v>
      </c>
      <c r="D171" s="66">
        <v>2</v>
      </c>
      <c r="E171" s="29" t="str">
        <f>"*"&amp;Table1[[#This Row],[Frame]]&amp;"*"</f>
        <v>*F550-01R*</v>
      </c>
    </row>
    <row r="172" spans="1:6" ht="36.75" customHeight="1">
      <c r="A172" s="32" t="s">
        <v>1204</v>
      </c>
      <c r="B172" s="33" t="s">
        <v>1206</v>
      </c>
      <c r="C172" s="66">
        <v>3</v>
      </c>
      <c r="D172" s="66">
        <v>2</v>
      </c>
      <c r="E172" s="29" t="str">
        <f>"*"&amp;Table1[[#This Row],[Frame]]&amp;"*"</f>
        <v>*F550-03L*</v>
      </c>
    </row>
    <row r="173" spans="1:6" ht="36.75" customHeight="1">
      <c r="A173" s="32" t="s">
        <v>1203</v>
      </c>
      <c r="B173" s="33" t="s">
        <v>1205</v>
      </c>
      <c r="C173" s="66">
        <v>3</v>
      </c>
      <c r="D173" s="66">
        <v>2</v>
      </c>
      <c r="E173" s="29" t="str">
        <f>"*"&amp;Table1[[#This Row],[Frame]]&amp;"*"</f>
        <v>*F550-03R*</v>
      </c>
    </row>
    <row r="174" spans="1:6" ht="36.75" customHeight="1">
      <c r="A174" s="32" t="s">
        <v>1207</v>
      </c>
      <c r="B174" s="33" t="s">
        <v>1211</v>
      </c>
      <c r="C174" s="66">
        <v>3.25</v>
      </c>
      <c r="D174" s="66">
        <v>2</v>
      </c>
      <c r="E174" s="29" t="str">
        <f>"*"&amp;Table1[[#This Row],[Frame]]&amp;"*"</f>
        <v>*F550-05L*</v>
      </c>
    </row>
    <row r="175" spans="1:6" ht="36.75" customHeight="1">
      <c r="A175" s="32" t="s">
        <v>1210</v>
      </c>
      <c r="B175" s="33" t="s">
        <v>1211</v>
      </c>
      <c r="C175" s="66">
        <v>3.25</v>
      </c>
      <c r="D175" s="66">
        <v>2</v>
      </c>
      <c r="E175" s="29" t="str">
        <f>"*"&amp;Table1[[#This Row],[Frame]]&amp;"*"</f>
        <v>*F550-05R*</v>
      </c>
    </row>
    <row r="176" spans="1:6" ht="36.75" customHeight="1">
      <c r="A176" s="32" t="s">
        <v>1291</v>
      </c>
      <c r="B176" s="33" t="s">
        <v>1294</v>
      </c>
      <c r="C176" s="66">
        <v>4</v>
      </c>
      <c r="D176" s="66">
        <v>2.25</v>
      </c>
      <c r="E176" s="29" t="str">
        <f>"*"&amp;Table1[[#This Row],[Frame]]&amp;"*"</f>
        <v>*F550-13L*</v>
      </c>
    </row>
    <row r="177" spans="1:6" ht="36.75" customHeight="1">
      <c r="A177" s="32" t="s">
        <v>1292</v>
      </c>
      <c r="B177" s="33" t="s">
        <v>1293</v>
      </c>
      <c r="C177" s="66">
        <v>4</v>
      </c>
      <c r="D177" s="66">
        <v>2.25</v>
      </c>
      <c r="E177" s="29" t="str">
        <f>"*"&amp;Table1[[#This Row],[Frame]]&amp;"*"</f>
        <v>*F550-13R*</v>
      </c>
    </row>
    <row r="178" spans="1:6" ht="36.75" customHeight="1">
      <c r="A178" s="32" t="s">
        <v>1296</v>
      </c>
      <c r="B178" s="33" t="s">
        <v>1299</v>
      </c>
      <c r="C178" s="66">
        <v>1.6</v>
      </c>
      <c r="D178" s="66">
        <v>1</v>
      </c>
      <c r="E178" s="29" t="str">
        <f>"*"&amp;Table1[[#This Row],[Frame]]&amp;"*"</f>
        <v>*F550-31*</v>
      </c>
    </row>
    <row r="179" spans="1:6" ht="36.75" customHeight="1">
      <c r="A179" s="32" t="s">
        <v>1455</v>
      </c>
      <c r="B179" s="33" t="s">
        <v>1463</v>
      </c>
      <c r="C179" s="66">
        <v>2.5</v>
      </c>
      <c r="D179" s="66">
        <v>1.25</v>
      </c>
      <c r="E179" s="29" t="str">
        <f>"*"&amp;Table1[[#This Row],[Frame]]&amp;"*"</f>
        <v>*F550-32*</v>
      </c>
    </row>
    <row r="180" spans="1:6" ht="36.75" customHeight="1">
      <c r="A180" s="32" t="s">
        <v>1361</v>
      </c>
      <c r="B180" s="33" t="s">
        <v>1362</v>
      </c>
      <c r="C180" s="66">
        <v>2.6</v>
      </c>
      <c r="D180" s="66">
        <v>1.75</v>
      </c>
      <c r="E180" s="29" t="str">
        <f>"*"&amp;Table1[[#This Row],[Frame]]&amp;"*"</f>
        <v>*F550-33*</v>
      </c>
    </row>
    <row r="181" spans="1:6" ht="36.75" customHeight="1">
      <c r="A181" s="32" t="s">
        <v>1822</v>
      </c>
      <c r="B181" s="33" t="s">
        <v>1823</v>
      </c>
      <c r="C181" s="66">
        <v>2.5</v>
      </c>
      <c r="D181" s="66">
        <v>1.6</v>
      </c>
      <c r="E181" s="29" t="str">
        <f>"*"&amp;Table1[[#This Row],[Frame]]&amp;"*"</f>
        <v>*F551-01*</v>
      </c>
    </row>
    <row r="182" spans="1:6" ht="36.75" customHeight="1">
      <c r="A182" s="32" t="s">
        <v>1363</v>
      </c>
      <c r="B182" s="33" t="s">
        <v>1365</v>
      </c>
      <c r="C182" s="66">
        <v>2.4500000000000002</v>
      </c>
      <c r="D182" s="66">
        <v>1.5</v>
      </c>
      <c r="E182" s="29" t="str">
        <f>"*"&amp;Table1[[#This Row],[Frame]]&amp;"*"</f>
        <v>*F551-01L*</v>
      </c>
    </row>
    <row r="183" spans="1:6" ht="36.75" customHeight="1">
      <c r="A183" s="32" t="s">
        <v>1364</v>
      </c>
      <c r="B183" s="33" t="s">
        <v>1365</v>
      </c>
      <c r="C183" s="66">
        <v>2.4500000000000002</v>
      </c>
      <c r="D183" s="66">
        <v>1.5</v>
      </c>
      <c r="E183" s="29" t="str">
        <f>"*"&amp;Table1[[#This Row],[Frame]]&amp;"*"</f>
        <v>*F551-01R*</v>
      </c>
    </row>
    <row r="184" spans="1:6" ht="36.75" customHeight="1">
      <c r="A184" s="308" t="s">
        <v>1824</v>
      </c>
      <c r="B184" s="324" t="s">
        <v>1827</v>
      </c>
      <c r="C184" s="336">
        <v>3</v>
      </c>
      <c r="D184" s="336">
        <v>2</v>
      </c>
      <c r="E184" s="352" t="str">
        <f>"*"&amp;Table1[[#This Row],[Frame]]&amp;"*"</f>
        <v>*F551-02*</v>
      </c>
      <c r="F184" s="296"/>
    </row>
    <row r="185" spans="1:6" ht="36.75" customHeight="1">
      <c r="A185" s="32" t="s">
        <v>1272</v>
      </c>
      <c r="B185" s="33" t="s">
        <v>1275</v>
      </c>
      <c r="C185" s="66">
        <v>2.5</v>
      </c>
      <c r="D185" s="66">
        <v>2.25</v>
      </c>
      <c r="E185" s="29" t="str">
        <f>"*"&amp;Table1[[#This Row],[Frame]]&amp;"*"</f>
        <v>*F551-02R*</v>
      </c>
    </row>
    <row r="186" spans="1:6" ht="36.75" customHeight="1">
      <c r="A186" s="311" t="s">
        <v>1806</v>
      </c>
      <c r="B186" s="325" t="s">
        <v>1807</v>
      </c>
      <c r="C186" s="338">
        <f>2.85+0.25</f>
        <v>3.1</v>
      </c>
      <c r="D186" s="338">
        <v>2.75</v>
      </c>
      <c r="E186" s="354" t="str">
        <f>"*"&amp;Table1[[#This Row],[Frame]]&amp;"*"</f>
        <v>*F551-03*</v>
      </c>
      <c r="F186" s="286"/>
    </row>
    <row r="187" spans="1:6" ht="36.75" customHeight="1">
      <c r="A187" s="303" t="s">
        <v>1154</v>
      </c>
      <c r="B187" s="320" t="s">
        <v>1155</v>
      </c>
      <c r="C187" s="332">
        <v>2.85</v>
      </c>
      <c r="D187" s="332">
        <v>2.5</v>
      </c>
      <c r="E187" s="29" t="str">
        <f>"*"&amp;Table1[[#This Row],[Frame]]&amp;"*"</f>
        <v>*F551-03L*</v>
      </c>
      <c r="F187" s="47" t="s">
        <v>1098</v>
      </c>
    </row>
    <row r="188" spans="1:6" ht="36.75" customHeight="1">
      <c r="A188" s="303" t="s">
        <v>1150</v>
      </c>
      <c r="B188" s="320" t="s">
        <v>1153</v>
      </c>
      <c r="C188" s="332">
        <v>2.85</v>
      </c>
      <c r="D188" s="332">
        <v>2.5</v>
      </c>
      <c r="E188" s="29" t="str">
        <f>"*"&amp;Table1[[#This Row],[Frame]]&amp;"*"</f>
        <v>*F551-03R*</v>
      </c>
      <c r="F188" s="47" t="s">
        <v>1098</v>
      </c>
    </row>
    <row r="189" spans="1:6" ht="36.75" customHeight="1">
      <c r="A189" s="32" t="s">
        <v>1242</v>
      </c>
      <c r="B189" s="33" t="s">
        <v>1247</v>
      </c>
      <c r="C189" s="66">
        <v>3.35</v>
      </c>
      <c r="D189" s="66">
        <v>2.5</v>
      </c>
      <c r="E189" s="29" t="str">
        <f>"*"&amp;Table1[[#This Row],[Frame]]&amp;"*"</f>
        <v>*F551-05L*</v>
      </c>
    </row>
    <row r="190" spans="1:6" ht="36.75" customHeight="1">
      <c r="A190" s="32" t="s">
        <v>1245</v>
      </c>
      <c r="B190" s="33" t="s">
        <v>1247</v>
      </c>
      <c r="C190" s="66">
        <v>3.35</v>
      </c>
      <c r="D190" s="66">
        <v>2.5</v>
      </c>
      <c r="E190" s="29" t="str">
        <f>"*"&amp;Table1[[#This Row],[Frame]]&amp;"*"</f>
        <v>*F551-05R*</v>
      </c>
    </row>
    <row r="191" spans="1:6" ht="36.75" customHeight="1">
      <c r="A191" s="32" t="s">
        <v>1413</v>
      </c>
      <c r="B191" s="33" t="s">
        <v>1414</v>
      </c>
      <c r="C191" s="66">
        <v>2.85</v>
      </c>
      <c r="D191" s="66">
        <v>2.25</v>
      </c>
      <c r="E191" s="29" t="str">
        <f>"*"&amp;Table1[[#This Row],[Frame]]&amp;"*"</f>
        <v>*F551-08*</v>
      </c>
    </row>
    <row r="192" spans="1:6" ht="36.75" customHeight="1">
      <c r="A192" s="303" t="s">
        <v>1146</v>
      </c>
      <c r="B192" s="320" t="s">
        <v>1147</v>
      </c>
      <c r="C192" s="332">
        <v>3.85</v>
      </c>
      <c r="D192" s="332">
        <v>2.75</v>
      </c>
      <c r="E192" s="29" t="str">
        <f>"*"&amp;Table1[[#This Row],[Frame]]&amp;"*"</f>
        <v>*F551-13L*</v>
      </c>
      <c r="F192" s="47" t="s">
        <v>1098</v>
      </c>
    </row>
    <row r="193" spans="1:6" ht="36.75" customHeight="1">
      <c r="A193" s="303" t="s">
        <v>1148</v>
      </c>
      <c r="B193" s="320" t="s">
        <v>1149</v>
      </c>
      <c r="C193" s="332">
        <v>3.85</v>
      </c>
      <c r="D193" s="332">
        <v>2.75</v>
      </c>
      <c r="E193" s="29" t="str">
        <f>"*"&amp;Table1[[#This Row],[Frame]]&amp;"*"</f>
        <v>*F551-13R*</v>
      </c>
      <c r="F193" s="47" t="s">
        <v>1098</v>
      </c>
    </row>
    <row r="194" spans="1:6" ht="36.75" customHeight="1">
      <c r="A194" s="32" t="s">
        <v>1484</v>
      </c>
      <c r="B194" s="33" t="s">
        <v>1495</v>
      </c>
      <c r="C194" s="66">
        <v>2.35</v>
      </c>
      <c r="D194" s="66">
        <v>1</v>
      </c>
      <c r="E194" s="29" t="str">
        <f>"*"&amp;Table1[[#This Row],[Frame]]&amp;"*"</f>
        <v>*F551-30*</v>
      </c>
    </row>
    <row r="195" spans="1:6" ht="36.75" customHeight="1">
      <c r="A195" s="32" t="s">
        <v>1391</v>
      </c>
      <c r="B195" s="33" t="s">
        <v>1393</v>
      </c>
      <c r="C195" s="66">
        <v>2</v>
      </c>
      <c r="D195" s="66">
        <v>1.1499999999999999</v>
      </c>
      <c r="E195" s="29" t="str">
        <f>"*"&amp;Table1[[#This Row],[Frame]]&amp;"*"</f>
        <v>*F551-31*</v>
      </c>
    </row>
    <row r="196" spans="1:6" ht="36.75" customHeight="1">
      <c r="A196" s="32" t="s">
        <v>1271</v>
      </c>
      <c r="B196" s="33" t="s">
        <v>1273</v>
      </c>
      <c r="C196" s="66">
        <v>2.2999999999999998</v>
      </c>
      <c r="D196" s="66">
        <v>1.45</v>
      </c>
      <c r="E196" s="29" t="str">
        <f>"*"&amp;Table1[[#This Row],[Frame]]&amp;"*"</f>
        <v>*F551-32*</v>
      </c>
    </row>
    <row r="197" spans="1:6" ht="36.75" customHeight="1">
      <c r="A197" s="32" t="s">
        <v>1243</v>
      </c>
      <c r="B197" s="33" t="s">
        <v>1246</v>
      </c>
      <c r="C197" s="66">
        <v>2.6</v>
      </c>
      <c r="D197" s="66">
        <v>1.75</v>
      </c>
      <c r="E197" s="29" t="str">
        <f>"*"&amp;Table1[[#This Row],[Frame]]&amp;"*"</f>
        <v>*F551-33*</v>
      </c>
    </row>
    <row r="198" spans="1:6" ht="36.75" customHeight="1">
      <c r="A198" s="220" t="s">
        <v>1087</v>
      </c>
      <c r="B198" s="221" t="s">
        <v>1088</v>
      </c>
      <c r="C198" s="222">
        <v>3.1</v>
      </c>
      <c r="D198" s="222">
        <v>1.5</v>
      </c>
      <c r="E198" s="29" t="str">
        <f>"*"&amp;Table1[[#This Row],[Frame]]&amp;"*"</f>
        <v>*F552-02*</v>
      </c>
      <c r="F198" s="47" t="s">
        <v>1098</v>
      </c>
    </row>
    <row r="199" spans="1:6" ht="36.75" customHeight="1">
      <c r="A199" s="32" t="s">
        <v>1074</v>
      </c>
      <c r="B199" s="221" t="s">
        <v>1078</v>
      </c>
      <c r="C199" s="222">
        <v>3.35</v>
      </c>
      <c r="D199" s="222">
        <v>1.75</v>
      </c>
      <c r="E199" s="29" t="str">
        <f>"*"&amp;Table1[[#This Row],[Frame]]&amp;"*"</f>
        <v>*F552-03*</v>
      </c>
      <c r="F199" s="47" t="s">
        <v>1098</v>
      </c>
    </row>
    <row r="200" spans="1:6" ht="36.75" customHeight="1">
      <c r="A200" s="32" t="s">
        <v>1218</v>
      </c>
      <c r="B200" s="33" t="s">
        <v>1220</v>
      </c>
      <c r="C200" s="66">
        <v>2.5</v>
      </c>
      <c r="D200" s="66">
        <v>1.25</v>
      </c>
      <c r="E200" s="29" t="str">
        <f>"*"&amp;Table1[[#This Row],[Frame]]&amp;"*"</f>
        <v>*F553-01*</v>
      </c>
    </row>
    <row r="201" spans="1:6" ht="36.75" customHeight="1">
      <c r="A201" s="32" t="s">
        <v>1214</v>
      </c>
      <c r="B201" s="33" t="s">
        <v>1217</v>
      </c>
      <c r="C201" s="66">
        <v>3.15</v>
      </c>
      <c r="D201" s="66">
        <v>1.5</v>
      </c>
      <c r="E201" s="29" t="str">
        <f>"*"&amp;Table1[[#This Row],[Frame]]&amp;"*"</f>
        <v>*F553-02*</v>
      </c>
    </row>
    <row r="202" spans="1:6" ht="36.75" customHeight="1">
      <c r="A202" s="32" t="s">
        <v>1216</v>
      </c>
      <c r="B202" s="33" t="s">
        <v>1219</v>
      </c>
      <c r="C202" s="66">
        <v>3.5</v>
      </c>
      <c r="D202" s="66">
        <v>1.75</v>
      </c>
      <c r="E202" s="29" t="str">
        <f>"*"&amp;Table1[[#This Row],[Frame]]&amp;"*"</f>
        <v>*F553-03*</v>
      </c>
    </row>
    <row r="203" spans="1:6" ht="36.75" customHeight="1">
      <c r="A203" s="32" t="s">
        <v>1216</v>
      </c>
      <c r="B203" s="33" t="s">
        <v>1219</v>
      </c>
      <c r="C203" s="66">
        <v>3.5</v>
      </c>
      <c r="D203" s="66">
        <v>1.75</v>
      </c>
      <c r="E203" s="29" t="str">
        <f>"*"&amp;Table1[[#This Row],[Frame]]&amp;"*"</f>
        <v>*F553-03*</v>
      </c>
    </row>
    <row r="204" spans="1:6" ht="36.75" customHeight="1">
      <c r="A204" s="32" t="s">
        <v>1227</v>
      </c>
      <c r="B204" s="33" t="s">
        <v>1229</v>
      </c>
      <c r="C204" s="66">
        <v>1</v>
      </c>
      <c r="D204" s="66">
        <v>0.75</v>
      </c>
      <c r="E204" s="29" t="str">
        <f>"*"&amp;Table1[[#This Row],[Frame]]&amp;"*"</f>
        <v>*F553-09*</v>
      </c>
    </row>
    <row r="205" spans="1:6" ht="36.75" customHeight="1">
      <c r="A205" s="32" t="s">
        <v>1310</v>
      </c>
      <c r="B205" s="33" t="s">
        <v>1320</v>
      </c>
      <c r="C205" s="66">
        <v>3.7</v>
      </c>
      <c r="D205" s="66">
        <v>3</v>
      </c>
      <c r="E205" s="29" t="str">
        <f>"*"&amp;Table1[[#This Row],[Frame]]&amp;"*"</f>
        <v>*F555-03L*</v>
      </c>
    </row>
    <row r="206" spans="1:6" ht="36.75" customHeight="1">
      <c r="A206" s="32" t="s">
        <v>1311</v>
      </c>
      <c r="B206" s="33" t="s">
        <v>1319</v>
      </c>
      <c r="C206" s="66">
        <v>3.7</v>
      </c>
      <c r="D206" s="66">
        <v>3</v>
      </c>
      <c r="E206" s="29" t="str">
        <f>"*"&amp;Table1[[#This Row],[Frame]]&amp;"*"</f>
        <v>*F555-03R*</v>
      </c>
    </row>
    <row r="207" spans="1:6" ht="36.75" customHeight="1">
      <c r="A207" s="32" t="s">
        <v>1315</v>
      </c>
      <c r="B207" s="33" t="s">
        <v>1318</v>
      </c>
      <c r="C207" s="66">
        <v>4.75</v>
      </c>
      <c r="D207" s="66">
        <v>3.25</v>
      </c>
      <c r="E207" s="29" t="str">
        <f>"*"&amp;Table1[[#This Row],[Frame]]&amp;"*"</f>
        <v>*F555-13L*</v>
      </c>
    </row>
    <row r="208" spans="1:6" ht="36.75" customHeight="1">
      <c r="A208" s="32" t="s">
        <v>1312</v>
      </c>
      <c r="B208" s="33" t="s">
        <v>1317</v>
      </c>
      <c r="C208" s="66">
        <v>4.75</v>
      </c>
      <c r="D208" s="66">
        <v>3.25</v>
      </c>
      <c r="E208" s="29" t="str">
        <f>"*"&amp;Table1[[#This Row],[Frame]]&amp;"*"</f>
        <v>*F555-13R*</v>
      </c>
    </row>
    <row r="209" spans="1:6" ht="36.75" customHeight="1">
      <c r="A209" s="32" t="s">
        <v>1325</v>
      </c>
      <c r="B209" s="33" t="s">
        <v>1326</v>
      </c>
      <c r="C209" s="66">
        <v>1.6</v>
      </c>
      <c r="D209" s="66">
        <v>0.75</v>
      </c>
      <c r="E209" s="29" t="str">
        <f>"*"&amp;Table1[[#This Row],[Frame]]&amp;"*"</f>
        <v>*F555-31*</v>
      </c>
    </row>
    <row r="210" spans="1:6" ht="36.75" customHeight="1">
      <c r="A210" s="32" t="s">
        <v>1316</v>
      </c>
      <c r="B210" s="33" t="s">
        <v>1327</v>
      </c>
      <c r="C210" s="66">
        <v>2.6</v>
      </c>
      <c r="D210" s="66">
        <v>1.75</v>
      </c>
      <c r="E210" s="29" t="str">
        <f>"*"&amp;Table1[[#This Row],[Frame]]&amp;"*"</f>
        <v>*F555-33*</v>
      </c>
    </row>
    <row r="211" spans="1:6" ht="36.75" customHeight="1">
      <c r="A211" s="32" t="s">
        <v>1323</v>
      </c>
      <c r="B211" s="33" t="s">
        <v>1324</v>
      </c>
      <c r="C211" s="66">
        <v>4.5</v>
      </c>
      <c r="D211" s="66">
        <v>3.25</v>
      </c>
      <c r="E211" s="29" t="str">
        <f>"*"&amp;Table1[[#This Row],[Frame]]&amp;"*"</f>
        <v>*F555-53L*</v>
      </c>
    </row>
    <row r="212" spans="1:6" ht="36.75" customHeight="1">
      <c r="A212" s="32" t="s">
        <v>1321</v>
      </c>
      <c r="B212" s="33" t="s">
        <v>1322</v>
      </c>
      <c r="C212" s="66">
        <v>4.5</v>
      </c>
      <c r="D212" s="66">
        <v>3.25</v>
      </c>
      <c r="E212" s="29" t="str">
        <f>"*"&amp;Table1[[#This Row],[Frame]]&amp;"*"</f>
        <v>*F555-53R*</v>
      </c>
    </row>
    <row r="213" spans="1:6" ht="36.75" customHeight="1">
      <c r="A213" s="32" t="s">
        <v>1334</v>
      </c>
      <c r="B213" s="33" t="s">
        <v>1335</v>
      </c>
      <c r="C213" s="66">
        <v>3</v>
      </c>
      <c r="D213" s="66">
        <v>1.25</v>
      </c>
      <c r="E213" s="29" t="str">
        <f>"*"&amp;Table1[[#This Row],[Frame]]&amp;"*"</f>
        <v>*F556-01*</v>
      </c>
    </row>
    <row r="214" spans="1:6" ht="36.75" customHeight="1">
      <c r="A214" s="32" t="s">
        <v>1309</v>
      </c>
      <c r="B214" s="33" t="s">
        <v>1333</v>
      </c>
      <c r="C214" s="66">
        <v>3.2</v>
      </c>
      <c r="D214" s="66">
        <v>1.5</v>
      </c>
      <c r="E214" s="29" t="str">
        <f>"*"&amp;Table1[[#This Row],[Frame]]&amp;"*"</f>
        <v>*F556-02*</v>
      </c>
    </row>
    <row r="215" spans="1:6" ht="36.75" customHeight="1">
      <c r="A215" s="32" t="s">
        <v>1308</v>
      </c>
      <c r="B215" s="33" t="s">
        <v>1332</v>
      </c>
      <c r="C215" s="66">
        <v>3.35</v>
      </c>
      <c r="D215" s="66">
        <v>1.75</v>
      </c>
      <c r="E215" s="29" t="str">
        <f>"*"&amp;Table1[[#This Row],[Frame]]&amp;"*"</f>
        <v>*F556-03*</v>
      </c>
    </row>
    <row r="216" spans="1:6" ht="36.75" customHeight="1">
      <c r="A216" s="32" t="s">
        <v>1336</v>
      </c>
      <c r="B216" s="33" t="s">
        <v>1337</v>
      </c>
      <c r="C216" s="66">
        <v>1</v>
      </c>
      <c r="D216" s="66">
        <v>0.75</v>
      </c>
      <c r="E216" s="29" t="str">
        <f>"*"&amp;Table1[[#This Row],[Frame]]&amp;"*"</f>
        <v>*F556-09*</v>
      </c>
    </row>
    <row r="217" spans="1:6" ht="36.75" customHeight="1">
      <c r="A217" s="32" t="s">
        <v>1402</v>
      </c>
      <c r="B217" s="33" t="s">
        <v>1406</v>
      </c>
      <c r="C217" s="66">
        <v>2.85</v>
      </c>
      <c r="D217" s="66">
        <v>2</v>
      </c>
      <c r="E217" s="29" t="str">
        <f>"*"&amp;Table1[[#This Row],[Frame]]&amp;"*"</f>
        <v>*F558-01*</v>
      </c>
    </row>
    <row r="218" spans="1:6" ht="36.75" customHeight="1">
      <c r="A218" s="32" t="s">
        <v>1401</v>
      </c>
      <c r="B218" s="33" t="s">
        <v>1405</v>
      </c>
      <c r="C218" s="66">
        <v>2.95</v>
      </c>
      <c r="D218" s="66">
        <v>2.85</v>
      </c>
      <c r="E218" s="29" t="str">
        <f>"*"&amp;Table1[[#This Row],[Frame]]&amp;"*"</f>
        <v>*F558-02*</v>
      </c>
    </row>
    <row r="219" spans="1:6" ht="36.75" customHeight="1">
      <c r="A219" s="32" t="s">
        <v>1403</v>
      </c>
      <c r="B219" s="33" t="s">
        <v>1404</v>
      </c>
      <c r="C219" s="66">
        <v>3.1</v>
      </c>
      <c r="D219" s="66">
        <v>2.25</v>
      </c>
      <c r="E219" s="29" t="str">
        <f>"*"&amp;Table1[[#This Row],[Frame]]&amp;"*"</f>
        <v>*F558-03*</v>
      </c>
    </row>
    <row r="220" spans="1:6" ht="36.75" customHeight="1">
      <c r="A220" s="32" t="s">
        <v>1410</v>
      </c>
      <c r="B220" s="33" t="s">
        <v>1411</v>
      </c>
      <c r="C220" s="66">
        <v>1</v>
      </c>
      <c r="D220" s="66">
        <v>0.5</v>
      </c>
      <c r="E220" s="29" t="str">
        <f>"*"&amp;Table1[[#This Row],[Frame]]&amp;"*"</f>
        <v>*F560-08*</v>
      </c>
    </row>
    <row r="221" spans="1:6" ht="36.75" customHeight="1">
      <c r="A221" s="32" t="s">
        <v>1172</v>
      </c>
      <c r="B221" s="33" t="s">
        <v>1173</v>
      </c>
      <c r="C221" s="66">
        <v>2.85</v>
      </c>
      <c r="D221" s="66">
        <v>1.25</v>
      </c>
      <c r="E221" s="29" t="str">
        <f>"*"&amp;Table1[[#This Row],[Frame]]&amp;"*"</f>
        <v>*F562-01*</v>
      </c>
      <c r="F221" s="47" t="s">
        <v>1098</v>
      </c>
    </row>
    <row r="222" spans="1:6" ht="36.75" customHeight="1">
      <c r="A222" s="220" t="s">
        <v>1080</v>
      </c>
      <c r="B222" s="221" t="s">
        <v>1083</v>
      </c>
      <c r="C222" s="222">
        <v>3.1</v>
      </c>
      <c r="D222" s="222">
        <v>1.5</v>
      </c>
      <c r="E222" s="29" t="str">
        <f>"*"&amp;Table1[[#This Row],[Frame]]&amp;"*"</f>
        <v>*F562-02*</v>
      </c>
      <c r="F222" s="47" t="s">
        <v>1098</v>
      </c>
    </row>
    <row r="223" spans="1:6" ht="36.75" customHeight="1">
      <c r="A223" s="220" t="s">
        <v>1081</v>
      </c>
      <c r="B223" s="221" t="s">
        <v>1082</v>
      </c>
      <c r="C223" s="222">
        <v>3.35</v>
      </c>
      <c r="D223" s="222">
        <v>1.75</v>
      </c>
      <c r="E223" s="29" t="str">
        <f>"*"&amp;Table1[[#This Row],[Frame]]&amp;"*"</f>
        <v>*F562-03*</v>
      </c>
      <c r="F223" s="47" t="s">
        <v>1098</v>
      </c>
    </row>
    <row r="224" spans="1:6" ht="36.75" customHeight="1">
      <c r="A224" s="32" t="s">
        <v>1367</v>
      </c>
      <c r="B224" s="33" t="s">
        <v>1368</v>
      </c>
      <c r="C224" s="66">
        <v>3.1</v>
      </c>
      <c r="D224" s="66">
        <v>1.5</v>
      </c>
      <c r="E224" s="29" t="str">
        <f>"*"&amp;Table1[[#This Row],[Frame]]&amp;"*"</f>
        <v>*F563-00*</v>
      </c>
    </row>
    <row r="225" spans="1:6" ht="36.75" customHeight="1">
      <c r="A225" s="37" t="s">
        <v>1185</v>
      </c>
      <c r="B225" s="33" t="s">
        <v>1187</v>
      </c>
      <c r="C225" s="66">
        <v>2.5</v>
      </c>
      <c r="D225" s="66">
        <v>1.75</v>
      </c>
      <c r="E225" s="29" t="str">
        <f>"*"&amp;Table1[[#This Row],[Frame]]&amp;"*"</f>
        <v>*F563-01*</v>
      </c>
    </row>
    <row r="226" spans="1:6" ht="36.75" customHeight="1">
      <c r="A226" s="32" t="s">
        <v>1073</v>
      </c>
      <c r="B226" s="33" t="s">
        <v>1075</v>
      </c>
      <c r="C226" s="222">
        <v>2.75</v>
      </c>
      <c r="D226" s="222">
        <v>2</v>
      </c>
      <c r="E226" s="29" t="str">
        <f>"*"&amp;Table1[[#This Row],[Frame]]&amp;"*"</f>
        <v>*F563-02*</v>
      </c>
      <c r="F226" s="47" t="s">
        <v>1098</v>
      </c>
    </row>
    <row r="227" spans="1:6" ht="36.75" customHeight="1">
      <c r="A227" s="32" t="s">
        <v>1077</v>
      </c>
      <c r="B227" s="221" t="s">
        <v>1076</v>
      </c>
      <c r="C227" s="222">
        <v>3</v>
      </c>
      <c r="D227" s="222">
        <v>2.25</v>
      </c>
      <c r="E227" s="29" t="str">
        <f>"*"&amp;Table1[[#This Row],[Frame]]&amp;"*"</f>
        <v>*F563-03*</v>
      </c>
      <c r="F227" s="47" t="s">
        <v>1098</v>
      </c>
    </row>
    <row r="228" spans="1:6" ht="36.75" customHeight="1">
      <c r="A228" s="32" t="s">
        <v>21</v>
      </c>
      <c r="B228" s="33" t="s">
        <v>22</v>
      </c>
      <c r="C228" s="66">
        <v>3.45</v>
      </c>
      <c r="D228" s="66">
        <v>2.25</v>
      </c>
      <c r="E228" s="29" t="str">
        <f>"*"&amp;Table1[[#This Row],[Frame]]&amp;"*"</f>
        <v>*F564A*</v>
      </c>
      <c r="F228" s="47" t="s">
        <v>1098</v>
      </c>
    </row>
    <row r="229" spans="1:6" ht="36.75" customHeight="1">
      <c r="A229" s="32" t="s">
        <v>23</v>
      </c>
      <c r="B229" s="33" t="s">
        <v>24</v>
      </c>
      <c r="C229" s="66">
        <v>3.25</v>
      </c>
      <c r="D229" s="66">
        <v>2</v>
      </c>
      <c r="E229" s="29" t="str">
        <f>"*"&amp;Table1[[#This Row],[Frame]]&amp;"*"</f>
        <v>*F564D*</v>
      </c>
      <c r="F229" s="47" t="s">
        <v>1098</v>
      </c>
    </row>
    <row r="230" spans="1:6" ht="36.75" customHeight="1">
      <c r="A230" s="32" t="s">
        <v>25</v>
      </c>
      <c r="B230" s="33" t="s">
        <v>26</v>
      </c>
      <c r="C230" s="66">
        <v>0.75</v>
      </c>
      <c r="D230" s="66">
        <v>0.5</v>
      </c>
      <c r="E230" s="29" t="str">
        <f>"*"&amp;Table1[[#This Row],[Frame]]&amp;"*"</f>
        <v>*F564J*</v>
      </c>
      <c r="F230" s="47" t="s">
        <v>1098</v>
      </c>
    </row>
    <row r="231" spans="1:6" ht="36.75" customHeight="1">
      <c r="A231" s="32" t="s">
        <v>699</v>
      </c>
      <c r="B231" s="33" t="s">
        <v>700</v>
      </c>
      <c r="C231" s="66">
        <v>3.1</v>
      </c>
      <c r="D231" s="66">
        <v>1.5</v>
      </c>
      <c r="E231" s="29" t="str">
        <f>"*"&amp;Table1[[#This Row],[Frame]]&amp;"*"</f>
        <v>*F564K*</v>
      </c>
      <c r="F231" s="47" t="s">
        <v>1098</v>
      </c>
    </row>
    <row r="232" spans="1:6" ht="36.75" customHeight="1">
      <c r="A232" s="32" t="s">
        <v>27</v>
      </c>
      <c r="B232" s="33" t="s">
        <v>28</v>
      </c>
      <c r="C232" s="66">
        <v>2.95</v>
      </c>
      <c r="D232" s="66">
        <v>1.75</v>
      </c>
      <c r="E232" s="29" t="str">
        <f>"*"&amp;Table1[[#This Row],[Frame]]&amp;"*"</f>
        <v>*F564S*</v>
      </c>
      <c r="F232" s="47" t="s">
        <v>1098</v>
      </c>
    </row>
    <row r="233" spans="1:6" ht="36.75" customHeight="1">
      <c r="A233" s="32" t="s">
        <v>1330</v>
      </c>
      <c r="B233" s="33" t="s">
        <v>1331</v>
      </c>
      <c r="C233" s="66">
        <v>3.5</v>
      </c>
      <c r="D233" s="66">
        <v>1.75</v>
      </c>
      <c r="E233" s="29" t="str">
        <f>"*"&amp;Table1[[#This Row],[Frame]]&amp;"*"</f>
        <v>*F565-02*</v>
      </c>
    </row>
    <row r="234" spans="1:6" ht="36.75" customHeight="1">
      <c r="A234" s="32" t="s">
        <v>1313</v>
      </c>
      <c r="B234" s="33" t="s">
        <v>1329</v>
      </c>
      <c r="C234" s="66">
        <v>4</v>
      </c>
      <c r="D234" s="66">
        <v>2</v>
      </c>
      <c r="E234" s="29" t="str">
        <f>"*"&amp;Table1[[#This Row],[Frame]]&amp;"*"</f>
        <v>*F565-03*</v>
      </c>
    </row>
    <row r="235" spans="1:6" ht="36.75" customHeight="1">
      <c r="A235" s="32" t="s">
        <v>1234</v>
      </c>
      <c r="B235" s="33" t="s">
        <v>1240</v>
      </c>
      <c r="C235" s="66">
        <v>3.1</v>
      </c>
      <c r="D235" s="66">
        <v>1.5</v>
      </c>
      <c r="E235" s="29" t="str">
        <f>"*"&amp;Table1[[#This Row],[Frame]]&amp;"*"</f>
        <v>*F566-01*</v>
      </c>
    </row>
    <row r="236" spans="1:6" ht="36.75" customHeight="1">
      <c r="A236" s="32" t="s">
        <v>1238</v>
      </c>
      <c r="B236" s="33" t="s">
        <v>1239</v>
      </c>
      <c r="C236" s="66">
        <v>3.5</v>
      </c>
      <c r="D236" s="66">
        <v>2</v>
      </c>
      <c r="E236" s="29" t="str">
        <f>"*"&amp;Table1[[#This Row],[Frame]]&amp;"*"</f>
        <v>*F566-02*</v>
      </c>
    </row>
    <row r="237" spans="1:6" ht="36.75" customHeight="1">
      <c r="A237" s="32" t="s">
        <v>1236</v>
      </c>
      <c r="B237" s="33" t="s">
        <v>1237</v>
      </c>
      <c r="C237" s="66">
        <v>4</v>
      </c>
      <c r="D237" s="66">
        <v>2.5</v>
      </c>
      <c r="E237" s="29" t="str">
        <f>"*"&amp;Table1[[#This Row],[Frame]]&amp;"*"</f>
        <v>*F566-03*</v>
      </c>
    </row>
    <row r="238" spans="1:6" ht="36.75" customHeight="1">
      <c r="A238" s="32" t="s">
        <v>1235</v>
      </c>
      <c r="B238" s="33" t="s">
        <v>1241</v>
      </c>
      <c r="C238" s="66">
        <v>1</v>
      </c>
      <c r="D238" s="66">
        <v>0.75</v>
      </c>
      <c r="E238" s="29" t="str">
        <f>"*"&amp;Table1[[#This Row],[Frame]]&amp;"*"</f>
        <v>*F566-09*</v>
      </c>
    </row>
    <row r="239" spans="1:6" ht="36.75" customHeight="1">
      <c r="A239" s="32" t="s">
        <v>1281</v>
      </c>
      <c r="B239" s="33" t="s">
        <v>1282</v>
      </c>
      <c r="C239" s="66">
        <v>3.3</v>
      </c>
      <c r="D239" s="66">
        <v>2.5</v>
      </c>
      <c r="E239" s="29" t="str">
        <f>"*"&amp;Table1[[#This Row],[Frame]]&amp;"*"</f>
        <v>*F567-01*</v>
      </c>
    </row>
    <row r="240" spans="1:6" ht="36.75" customHeight="1">
      <c r="A240" s="32" t="s">
        <v>1591</v>
      </c>
      <c r="B240" s="33" t="s">
        <v>1593</v>
      </c>
      <c r="C240" s="66">
        <v>3.8</v>
      </c>
      <c r="D240" s="66">
        <v>3</v>
      </c>
      <c r="E240" s="29" t="str">
        <f>"*"&amp;Table1[[#This Row],[Frame]]&amp;"*"</f>
        <v>*F567-02*</v>
      </c>
    </row>
    <row r="241" spans="1:6" ht="36.75" customHeight="1">
      <c r="A241" s="32" t="s">
        <v>1417</v>
      </c>
      <c r="B241" s="33" t="s">
        <v>1418</v>
      </c>
      <c r="C241" s="66">
        <v>4.3</v>
      </c>
      <c r="D241" s="66">
        <v>3.5</v>
      </c>
      <c r="E241" s="29" t="str">
        <f>"*"&amp;Table1[[#This Row],[Frame]]&amp;"*"</f>
        <v>*F567-03*</v>
      </c>
    </row>
    <row r="242" spans="1:6" ht="36.75" customHeight="1">
      <c r="A242" s="32" t="s">
        <v>1192</v>
      </c>
      <c r="B242" s="33" t="s">
        <v>1194</v>
      </c>
      <c r="C242" s="66">
        <v>3.8</v>
      </c>
      <c r="D242" s="66">
        <v>3</v>
      </c>
      <c r="E242" s="29" t="str">
        <f>"*"&amp;Table1[[#This Row],[Frame]]&amp;"*"</f>
        <v>*F567-03L*</v>
      </c>
    </row>
    <row r="243" spans="1:6" ht="36.75" customHeight="1">
      <c r="A243" s="32" t="s">
        <v>1192</v>
      </c>
      <c r="B243" s="33" t="s">
        <v>1194</v>
      </c>
      <c r="C243" s="66">
        <v>3.8</v>
      </c>
      <c r="D243" s="66">
        <v>3</v>
      </c>
      <c r="E243" s="29" t="str">
        <f>"*"&amp;Table1[[#This Row],[Frame]]&amp;"*"</f>
        <v>*F567-03L*</v>
      </c>
    </row>
    <row r="244" spans="1:6" ht="36.75" customHeight="1">
      <c r="A244" s="32" t="s">
        <v>1358</v>
      </c>
      <c r="B244" s="33" t="s">
        <v>1194</v>
      </c>
      <c r="C244" s="66">
        <v>3.8</v>
      </c>
      <c r="D244" s="66">
        <v>3</v>
      </c>
      <c r="E244" s="29" t="str">
        <f>"*"&amp;Table1[[#This Row],[Frame]]&amp;"*"</f>
        <v>*F567-03R*</v>
      </c>
    </row>
    <row r="245" spans="1:6" ht="36.75" customHeight="1">
      <c r="A245" s="32" t="s">
        <v>1289</v>
      </c>
      <c r="B245" s="33" t="s">
        <v>1290</v>
      </c>
      <c r="C245" s="66">
        <v>3.15</v>
      </c>
      <c r="D245" s="66">
        <v>2.25</v>
      </c>
      <c r="E245" s="29" t="str">
        <f>"*"&amp;Table1[[#This Row],[Frame]]&amp;"*"</f>
        <v>*F567-05L*</v>
      </c>
    </row>
    <row r="246" spans="1:6" ht="36.75" customHeight="1">
      <c r="A246" s="32" t="s">
        <v>1288</v>
      </c>
      <c r="B246" s="33" t="s">
        <v>1290</v>
      </c>
      <c r="C246" s="66">
        <v>3.15</v>
      </c>
      <c r="D246" s="66">
        <v>2.25</v>
      </c>
      <c r="E246" s="29" t="str">
        <f>"*"&amp;Table1[[#This Row],[Frame]]&amp;"*"</f>
        <v>*F567-05R*</v>
      </c>
    </row>
    <row r="247" spans="1:6" ht="36.75" customHeight="1">
      <c r="A247" s="32" t="s">
        <v>1359</v>
      </c>
      <c r="B247" s="33" t="s">
        <v>1195</v>
      </c>
      <c r="C247" s="66">
        <v>4.8499999999999996</v>
      </c>
      <c r="D247" s="66">
        <v>3.25</v>
      </c>
      <c r="E247" s="29" t="str">
        <f>"*"&amp;Table1[[#This Row],[Frame]]&amp;"*"</f>
        <v>*F567-13L*</v>
      </c>
    </row>
    <row r="248" spans="1:6" ht="36.75" customHeight="1">
      <c r="A248" s="32" t="s">
        <v>1193</v>
      </c>
      <c r="B248" s="33" t="s">
        <v>1195</v>
      </c>
      <c r="C248" s="66">
        <v>4.8499999999999996</v>
      </c>
      <c r="D248" s="66">
        <v>3.25</v>
      </c>
      <c r="E248" s="29" t="str">
        <f>"*"&amp;Table1[[#This Row],[Frame]]&amp;"*"</f>
        <v>*F567-13R*</v>
      </c>
    </row>
    <row r="249" spans="1:6" ht="36.75" customHeight="1">
      <c r="A249" s="32" t="s">
        <v>1193</v>
      </c>
      <c r="B249" s="33" t="s">
        <v>1195</v>
      </c>
      <c r="C249" s="66">
        <v>4.8499999999999996</v>
      </c>
      <c r="D249" s="66">
        <v>3.25</v>
      </c>
      <c r="E249" s="29" t="str">
        <f>"*"&amp;Table1[[#This Row],[Frame]]&amp;"*"</f>
        <v>*F567-13R*</v>
      </c>
    </row>
    <row r="250" spans="1:6" ht="36.75" customHeight="1">
      <c r="A250" s="32" t="s">
        <v>1285</v>
      </c>
      <c r="B250" s="33" t="s">
        <v>1286</v>
      </c>
      <c r="C250" s="66">
        <v>1.6</v>
      </c>
      <c r="D250" s="66">
        <v>0.75</v>
      </c>
      <c r="E250" s="29" t="str">
        <f>"*"&amp;Table1[[#This Row],[Frame]]&amp;"*"</f>
        <v>*F567-31*</v>
      </c>
    </row>
    <row r="251" spans="1:6" ht="36.75" customHeight="1">
      <c r="A251" s="32" t="s">
        <v>1283</v>
      </c>
      <c r="B251" s="33" t="s">
        <v>1287</v>
      </c>
      <c r="C251" s="66">
        <v>2.75</v>
      </c>
      <c r="D251" s="66">
        <v>1</v>
      </c>
      <c r="E251" s="29" t="str">
        <f>"*"&amp;Table1[[#This Row],[Frame]]&amp;"*"</f>
        <v>*F567-33*</v>
      </c>
    </row>
    <row r="252" spans="1:6" ht="36.75" customHeight="1">
      <c r="A252" s="303" t="s">
        <v>1181</v>
      </c>
      <c r="B252" s="320" t="s">
        <v>1178</v>
      </c>
      <c r="C252" s="332">
        <v>3</v>
      </c>
      <c r="D252" s="332">
        <v>1.5</v>
      </c>
      <c r="E252" s="29" t="str">
        <f>"*"&amp;Table1[[#This Row],[Frame]]&amp;"*"</f>
        <v>*F569-01*</v>
      </c>
      <c r="F252" s="47" t="s">
        <v>1098</v>
      </c>
    </row>
    <row r="253" spans="1:6" ht="36.75" customHeight="1">
      <c r="A253" s="303" t="s">
        <v>1177</v>
      </c>
      <c r="B253" s="320" t="s">
        <v>1180</v>
      </c>
      <c r="C253" s="332">
        <v>3.5</v>
      </c>
      <c r="D253" s="332">
        <v>2</v>
      </c>
      <c r="E253" s="29" t="str">
        <f>"*"&amp;Table1[[#This Row],[Frame]]&amp;"*"</f>
        <v>*F569-02*</v>
      </c>
      <c r="F253" s="47" t="s">
        <v>1098</v>
      </c>
    </row>
    <row r="254" spans="1:6" ht="36.75" customHeight="1">
      <c r="A254" s="303" t="s">
        <v>1174</v>
      </c>
      <c r="B254" s="320" t="s">
        <v>1179</v>
      </c>
      <c r="C254" s="332">
        <v>4</v>
      </c>
      <c r="D254" s="332">
        <v>2.25</v>
      </c>
      <c r="E254" s="29" t="str">
        <f>"*"&amp;Table1[[#This Row],[Frame]]&amp;"*"</f>
        <v>*F569-03*</v>
      </c>
      <c r="F254" s="47" t="s">
        <v>1098</v>
      </c>
    </row>
    <row r="255" spans="1:6" ht="36.75" customHeight="1">
      <c r="A255" s="32" t="s">
        <v>1221</v>
      </c>
      <c r="B255" s="33" t="s">
        <v>1222</v>
      </c>
      <c r="C255" s="66">
        <v>0.75</v>
      </c>
      <c r="D255" s="66">
        <v>0.5</v>
      </c>
      <c r="E255" s="29" t="str">
        <f>"*"&amp;Table1[[#This Row],[Frame]]&amp;"*"</f>
        <v>*F569-09*</v>
      </c>
    </row>
    <row r="256" spans="1:6" ht="36.75" customHeight="1">
      <c r="A256" s="32" t="s">
        <v>1258</v>
      </c>
      <c r="B256" s="33" t="s">
        <v>1263</v>
      </c>
      <c r="C256" s="66">
        <v>2.5</v>
      </c>
      <c r="D256" s="66">
        <v>1.75</v>
      </c>
      <c r="E256" s="29" t="str">
        <f>"*"&amp;Table1[[#This Row],[Frame]]&amp;"*"</f>
        <v>*F570-01*</v>
      </c>
    </row>
    <row r="257" spans="1:5" ht="36.75" customHeight="1">
      <c r="A257" s="32" t="s">
        <v>1256</v>
      </c>
      <c r="B257" s="33" t="s">
        <v>1264</v>
      </c>
      <c r="C257" s="66">
        <v>2.8</v>
      </c>
      <c r="D257" s="66">
        <v>2</v>
      </c>
      <c r="E257" s="29" t="str">
        <f>"*"&amp;Table1[[#This Row],[Frame]]&amp;"*"</f>
        <v>*F570-02*</v>
      </c>
    </row>
    <row r="258" spans="1:5" ht="36.75" customHeight="1">
      <c r="A258" s="32" t="s">
        <v>1255</v>
      </c>
      <c r="B258" s="33" t="s">
        <v>1265</v>
      </c>
      <c r="C258" s="66">
        <v>3.05</v>
      </c>
      <c r="D258" s="66">
        <v>2.25</v>
      </c>
      <c r="E258" s="29" t="str">
        <f>"*"&amp;Table1[[#This Row],[Frame]]&amp;"*"</f>
        <v>*F570-03*</v>
      </c>
    </row>
    <row r="259" spans="1:5" ht="36.75" customHeight="1">
      <c r="A259" s="32" t="s">
        <v>1266</v>
      </c>
      <c r="B259" s="33" t="s">
        <v>1267</v>
      </c>
      <c r="C259" s="66">
        <v>1</v>
      </c>
      <c r="D259" s="66">
        <v>0.75</v>
      </c>
      <c r="E259" s="29" t="str">
        <f>"*"&amp;Table1[[#This Row],[Frame]]&amp;"*"</f>
        <v>*F570-09*</v>
      </c>
    </row>
    <row r="260" spans="1:5" ht="36.75" customHeight="1">
      <c r="A260" s="32" t="s">
        <v>1467</v>
      </c>
      <c r="B260" s="33" t="s">
        <v>1471</v>
      </c>
      <c r="C260" s="66">
        <v>2</v>
      </c>
      <c r="D260" s="66">
        <v>1.75</v>
      </c>
      <c r="E260" s="29" t="str">
        <f>"*"&amp;Table1[[#This Row],[Frame]]&amp;"*"</f>
        <v>*F575-01*</v>
      </c>
    </row>
    <row r="261" spans="1:5" ht="36.75" customHeight="1">
      <c r="A261" s="32" t="s">
        <v>1469</v>
      </c>
      <c r="B261" s="33" t="s">
        <v>1470</v>
      </c>
      <c r="C261" s="66">
        <v>2.5</v>
      </c>
      <c r="D261" s="66">
        <v>2</v>
      </c>
      <c r="E261" s="29" t="str">
        <f>"*"&amp;Table1[[#This Row],[Frame]]&amp;"*"</f>
        <v>*F575-02*</v>
      </c>
    </row>
    <row r="262" spans="1:5" ht="36.75" customHeight="1">
      <c r="A262" s="32" t="s">
        <v>1466</v>
      </c>
      <c r="B262" s="33" t="s">
        <v>1468</v>
      </c>
      <c r="C262" s="66">
        <v>3</v>
      </c>
      <c r="D262" s="66">
        <v>2.25</v>
      </c>
      <c r="E262" s="29" t="str">
        <f>"*"&amp;Table1[[#This Row],[Frame]]&amp;"*"</f>
        <v>*F575-03*</v>
      </c>
    </row>
    <row r="263" spans="1:5" ht="36.75" customHeight="1">
      <c r="A263" s="32" t="s">
        <v>1371</v>
      </c>
      <c r="B263" s="33" t="s">
        <v>1370</v>
      </c>
      <c r="C263" s="66">
        <v>3.25</v>
      </c>
      <c r="D263" s="66">
        <v>1.75</v>
      </c>
      <c r="E263" s="29" t="str">
        <f>"*"&amp;Table1[[#This Row],[Frame]]&amp;"*"</f>
        <v>*F578-03L*</v>
      </c>
    </row>
    <row r="264" spans="1:5" ht="36.75" customHeight="1">
      <c r="A264" s="32" t="s">
        <v>1369</v>
      </c>
      <c r="B264" s="33" t="s">
        <v>1370</v>
      </c>
      <c r="C264" s="66">
        <v>3.25</v>
      </c>
      <c r="D264" s="66">
        <v>1.75</v>
      </c>
      <c r="E264" s="29" t="str">
        <f>"*"&amp;Table1[[#This Row],[Frame]]&amp;"*"</f>
        <v>*F578-03R*</v>
      </c>
    </row>
    <row r="265" spans="1:5" ht="36.75" customHeight="1">
      <c r="A265" s="32" t="s">
        <v>1373</v>
      </c>
      <c r="B265" s="33" t="s">
        <v>1372</v>
      </c>
      <c r="C265" s="66">
        <v>3.5</v>
      </c>
      <c r="D265" s="66">
        <v>2.25</v>
      </c>
      <c r="E265" s="29" t="str">
        <f>"*"&amp;Table1[[#This Row],[Frame]]&amp;"*"</f>
        <v>*F578-05L*</v>
      </c>
    </row>
    <row r="266" spans="1:5" ht="36.75" customHeight="1">
      <c r="A266" s="32" t="s">
        <v>1366</v>
      </c>
      <c r="B266" s="33" t="s">
        <v>1372</v>
      </c>
      <c r="C266" s="66">
        <v>3.5</v>
      </c>
      <c r="D266" s="66">
        <v>2.25</v>
      </c>
      <c r="E266" s="29" t="str">
        <f>"*"&amp;Table1[[#This Row],[Frame]]&amp;"*"</f>
        <v>*F578-05R*</v>
      </c>
    </row>
    <row r="267" spans="1:5" ht="36.75" customHeight="1">
      <c r="A267" s="32" t="s">
        <v>1538</v>
      </c>
      <c r="B267" s="33" t="s">
        <v>1539</v>
      </c>
      <c r="C267" s="66">
        <v>3.25</v>
      </c>
      <c r="D267" s="66">
        <v>2.25</v>
      </c>
      <c r="E267" s="29" t="str">
        <f>"*"&amp;Table1[[#This Row],[Frame]]&amp;"*"</f>
        <v>*f580-02*</v>
      </c>
    </row>
    <row r="268" spans="1:5" ht="36.75" customHeight="1">
      <c r="A268" s="32" t="s">
        <v>1480</v>
      </c>
      <c r="B268" s="33" t="s">
        <v>1482</v>
      </c>
      <c r="C268" s="66">
        <v>3.75</v>
      </c>
      <c r="D268" s="66">
        <v>2.75</v>
      </c>
      <c r="E268" s="29" t="str">
        <f>"*"&amp;Table1[[#This Row],[Frame]]&amp;"*"</f>
        <v>*F580-03*</v>
      </c>
    </row>
    <row r="269" spans="1:5" ht="36.75" customHeight="1">
      <c r="A269" s="32" t="s">
        <v>1464</v>
      </c>
      <c r="B269" s="33" t="s">
        <v>1465</v>
      </c>
      <c r="C269" s="66">
        <v>2.75</v>
      </c>
      <c r="D269" s="66">
        <v>1.25</v>
      </c>
      <c r="E269" s="29" t="str">
        <f>"*"&amp;Table1[[#This Row],[Frame]]&amp;"*"</f>
        <v>*F581-01*</v>
      </c>
    </row>
    <row r="270" spans="1:5" ht="36.75" customHeight="1">
      <c r="A270" s="32" t="s">
        <v>1576</v>
      </c>
      <c r="B270" s="33" t="s">
        <v>1453</v>
      </c>
      <c r="C270" s="66">
        <v>4.75</v>
      </c>
      <c r="D270" s="66">
        <v>3.25</v>
      </c>
      <c r="E270" s="29" t="str">
        <f>"*"&amp;Table1[[#This Row],[Frame]]&amp;"*"</f>
        <v>*F581-03*</v>
      </c>
    </row>
    <row r="271" spans="1:5" ht="36.75" customHeight="1">
      <c r="A271" s="32" t="s">
        <v>1345</v>
      </c>
      <c r="B271" s="33" t="s">
        <v>1348</v>
      </c>
      <c r="C271" s="66">
        <v>3.7</v>
      </c>
      <c r="D271" s="66">
        <v>3</v>
      </c>
      <c r="E271" s="29" t="str">
        <f>"*"&amp;Table1[[#This Row],[Frame]]&amp;"*"</f>
        <v>*F581-03L*</v>
      </c>
    </row>
    <row r="272" spans="1:5" ht="36.75" customHeight="1">
      <c r="A272" s="32" t="s">
        <v>1346</v>
      </c>
      <c r="B272" s="33" t="s">
        <v>1347</v>
      </c>
      <c r="C272" s="66">
        <v>3.7</v>
      </c>
      <c r="D272" s="66">
        <v>3</v>
      </c>
      <c r="E272" s="29" t="str">
        <f>"*"&amp;Table1[[#This Row],[Frame]]&amp;"*"</f>
        <v>*F581-03R*</v>
      </c>
    </row>
    <row r="273" spans="1:6" ht="36.75" customHeight="1">
      <c r="A273" s="32" t="s">
        <v>1342</v>
      </c>
      <c r="B273" s="33" t="s">
        <v>1343</v>
      </c>
      <c r="C273" s="66">
        <v>4.75</v>
      </c>
      <c r="D273" s="66">
        <v>3.25</v>
      </c>
      <c r="E273" s="29" t="str">
        <f>"*"&amp;Table1[[#This Row],[Frame]]&amp;"*"</f>
        <v>*F581-13L*</v>
      </c>
    </row>
    <row r="274" spans="1:6" ht="36.75" customHeight="1">
      <c r="A274" s="32" t="s">
        <v>1339</v>
      </c>
      <c r="B274" s="33" t="s">
        <v>1341</v>
      </c>
      <c r="C274" s="66">
        <v>4.75</v>
      </c>
      <c r="D274" s="66">
        <v>3.25</v>
      </c>
      <c r="E274" s="29" t="str">
        <f>"*"&amp;Table1[[#This Row],[Frame]]&amp;"*"</f>
        <v>*F581-13R*</v>
      </c>
    </row>
    <row r="275" spans="1:6" ht="36.75" customHeight="1">
      <c r="A275" s="32" t="s">
        <v>1452</v>
      </c>
      <c r="B275" s="33" t="s">
        <v>1453</v>
      </c>
      <c r="C275" s="66">
        <v>4.75</v>
      </c>
      <c r="D275" s="66">
        <v>3.25</v>
      </c>
      <c r="E275" s="29" t="str">
        <f>"*"&amp;Table1[[#This Row],[Frame]]&amp;"*"</f>
        <v>*F581A*</v>
      </c>
    </row>
    <row r="276" spans="1:6" ht="36.75" customHeight="1">
      <c r="A276" s="32" t="s">
        <v>716</v>
      </c>
      <c r="B276" s="33" t="s">
        <v>710</v>
      </c>
      <c r="C276" s="66">
        <v>3.5</v>
      </c>
      <c r="D276" s="66">
        <v>2.5</v>
      </c>
      <c r="E276" s="29" t="str">
        <f>"*"&amp;Table1[[#This Row],[Frame]]&amp;"*"</f>
        <v>*F584A*</v>
      </c>
      <c r="F276" s="47" t="s">
        <v>1098</v>
      </c>
    </row>
    <row r="277" spans="1:6" ht="36.75" customHeight="1">
      <c r="A277" s="32" t="s">
        <v>29</v>
      </c>
      <c r="B277" s="33" t="s">
        <v>645</v>
      </c>
      <c r="C277" s="66">
        <v>2.4500000000000002</v>
      </c>
      <c r="D277" s="66">
        <v>1.5</v>
      </c>
      <c r="E277" s="29" t="str">
        <f>"*"&amp;Table1[[#This Row],[Frame]]&amp;"*"</f>
        <v>*F584C*</v>
      </c>
      <c r="F277" s="47" t="s">
        <v>1098</v>
      </c>
    </row>
    <row r="278" spans="1:6" ht="36.75" customHeight="1">
      <c r="A278" s="32" t="s">
        <v>30</v>
      </c>
      <c r="B278" s="33" t="s">
        <v>31</v>
      </c>
      <c r="C278" s="66">
        <v>3.25</v>
      </c>
      <c r="D278" s="66">
        <v>2</v>
      </c>
      <c r="E278" s="29" t="str">
        <f>"*"&amp;Table1[[#This Row],[Frame]]&amp;"*"</f>
        <v>*F584CB*</v>
      </c>
      <c r="F278" s="47" t="s">
        <v>1098</v>
      </c>
    </row>
    <row r="279" spans="1:6" ht="36.75" customHeight="1">
      <c r="A279" s="32" t="s">
        <v>32</v>
      </c>
      <c r="B279" s="33" t="s">
        <v>33</v>
      </c>
      <c r="C279" s="66">
        <v>2.85</v>
      </c>
      <c r="D279" s="66">
        <v>2.25</v>
      </c>
      <c r="E279" s="29" t="str">
        <f>"*"&amp;Table1[[#This Row],[Frame]]&amp;"*"</f>
        <v>*F584CC*</v>
      </c>
      <c r="F279" s="47" t="s">
        <v>1098</v>
      </c>
    </row>
    <row r="280" spans="1:6" ht="36.75" customHeight="1">
      <c r="A280" s="32" t="s">
        <v>34</v>
      </c>
      <c r="B280" s="33" t="s">
        <v>35</v>
      </c>
      <c r="C280" s="66">
        <v>2.35</v>
      </c>
      <c r="D280" s="66">
        <v>1</v>
      </c>
      <c r="E280" s="29" t="str">
        <f>"*"&amp;Table1[[#This Row],[Frame]]&amp;"*"</f>
        <v>*F584CQ*</v>
      </c>
      <c r="F280" s="47" t="s">
        <v>1098</v>
      </c>
    </row>
    <row r="281" spans="1:6" ht="36.75" customHeight="1">
      <c r="A281" s="32" t="s">
        <v>36</v>
      </c>
      <c r="B281" s="33" t="s">
        <v>37</v>
      </c>
      <c r="C281" s="66">
        <v>3.25</v>
      </c>
      <c r="D281" s="66">
        <v>2</v>
      </c>
      <c r="E281" s="29" t="str">
        <f>"*"&amp;Table1[[#This Row],[Frame]]&amp;"*"</f>
        <v>*F584CZ*</v>
      </c>
      <c r="F281" s="47" t="s">
        <v>1098</v>
      </c>
    </row>
    <row r="282" spans="1:6" ht="36.75" customHeight="1">
      <c r="A282" s="32" t="s">
        <v>817</v>
      </c>
      <c r="B282" s="33" t="s">
        <v>819</v>
      </c>
      <c r="C282" s="66">
        <v>3</v>
      </c>
      <c r="D282" s="66">
        <v>2</v>
      </c>
      <c r="E282" s="29" t="str">
        <f>"*"&amp;Table1[[#This Row],[Frame]]&amp;"*"</f>
        <v>*F584D*</v>
      </c>
      <c r="F282" s="47" t="s">
        <v>1098</v>
      </c>
    </row>
    <row r="283" spans="1:6" ht="36.75" customHeight="1">
      <c r="A283" s="32" t="s">
        <v>38</v>
      </c>
      <c r="B283" s="39" t="s">
        <v>39</v>
      </c>
      <c r="C283" s="66">
        <v>2.6</v>
      </c>
      <c r="D283" s="67">
        <v>1.75</v>
      </c>
      <c r="E283" s="29" t="str">
        <f>"*"&amp;Table1[[#This Row],[Frame]]&amp;"*"</f>
        <v>*F584E*</v>
      </c>
      <c r="F283" s="47" t="s">
        <v>1098</v>
      </c>
    </row>
    <row r="284" spans="1:6" ht="36.75" customHeight="1">
      <c r="A284" s="32" t="s">
        <v>40</v>
      </c>
      <c r="B284" s="33" t="s">
        <v>41</v>
      </c>
      <c r="C284" s="66">
        <v>2.2000000000000002</v>
      </c>
      <c r="D284" s="66">
        <v>1.5</v>
      </c>
      <c r="E284" s="29" t="str">
        <f>"*"&amp;Table1[[#This Row],[Frame]]&amp;"*"</f>
        <v>*F584F*</v>
      </c>
      <c r="F284" s="47" t="s">
        <v>1098</v>
      </c>
    </row>
    <row r="285" spans="1:6" ht="36.75" customHeight="1">
      <c r="A285" s="32" t="s">
        <v>42</v>
      </c>
      <c r="B285" s="39" t="s">
        <v>43</v>
      </c>
      <c r="C285" s="66">
        <v>1.7</v>
      </c>
      <c r="D285" s="67">
        <v>1</v>
      </c>
      <c r="E285" s="29" t="str">
        <f>"*"&amp;Table1[[#This Row],[Frame]]&amp;"*"</f>
        <v>*F584I*</v>
      </c>
      <c r="F285" s="47" t="s">
        <v>1098</v>
      </c>
    </row>
    <row r="286" spans="1:6" ht="36.75" customHeight="1">
      <c r="A286" s="32" t="s">
        <v>1244</v>
      </c>
      <c r="B286" s="33" t="s">
        <v>1248</v>
      </c>
      <c r="C286" s="66">
        <v>1</v>
      </c>
      <c r="D286" s="66">
        <v>0.5</v>
      </c>
      <c r="E286" s="29" t="str">
        <f>"*"&amp;Table1[[#This Row],[Frame]]&amp;"*"</f>
        <v>*F584J*</v>
      </c>
    </row>
    <row r="287" spans="1:6" ht="36.75" customHeight="1">
      <c r="A287" s="32" t="s">
        <v>44</v>
      </c>
      <c r="B287" s="33" t="s">
        <v>45</v>
      </c>
      <c r="C287" s="66">
        <v>0.8</v>
      </c>
      <c r="D287" s="66">
        <v>0.5</v>
      </c>
      <c r="E287" s="29" t="str">
        <f>"*"&amp;Table1[[#This Row],[Frame]]&amp;"*"</f>
        <v>*F584JB*</v>
      </c>
      <c r="F287" s="47" t="s">
        <v>1098</v>
      </c>
    </row>
    <row r="288" spans="1:6" ht="36.75" customHeight="1">
      <c r="A288" s="32" t="s">
        <v>46</v>
      </c>
      <c r="B288" s="33" t="s">
        <v>47</v>
      </c>
      <c r="C288" s="66">
        <v>1.5</v>
      </c>
      <c r="D288" s="66">
        <v>0.75</v>
      </c>
      <c r="E288" s="29" t="str">
        <f>"*"&amp;Table1[[#This Row],[Frame]]&amp;"*"</f>
        <v>*F584JL*</v>
      </c>
      <c r="F288" s="47" t="s">
        <v>1098</v>
      </c>
    </row>
    <row r="289" spans="1:6" ht="36.75" customHeight="1">
      <c r="A289" s="32" t="s">
        <v>1544</v>
      </c>
      <c r="B289" s="33" t="s">
        <v>1545</v>
      </c>
      <c r="C289" s="66">
        <v>3</v>
      </c>
      <c r="D289" s="66">
        <v>1.5</v>
      </c>
      <c r="E289" s="29" t="str">
        <f>"*"&amp;Table1[[#This Row],[Frame]]&amp;"*"</f>
        <v>*F584K*</v>
      </c>
    </row>
    <row r="290" spans="1:6" ht="36.75" customHeight="1">
      <c r="A290" s="32" t="s">
        <v>48</v>
      </c>
      <c r="B290" s="33" t="s">
        <v>49</v>
      </c>
      <c r="C290" s="66">
        <v>3</v>
      </c>
      <c r="D290" s="66">
        <v>2</v>
      </c>
      <c r="E290" s="29" t="str">
        <f>"*"&amp;Table1[[#This Row],[Frame]]&amp;"*"</f>
        <v>*F584LA*</v>
      </c>
      <c r="F290" s="47" t="s">
        <v>1098</v>
      </c>
    </row>
    <row r="291" spans="1:6" ht="36.75" customHeight="1">
      <c r="A291" s="32" t="s">
        <v>50</v>
      </c>
      <c r="B291" s="33" t="s">
        <v>51</v>
      </c>
      <c r="C291" s="66">
        <v>2.4500000000000002</v>
      </c>
      <c r="D291" s="66">
        <v>1.5</v>
      </c>
      <c r="E291" s="29" t="str">
        <f>"*"&amp;Table1[[#This Row],[Frame]]&amp;"*"</f>
        <v>*F584LC*</v>
      </c>
      <c r="F291" s="47" t="s">
        <v>1098</v>
      </c>
    </row>
    <row r="292" spans="1:6" ht="36.75" customHeight="1">
      <c r="A292" s="32" t="s">
        <v>52</v>
      </c>
      <c r="B292" s="39" t="s">
        <v>53</v>
      </c>
      <c r="C292" s="66">
        <v>3.5</v>
      </c>
      <c r="D292" s="67">
        <v>2.25</v>
      </c>
      <c r="E292" s="29" t="str">
        <f>"*"&amp;Table1[[#This Row],[Frame]]&amp;"*"</f>
        <v>*F584P*</v>
      </c>
      <c r="F292" s="47" t="s">
        <v>1098</v>
      </c>
    </row>
    <row r="293" spans="1:6" ht="36.75" customHeight="1">
      <c r="A293" s="32" t="s">
        <v>54</v>
      </c>
      <c r="B293" s="39" t="s">
        <v>49</v>
      </c>
      <c r="C293" s="66">
        <v>3</v>
      </c>
      <c r="D293" s="67">
        <v>2</v>
      </c>
      <c r="E293" s="29" t="str">
        <f>"*"&amp;Table1[[#This Row],[Frame]]&amp;"*"</f>
        <v>*F584RA*</v>
      </c>
      <c r="F293" s="47" t="s">
        <v>1098</v>
      </c>
    </row>
    <row r="294" spans="1:6" ht="36.75" customHeight="1">
      <c r="A294" s="32" t="s">
        <v>444</v>
      </c>
      <c r="B294" s="33" t="s">
        <v>445</v>
      </c>
      <c r="C294" s="66">
        <v>2.4500000000000002</v>
      </c>
      <c r="D294" s="66">
        <v>1.25</v>
      </c>
      <c r="E294" s="29" t="str">
        <f>"*"&amp;Table1[[#This Row],[Frame]]&amp;"*"</f>
        <v>*F584RC*</v>
      </c>
      <c r="F294" s="47" t="s">
        <v>1098</v>
      </c>
    </row>
    <row r="295" spans="1:6" ht="36.75" customHeight="1">
      <c r="A295" s="32" t="s">
        <v>496</v>
      </c>
      <c r="B295" s="33" t="s">
        <v>375</v>
      </c>
      <c r="C295" s="66">
        <v>2.85</v>
      </c>
      <c r="D295" s="66">
        <v>2</v>
      </c>
      <c r="E295" s="29" t="str">
        <f>"*"&amp;Table1[[#This Row],[Frame]]&amp;"*"</f>
        <v>*F584S*</v>
      </c>
      <c r="F295" s="47" t="s">
        <v>1098</v>
      </c>
    </row>
    <row r="296" spans="1:6" ht="36.75" customHeight="1">
      <c r="A296" s="32" t="s">
        <v>55</v>
      </c>
      <c r="B296" s="39" t="s">
        <v>39</v>
      </c>
      <c r="C296" s="66">
        <v>2.6</v>
      </c>
      <c r="D296" s="67">
        <v>1.75</v>
      </c>
      <c r="E296" s="29" t="str">
        <f>"*"&amp;Table1[[#This Row],[Frame]]&amp;"*"</f>
        <v>*F584U*</v>
      </c>
      <c r="F296" s="47" t="s">
        <v>1098</v>
      </c>
    </row>
    <row r="297" spans="1:6" ht="36.75" customHeight="1">
      <c r="A297" s="32" t="s">
        <v>56</v>
      </c>
      <c r="B297" s="33" t="s">
        <v>57</v>
      </c>
      <c r="C297" s="66">
        <v>3.5</v>
      </c>
      <c r="D297" s="66">
        <v>2.25</v>
      </c>
      <c r="E297" s="29" t="str">
        <f>"*"&amp;Table1[[#This Row],[Frame]]&amp;"*"</f>
        <v>*F584Y*</v>
      </c>
      <c r="F297" s="47" t="s">
        <v>1098</v>
      </c>
    </row>
    <row r="298" spans="1:6" ht="36.75" customHeight="1">
      <c r="A298" s="32" t="s">
        <v>1620</v>
      </c>
      <c r="B298" s="33" t="s">
        <v>1627</v>
      </c>
      <c r="C298" s="66">
        <v>2.25</v>
      </c>
      <c r="D298" s="66">
        <v>1.75</v>
      </c>
      <c r="E298" s="29" t="str">
        <f>"*"&amp;Table1[[#This Row],[Frame]]&amp;"*"</f>
        <v>*F589-01*</v>
      </c>
    </row>
    <row r="299" spans="1:6" ht="36.75" customHeight="1">
      <c r="A299" s="32" t="s">
        <v>1615</v>
      </c>
      <c r="B299" s="33" t="s">
        <v>1628</v>
      </c>
      <c r="C299" s="66">
        <v>2.75</v>
      </c>
      <c r="D299" s="66">
        <v>2</v>
      </c>
      <c r="E299" s="29" t="str">
        <f>"*"&amp;Table1[[#This Row],[Frame]]&amp;"*"</f>
        <v>*F589-02*</v>
      </c>
    </row>
    <row r="300" spans="1:6" ht="36.75" customHeight="1">
      <c r="A300" s="32" t="s">
        <v>1582</v>
      </c>
      <c r="B300" s="33" t="s">
        <v>1590</v>
      </c>
      <c r="C300" s="66">
        <v>3.25</v>
      </c>
      <c r="D300" s="66">
        <v>2</v>
      </c>
      <c r="E300" s="29" t="str">
        <f>"*"&amp;Table1[[#This Row],[Frame]]&amp;"*"</f>
        <v>*F589-05L*</v>
      </c>
    </row>
    <row r="301" spans="1:6" ht="36.75" customHeight="1">
      <c r="A301" s="32" t="s">
        <v>1587</v>
      </c>
      <c r="B301" s="33" t="s">
        <v>1589</v>
      </c>
      <c r="C301" s="66">
        <v>3.25</v>
      </c>
      <c r="D301" s="66">
        <v>2</v>
      </c>
      <c r="E301" s="29" t="str">
        <f>"*"&amp;Table1[[#This Row],[Frame]]&amp;"*"</f>
        <v>*F589-05R*</v>
      </c>
    </row>
    <row r="302" spans="1:6" ht="36.75" customHeight="1">
      <c r="A302" s="32" t="s">
        <v>1594</v>
      </c>
      <c r="B302" s="33" t="s">
        <v>1596</v>
      </c>
      <c r="C302" s="66">
        <v>4</v>
      </c>
      <c r="D302" s="66">
        <v>2.25</v>
      </c>
      <c r="E302" s="29" t="str">
        <f>"*"&amp;Table1[[#This Row],[Frame]]&amp;"*"</f>
        <v>*F589-13L*</v>
      </c>
    </row>
    <row r="303" spans="1:6" ht="36.75" customHeight="1">
      <c r="A303" s="32" t="s">
        <v>1592</v>
      </c>
      <c r="B303" s="33" t="s">
        <v>1595</v>
      </c>
      <c r="C303" s="66">
        <v>4</v>
      </c>
      <c r="D303" s="66">
        <v>2.25</v>
      </c>
      <c r="E303" s="29" t="str">
        <f>"*"&amp;Table1[[#This Row],[Frame]]&amp;"*"</f>
        <v>*F589-13R*</v>
      </c>
    </row>
    <row r="304" spans="1:6" ht="36.75" customHeight="1">
      <c r="A304" s="32" t="s">
        <v>1581</v>
      </c>
      <c r="B304" s="33" t="s">
        <v>1588</v>
      </c>
      <c r="C304" s="66">
        <v>2.4500000000000002</v>
      </c>
      <c r="D304" s="66">
        <v>1.5</v>
      </c>
      <c r="E304" s="29" t="str">
        <f>"*"&amp;Table1[[#This Row],[Frame]]&amp;"*"</f>
        <v>*F589-32*</v>
      </c>
    </row>
    <row r="305" spans="1:6" ht="36.75" customHeight="1">
      <c r="A305" s="32" t="s">
        <v>1517</v>
      </c>
      <c r="B305" s="33" t="s">
        <v>1522</v>
      </c>
      <c r="C305" s="66">
        <v>2.5</v>
      </c>
      <c r="D305" s="66">
        <v>1.5</v>
      </c>
      <c r="E305" s="29" t="str">
        <f>"*"&amp;Table1[[#This Row],[Frame]]&amp;"*"</f>
        <v>*F593-01*</v>
      </c>
    </row>
    <row r="306" spans="1:6" ht="36.75" customHeight="1">
      <c r="A306" s="32" t="s">
        <v>1562</v>
      </c>
      <c r="B306" s="33" t="s">
        <v>1565</v>
      </c>
      <c r="C306" s="66">
        <v>2.75</v>
      </c>
      <c r="D306" s="66">
        <v>2</v>
      </c>
      <c r="E306" s="29" t="str">
        <f>"*"&amp;Table1[[#This Row],[Frame]]&amp;"*"</f>
        <v>*F593-02*</v>
      </c>
    </row>
    <row r="307" spans="1:6" ht="36.75" customHeight="1">
      <c r="A307" s="32" t="s">
        <v>1523</v>
      </c>
      <c r="B307" s="33" t="s">
        <v>1521</v>
      </c>
      <c r="C307" s="66">
        <v>3</v>
      </c>
      <c r="D307" s="66">
        <v>2.5</v>
      </c>
      <c r="E307" s="29" t="str">
        <f>"*"&amp;Table1[[#This Row],[Frame]]&amp;"*"</f>
        <v>*F593-03*</v>
      </c>
    </row>
    <row r="308" spans="1:6" ht="36.75" customHeight="1">
      <c r="A308" s="32" t="s">
        <v>438</v>
      </c>
      <c r="B308" s="33" t="s">
        <v>439</v>
      </c>
      <c r="C308" s="66">
        <v>1.1000000000000001</v>
      </c>
      <c r="D308" s="66">
        <v>0.5</v>
      </c>
      <c r="E308" s="29" t="str">
        <f>"*"&amp;Table1[[#This Row],[Frame]]&amp;"*"</f>
        <v>*F597J*</v>
      </c>
      <c r="F308" s="47" t="s">
        <v>1098</v>
      </c>
    </row>
    <row r="309" spans="1:6" ht="36.75" customHeight="1">
      <c r="A309" s="32" t="s">
        <v>617</v>
      </c>
      <c r="B309" s="33" t="s">
        <v>622</v>
      </c>
      <c r="C309" s="66">
        <v>0.8</v>
      </c>
      <c r="D309" s="66">
        <v>0.5</v>
      </c>
      <c r="E309" s="29" t="str">
        <f>"*"&amp;Table1[[#This Row],[Frame]]&amp;"*"</f>
        <v>*F597JB*</v>
      </c>
      <c r="F309" s="47" t="s">
        <v>1098</v>
      </c>
    </row>
    <row r="310" spans="1:6" ht="36.75" customHeight="1">
      <c r="A310" s="32" t="s">
        <v>616</v>
      </c>
      <c r="B310" s="33" t="s">
        <v>621</v>
      </c>
      <c r="C310" s="66">
        <v>2.85</v>
      </c>
      <c r="D310" s="66">
        <v>1.75</v>
      </c>
      <c r="E310" s="29" t="str">
        <f>"*"&amp;Table1[[#This Row],[Frame]]&amp;"*"</f>
        <v>*F597LA*</v>
      </c>
      <c r="F310" s="47" t="s">
        <v>1098</v>
      </c>
    </row>
    <row r="311" spans="1:6" ht="36.75" customHeight="1">
      <c r="A311" s="32" t="s">
        <v>440</v>
      </c>
      <c r="B311" s="33" t="s">
        <v>441</v>
      </c>
      <c r="C311" s="66">
        <v>2.85</v>
      </c>
      <c r="D311" s="66">
        <v>1.75</v>
      </c>
      <c r="E311" s="29" t="str">
        <f>"*"&amp;Table1[[#This Row],[Frame]]&amp;"*"</f>
        <v>*F597RA*</v>
      </c>
      <c r="F311" s="47" t="s">
        <v>1098</v>
      </c>
    </row>
    <row r="312" spans="1:6" ht="36.75" customHeight="1">
      <c r="A312" s="32" t="s">
        <v>618</v>
      </c>
      <c r="B312" s="33" t="s">
        <v>623</v>
      </c>
      <c r="C312" s="66">
        <v>2.25</v>
      </c>
      <c r="D312" s="66">
        <v>2</v>
      </c>
      <c r="E312" s="29" t="str">
        <f>"*"&amp;Table1[[#This Row],[Frame]]&amp;"*"</f>
        <v>*F597Y*</v>
      </c>
      <c r="F312" s="47" t="s">
        <v>1098</v>
      </c>
    </row>
    <row r="313" spans="1:6" ht="36.75" customHeight="1">
      <c r="A313" s="32" t="s">
        <v>58</v>
      </c>
      <c r="B313" s="33" t="s">
        <v>59</v>
      </c>
      <c r="C313" s="66">
        <v>4</v>
      </c>
      <c r="D313" s="66">
        <v>2.75</v>
      </c>
      <c r="E313" s="29" t="str">
        <f>"*"&amp;Table1[[#This Row],[Frame]]&amp;"*"</f>
        <v>*F598A*</v>
      </c>
      <c r="F313" s="47" t="s">
        <v>1098</v>
      </c>
    </row>
    <row r="314" spans="1:6" ht="36.75" customHeight="1">
      <c r="A314" s="32" t="s">
        <v>60</v>
      </c>
      <c r="B314" s="33" t="s">
        <v>61</v>
      </c>
      <c r="C314" s="66">
        <v>3.5</v>
      </c>
      <c r="D314" s="66">
        <v>2.5</v>
      </c>
      <c r="E314" s="29" t="str">
        <f>"*"&amp;Table1[[#This Row],[Frame]]&amp;"*"</f>
        <v>*F598D*</v>
      </c>
      <c r="F314" s="47" t="s">
        <v>1098</v>
      </c>
    </row>
    <row r="315" spans="1:6" ht="36.75" hidden="1" customHeight="1">
      <c r="A315" s="32" t="s">
        <v>982</v>
      </c>
      <c r="B315" s="33" t="s">
        <v>989</v>
      </c>
      <c r="C315" s="66">
        <v>2.35</v>
      </c>
      <c r="D315" s="66"/>
      <c r="E315" s="29" t="str">
        <f>"*"&amp;Table1[[#This Row],[Frame]]&amp;"*"</f>
        <v>*DSO4ALC*</v>
      </c>
      <c r="F315" s="47" t="s">
        <v>1102</v>
      </c>
    </row>
    <row r="316" spans="1:6" ht="36.75" hidden="1" customHeight="1">
      <c r="A316" s="32" t="s">
        <v>981</v>
      </c>
      <c r="B316" s="33" t="s">
        <v>988</v>
      </c>
      <c r="C316" s="66">
        <v>2.85</v>
      </c>
      <c r="D316" s="66"/>
      <c r="E316" s="29" t="str">
        <f>"*"&amp;Table1[[#This Row],[Frame]]&amp;"*"</f>
        <v>*DSO4CC*</v>
      </c>
      <c r="F316" s="47" t="s">
        <v>1102</v>
      </c>
    </row>
    <row r="317" spans="1:6" ht="36.75" hidden="1" customHeight="1">
      <c r="A317" s="32" t="s">
        <v>978</v>
      </c>
      <c r="B317" s="33" t="s">
        <v>985</v>
      </c>
      <c r="C317" s="66">
        <v>2.35</v>
      </c>
      <c r="D317" s="66"/>
      <c r="E317" s="29" t="str">
        <f>"*"&amp;Table1[[#This Row],[Frame]]&amp;"*"</f>
        <v>*DSO4LC*</v>
      </c>
      <c r="F317" s="47" t="s">
        <v>1102</v>
      </c>
    </row>
    <row r="318" spans="1:6" ht="36.75" hidden="1" customHeight="1">
      <c r="A318" s="32" t="s">
        <v>979</v>
      </c>
      <c r="B318" s="33" t="s">
        <v>986</v>
      </c>
      <c r="C318" s="66">
        <v>2.85</v>
      </c>
      <c r="D318" s="66"/>
      <c r="E318" s="29" t="str">
        <f>"*"&amp;Table1[[#This Row],[Frame]]&amp;"*"</f>
        <v>*DSO4RCB*</v>
      </c>
      <c r="F318" s="47" t="s">
        <v>1102</v>
      </c>
    </row>
    <row r="319" spans="1:6" ht="36.75" customHeight="1">
      <c r="A319" s="32" t="s">
        <v>504</v>
      </c>
      <c r="B319" s="33" t="s">
        <v>155</v>
      </c>
      <c r="C319" s="66">
        <v>0.75</v>
      </c>
      <c r="D319" s="66">
        <v>0.5</v>
      </c>
      <c r="E319" s="29" t="str">
        <f>"*"&amp;Table1[[#This Row],[Frame]]&amp;"*"</f>
        <v>*F598J*</v>
      </c>
      <c r="F319" s="47" t="s">
        <v>1098</v>
      </c>
    </row>
    <row r="320" spans="1:6" ht="36.75" customHeight="1">
      <c r="A320" s="38" t="s">
        <v>62</v>
      </c>
      <c r="B320" s="39" t="s">
        <v>63</v>
      </c>
      <c r="C320" s="66">
        <v>3</v>
      </c>
      <c r="D320" s="67">
        <v>2</v>
      </c>
      <c r="E320" s="29" t="str">
        <f>"*"&amp;Table1[[#This Row],[Frame]]&amp;"*"</f>
        <v>*F598S*</v>
      </c>
      <c r="F320" s="47" t="s">
        <v>1098</v>
      </c>
    </row>
    <row r="321" spans="1:6" ht="36.75" customHeight="1">
      <c r="A321" s="317" t="s">
        <v>1789</v>
      </c>
      <c r="B321" s="330" t="s">
        <v>1790</v>
      </c>
      <c r="C321" s="343">
        <v>3</v>
      </c>
      <c r="D321" s="343">
        <v>1.75</v>
      </c>
      <c r="E321" s="358" t="str">
        <f>"*"&amp;Table1[[#This Row],[Frame]]&amp;"*"</f>
        <v>*F601-01*</v>
      </c>
      <c r="F321" s="254"/>
    </row>
    <row r="322" spans="1:6" ht="36.75" customHeight="1">
      <c r="A322" s="32" t="s">
        <v>1430</v>
      </c>
      <c r="B322" s="33" t="s">
        <v>1431</v>
      </c>
      <c r="C322" s="66">
        <v>2.5</v>
      </c>
      <c r="D322" s="66">
        <v>2</v>
      </c>
      <c r="E322" s="29" t="str">
        <f>"*"&amp;Table1[[#This Row],[Frame]]&amp;"*"</f>
        <v>*F601-01L*</v>
      </c>
    </row>
    <row r="323" spans="1:6" ht="36.75" customHeight="1">
      <c r="A323" s="32" t="s">
        <v>1430</v>
      </c>
      <c r="B323" s="33" t="s">
        <v>1718</v>
      </c>
      <c r="C323" s="66">
        <v>2.5</v>
      </c>
      <c r="D323" s="66">
        <v>2</v>
      </c>
      <c r="E323" s="29" t="str">
        <f>"*"&amp;Table1[[#This Row],[Frame]]&amp;"*"</f>
        <v>*F601-01L*</v>
      </c>
    </row>
    <row r="324" spans="1:6" ht="36.75" customHeight="1">
      <c r="A324" s="32" t="s">
        <v>1428</v>
      </c>
      <c r="B324" s="33" t="s">
        <v>1429</v>
      </c>
      <c r="C324" s="66">
        <v>2.5</v>
      </c>
      <c r="D324" s="66">
        <v>2</v>
      </c>
      <c r="E324" s="29" t="str">
        <f>"*"&amp;Table1[[#This Row],[Frame]]&amp;"*"</f>
        <v>*F601-01R*</v>
      </c>
    </row>
    <row r="325" spans="1:6" ht="36.75" customHeight="1">
      <c r="A325" s="32" t="s">
        <v>1428</v>
      </c>
      <c r="B325" s="33" t="s">
        <v>1717</v>
      </c>
      <c r="C325" s="66">
        <v>2.5</v>
      </c>
      <c r="D325" s="66">
        <v>2</v>
      </c>
      <c r="E325" s="29" t="str">
        <f>"*"&amp;Table1[[#This Row],[Frame]]&amp;"*"</f>
        <v>*F601-01R*</v>
      </c>
    </row>
    <row r="326" spans="1:6" ht="36.75" customHeight="1">
      <c r="A326" s="32" t="s">
        <v>1546</v>
      </c>
      <c r="B326" s="33" t="s">
        <v>1547</v>
      </c>
      <c r="C326" s="66">
        <v>3.5</v>
      </c>
      <c r="D326" s="66">
        <v>2</v>
      </c>
      <c r="E326" s="29" t="str">
        <f>"*"&amp;Table1[[#This Row],[Frame]]&amp;"*"</f>
        <v>*F601-02*</v>
      </c>
    </row>
    <row r="327" spans="1:6" ht="36.75" customHeight="1">
      <c r="A327" s="32" t="s">
        <v>1437</v>
      </c>
      <c r="B327" s="33" t="s">
        <v>1431</v>
      </c>
      <c r="C327" s="66">
        <v>2.75</v>
      </c>
      <c r="D327" s="66">
        <v>2</v>
      </c>
      <c r="E327" s="29" t="str">
        <f>"*"&amp;Table1[[#This Row],[Frame]]&amp;"*"</f>
        <v>*F601-02L*</v>
      </c>
    </row>
    <row r="328" spans="1:6" ht="36.75" customHeight="1">
      <c r="A328" s="32" t="s">
        <v>1435</v>
      </c>
      <c r="B328" s="33" t="s">
        <v>1436</v>
      </c>
      <c r="C328" s="66">
        <v>2.75</v>
      </c>
      <c r="D328" s="66">
        <v>2</v>
      </c>
      <c r="E328" s="29" t="str">
        <f>"*"&amp;Table1[[#This Row],[Frame]]&amp;"*"</f>
        <v>*F601-02R*</v>
      </c>
    </row>
    <row r="329" spans="1:6" ht="36.75" customHeight="1">
      <c r="A329" s="32" t="s">
        <v>1548</v>
      </c>
      <c r="B329" s="33" t="s">
        <v>1549</v>
      </c>
      <c r="C329" s="66">
        <v>4</v>
      </c>
      <c r="D329" s="66">
        <v>2.25</v>
      </c>
      <c r="E329" s="29" t="str">
        <f>"*"&amp;Table1[[#This Row],[Frame]]&amp;"*"</f>
        <v>*F601-03*</v>
      </c>
    </row>
    <row r="330" spans="1:6" ht="36.75" customHeight="1">
      <c r="A330" s="32" t="s">
        <v>1444</v>
      </c>
      <c r="B330" s="33" t="s">
        <v>1431</v>
      </c>
      <c r="C330" s="66">
        <v>3</v>
      </c>
      <c r="D330" s="66">
        <v>2</v>
      </c>
      <c r="E330" s="29" t="str">
        <f>"*"&amp;Table1[[#This Row],[Frame]]&amp;"*"</f>
        <v>*F601-03L*</v>
      </c>
    </row>
    <row r="331" spans="1:6" ht="36.75" customHeight="1">
      <c r="A331" s="32" t="s">
        <v>1442</v>
      </c>
      <c r="B331" s="33" t="s">
        <v>1443</v>
      </c>
      <c r="C331" s="66">
        <v>3</v>
      </c>
      <c r="D331" s="66">
        <v>2</v>
      </c>
      <c r="E331" s="29" t="str">
        <f>"*"&amp;Table1[[#This Row],[Frame]]&amp;"*"</f>
        <v>*F601-03R*</v>
      </c>
    </row>
    <row r="332" spans="1:6" ht="36.75" customHeight="1">
      <c r="A332" s="32" t="s">
        <v>1434</v>
      </c>
      <c r="B332" s="33" t="s">
        <v>1431</v>
      </c>
      <c r="C332" s="66">
        <v>3.25</v>
      </c>
      <c r="D332" s="66">
        <v>2</v>
      </c>
      <c r="E332" s="29" t="str">
        <f>"*"&amp;Table1[[#This Row],[Frame]]&amp;"*"</f>
        <v>*F601-05L*</v>
      </c>
    </row>
    <row r="333" spans="1:6" ht="36.75" customHeight="1">
      <c r="A333" s="32" t="s">
        <v>1432</v>
      </c>
      <c r="B333" s="33" t="s">
        <v>1433</v>
      </c>
      <c r="C333" s="66">
        <v>3.25</v>
      </c>
      <c r="D333" s="66">
        <v>2</v>
      </c>
      <c r="E333" s="29" t="str">
        <f>"*"&amp;Table1[[#This Row],[Frame]]&amp;"*"</f>
        <v>*F601-05R*</v>
      </c>
    </row>
    <row r="334" spans="1:6" ht="36.75" customHeight="1">
      <c r="A334" s="32" t="s">
        <v>1477</v>
      </c>
      <c r="B334" s="33" t="s">
        <v>1479</v>
      </c>
      <c r="C334" s="66">
        <v>3.35</v>
      </c>
      <c r="D334" s="66">
        <v>2.25</v>
      </c>
      <c r="E334" s="29" t="str">
        <f>"*"&amp;Table1[[#This Row],[Frame]]&amp;"*"</f>
        <v>*F601-08*</v>
      </c>
    </row>
    <row r="335" spans="1:6" ht="36.75" customHeight="1">
      <c r="A335" s="32" t="s">
        <v>1440</v>
      </c>
      <c r="B335" s="33" t="s">
        <v>1441</v>
      </c>
      <c r="C335" s="66">
        <v>4</v>
      </c>
      <c r="D335" s="66">
        <v>2.25</v>
      </c>
      <c r="E335" s="29" t="str">
        <f>"*"&amp;Table1[[#This Row],[Frame]]&amp;"*"</f>
        <v>*F601-13L*</v>
      </c>
    </row>
    <row r="336" spans="1:6" ht="36.75" customHeight="1">
      <c r="A336" s="32" t="s">
        <v>1438</v>
      </c>
      <c r="B336" s="33" t="s">
        <v>1439</v>
      </c>
      <c r="C336" s="66">
        <v>4</v>
      </c>
      <c r="D336" s="66">
        <v>2.25</v>
      </c>
      <c r="E336" s="29" t="str">
        <f>"*"&amp;Table1[[#This Row],[Frame]]&amp;"*"</f>
        <v>*F601-13R*</v>
      </c>
    </row>
    <row r="337" spans="1:6" ht="36.75" customHeight="1">
      <c r="A337" s="32" t="s">
        <v>1514</v>
      </c>
      <c r="B337" s="33" t="s">
        <v>1515</v>
      </c>
      <c r="C337" s="66">
        <v>2.35</v>
      </c>
      <c r="D337" s="66">
        <v>1</v>
      </c>
      <c r="E337" s="29" t="str">
        <f>"*"&amp;Table1[[#This Row],[Frame]]&amp;"*"</f>
        <v>*F601-30*</v>
      </c>
    </row>
    <row r="338" spans="1:6" ht="36.75" customHeight="1">
      <c r="A338" s="32" t="s">
        <v>1426</v>
      </c>
      <c r="B338" s="33" t="s">
        <v>1427</v>
      </c>
      <c r="C338" s="66">
        <v>1.6</v>
      </c>
      <c r="D338" s="66">
        <v>1</v>
      </c>
      <c r="E338" s="29" t="str">
        <f>"*"&amp;Table1[[#This Row],[Frame]]&amp;"*"</f>
        <v>*F601-31*</v>
      </c>
    </row>
    <row r="339" spans="1:6" ht="36.75" customHeight="1">
      <c r="A339" s="32" t="s">
        <v>1424</v>
      </c>
      <c r="B339" s="33" t="s">
        <v>1425</v>
      </c>
      <c r="C339" s="66">
        <v>2.5</v>
      </c>
      <c r="D339" s="66">
        <v>1.25</v>
      </c>
      <c r="E339" s="29" t="str">
        <f>"*"&amp;Table1[[#This Row],[Frame]]&amp;"*"</f>
        <v>*F601-32*</v>
      </c>
    </row>
    <row r="340" spans="1:6" ht="36.75" customHeight="1">
      <c r="A340" s="32" t="s">
        <v>1422</v>
      </c>
      <c r="B340" s="33" t="s">
        <v>1423</v>
      </c>
      <c r="C340" s="66">
        <v>2.6</v>
      </c>
      <c r="D340" s="66">
        <v>1.75</v>
      </c>
      <c r="E340" s="29" t="str">
        <f>"*"&amp;Table1[[#This Row],[Frame]]&amp;"*"</f>
        <v>*F601-33*</v>
      </c>
    </row>
    <row r="341" spans="1:6" ht="36.75" customHeight="1">
      <c r="A341" s="32" t="s">
        <v>1550</v>
      </c>
      <c r="B341" s="33" t="s">
        <v>1553</v>
      </c>
      <c r="C341" s="66">
        <v>3</v>
      </c>
      <c r="D341" s="66">
        <v>2.25</v>
      </c>
      <c r="E341" s="29" t="str">
        <f>"*"&amp;Table1[[#This Row],[Frame]]&amp;"*"</f>
        <v>*F610-03L*</v>
      </c>
    </row>
    <row r="342" spans="1:6" ht="36.75" customHeight="1">
      <c r="A342" s="32" t="s">
        <v>1551</v>
      </c>
      <c r="B342" s="33" t="s">
        <v>1552</v>
      </c>
      <c r="C342" s="66">
        <v>3</v>
      </c>
      <c r="D342" s="66">
        <v>2.25</v>
      </c>
      <c r="E342" s="29" t="str">
        <f>"*"&amp;Table1[[#This Row],[Frame]]&amp;"*"</f>
        <v>*F610-03R*</v>
      </c>
    </row>
    <row r="343" spans="1:6" ht="36.75" customHeight="1">
      <c r="A343" s="32" t="s">
        <v>1633</v>
      </c>
      <c r="B343" s="33" t="s">
        <v>1636</v>
      </c>
      <c r="C343" s="66">
        <v>4</v>
      </c>
      <c r="D343" s="66">
        <v>2.5</v>
      </c>
      <c r="E343" s="29" t="str">
        <f>"*"&amp;Table1[[#This Row],[Frame]]&amp;"*"</f>
        <v>*F610-13L*</v>
      </c>
    </row>
    <row r="344" spans="1:6" ht="36.75" customHeight="1">
      <c r="A344" s="32" t="s">
        <v>1634</v>
      </c>
      <c r="B344" s="33" t="s">
        <v>1635</v>
      </c>
      <c r="C344" s="66">
        <v>4</v>
      </c>
      <c r="D344" s="66">
        <v>2.5</v>
      </c>
      <c r="E344" s="29" t="str">
        <f>"*"&amp;Table1[[#This Row],[Frame]]&amp;"*"</f>
        <v>*F610-13R*</v>
      </c>
    </row>
    <row r="345" spans="1:6" ht="36.75" customHeight="1">
      <c r="A345" s="32" t="s">
        <v>64</v>
      </c>
      <c r="B345" s="33" t="s">
        <v>65</v>
      </c>
      <c r="C345" s="66">
        <v>3.7</v>
      </c>
      <c r="D345" s="66">
        <v>2.25</v>
      </c>
      <c r="E345" s="29" t="str">
        <f>"*"&amp;Table1[[#This Row],[Frame]]&amp;"*"</f>
        <v>*F612A*</v>
      </c>
      <c r="F345" s="47" t="s">
        <v>1098</v>
      </c>
    </row>
    <row r="346" spans="1:6" ht="36.75" customHeight="1">
      <c r="A346" s="32" t="s">
        <v>66</v>
      </c>
      <c r="B346" s="33" t="s">
        <v>67</v>
      </c>
      <c r="C346" s="66">
        <v>3.35</v>
      </c>
      <c r="D346" s="66">
        <v>2</v>
      </c>
      <c r="E346" s="29" t="str">
        <f>"*"&amp;Table1[[#This Row],[Frame]]&amp;"*"</f>
        <v>*F612D*</v>
      </c>
      <c r="F346" s="47" t="s">
        <v>1098</v>
      </c>
    </row>
    <row r="347" spans="1:6" ht="36.75" customHeight="1">
      <c r="A347" s="32" t="s">
        <v>68</v>
      </c>
      <c r="B347" s="39" t="s">
        <v>69</v>
      </c>
      <c r="C347" s="66">
        <v>1.5</v>
      </c>
      <c r="D347" s="67">
        <v>0.75</v>
      </c>
      <c r="E347" s="29" t="str">
        <f>"*"&amp;Table1[[#This Row],[Frame]]&amp;"*"</f>
        <v>*F612J*</v>
      </c>
      <c r="F347" s="47" t="s">
        <v>1098</v>
      </c>
    </row>
    <row r="348" spans="1:6" ht="36.75" customHeight="1">
      <c r="A348" s="32" t="s">
        <v>408</v>
      </c>
      <c r="B348" s="33" t="s">
        <v>409</v>
      </c>
      <c r="C348" s="66">
        <v>3.1</v>
      </c>
      <c r="D348" s="66">
        <v>1.5</v>
      </c>
      <c r="E348" s="29" t="str">
        <f>"*"&amp;Table1[[#This Row],[Frame]]&amp;"*"</f>
        <v>*F612K*</v>
      </c>
      <c r="F348" s="47" t="s">
        <v>1098</v>
      </c>
    </row>
    <row r="349" spans="1:6" ht="36.75" customHeight="1">
      <c r="A349" s="32" t="s">
        <v>70</v>
      </c>
      <c r="B349" s="33" t="s">
        <v>71</v>
      </c>
      <c r="C349" s="66">
        <v>3</v>
      </c>
      <c r="D349" s="66">
        <v>1.5</v>
      </c>
      <c r="E349" s="29" t="str">
        <f>"*"&amp;Table1[[#This Row],[Frame]]&amp;"*"</f>
        <v>*F612S*</v>
      </c>
      <c r="F349" s="47" t="s">
        <v>1098</v>
      </c>
    </row>
    <row r="350" spans="1:6" ht="36.75" customHeight="1">
      <c r="A350" s="32" t="s">
        <v>1525</v>
      </c>
      <c r="B350" s="33" t="s">
        <v>1530</v>
      </c>
      <c r="C350" s="66">
        <v>2.25</v>
      </c>
      <c r="D350" s="66">
        <v>1.25</v>
      </c>
      <c r="E350" s="29" t="str">
        <f>"*"&amp;Table1[[#This Row],[Frame]]&amp;"*"</f>
        <v>*F613-01*</v>
      </c>
    </row>
    <row r="351" spans="1:6" ht="36.75" customHeight="1">
      <c r="A351" s="32" t="s">
        <v>1528</v>
      </c>
      <c r="B351" s="33" t="s">
        <v>1529</v>
      </c>
      <c r="C351" s="66">
        <v>3</v>
      </c>
      <c r="D351" s="66">
        <v>2</v>
      </c>
      <c r="E351" s="29" t="str">
        <f>"*"&amp;Table1[[#This Row],[Frame]]&amp;"*"</f>
        <v>*F613-02*</v>
      </c>
    </row>
    <row r="352" spans="1:6" ht="36.75" customHeight="1">
      <c r="A352" s="32" t="s">
        <v>1524</v>
      </c>
      <c r="B352" s="33" t="s">
        <v>1527</v>
      </c>
      <c r="C352" s="66">
        <v>3.5</v>
      </c>
      <c r="D352" s="66">
        <v>2.5</v>
      </c>
      <c r="E352" s="29" t="str">
        <f>"*"&amp;Table1[[#This Row],[Frame]]&amp;"*"</f>
        <v>*F613-03*</v>
      </c>
    </row>
    <row r="353" spans="1:6" ht="36.75" customHeight="1">
      <c r="A353" s="315" t="s">
        <v>1796</v>
      </c>
      <c r="B353" s="328" t="s">
        <v>1798</v>
      </c>
      <c r="C353" s="341">
        <v>1</v>
      </c>
      <c r="D353" s="341">
        <v>0.5</v>
      </c>
      <c r="E353" s="357" t="str">
        <f>"*"&amp;Table1[[#This Row],[Frame]]&amp;"*"</f>
        <v>*F613-09*</v>
      </c>
      <c r="F353" s="266"/>
    </row>
    <row r="354" spans="1:6" ht="36.75" customHeight="1">
      <c r="A354" s="32" t="s">
        <v>1716</v>
      </c>
      <c r="B354" s="33" t="s">
        <v>1719</v>
      </c>
      <c r="C354" s="66">
        <v>2.5</v>
      </c>
      <c r="D354" s="66">
        <v>2</v>
      </c>
      <c r="E354" s="29" t="str">
        <f>"*"&amp;Table1[[#This Row],[Frame]]&amp;"*"</f>
        <v>*F620-01L*</v>
      </c>
    </row>
    <row r="355" spans="1:6" ht="36.75" customHeight="1">
      <c r="A355" s="32" t="s">
        <v>1720</v>
      </c>
      <c r="B355" s="33" t="s">
        <v>1721</v>
      </c>
      <c r="C355" s="66">
        <v>2.5</v>
      </c>
      <c r="D355" s="66">
        <v>2</v>
      </c>
      <c r="E355" s="29" t="str">
        <f>"*"&amp;Table1[[#This Row],[Frame]]&amp;"*"</f>
        <v>*F620-01R*</v>
      </c>
    </row>
    <row r="356" spans="1:6" ht="36.75" customHeight="1">
      <c r="A356" s="32" t="s">
        <v>1520</v>
      </c>
      <c r="B356" s="33" t="s">
        <v>1519</v>
      </c>
      <c r="C356" s="66">
        <v>2.5</v>
      </c>
      <c r="D356" s="66">
        <v>2</v>
      </c>
      <c r="E356" s="29" t="str">
        <f>"*"&amp;Table1[[#This Row],[Frame]]&amp;"*"</f>
        <v>*F620-02L*</v>
      </c>
    </row>
    <row r="357" spans="1:6" ht="36.75" customHeight="1">
      <c r="A357" s="32" t="s">
        <v>1518</v>
      </c>
      <c r="B357" s="33" t="s">
        <v>1519</v>
      </c>
      <c r="C357" s="66">
        <v>2.5</v>
      </c>
      <c r="D357" s="66">
        <v>2</v>
      </c>
      <c r="E357" s="29" t="str">
        <f>"*"&amp;Table1[[#This Row],[Frame]]&amp;"*"</f>
        <v>*F620-02R*</v>
      </c>
    </row>
    <row r="358" spans="1:6" ht="36.75" customHeight="1">
      <c r="A358" s="32" t="s">
        <v>1456</v>
      </c>
      <c r="B358" s="33" t="s">
        <v>1458</v>
      </c>
      <c r="C358" s="66">
        <v>3</v>
      </c>
      <c r="D358" s="66">
        <v>2.25</v>
      </c>
      <c r="E358" s="29" t="str">
        <f>"*"&amp;Table1[[#This Row],[Frame]]&amp;"*"</f>
        <v>*F620-03L*</v>
      </c>
    </row>
    <row r="359" spans="1:6" ht="36.75" customHeight="1">
      <c r="A359" s="32" t="s">
        <v>1457</v>
      </c>
      <c r="B359" s="33" t="s">
        <v>1458</v>
      </c>
      <c r="C359" s="66">
        <v>3</v>
      </c>
      <c r="D359" s="66">
        <v>2.25</v>
      </c>
      <c r="E359" s="29" t="str">
        <f>"*"&amp;Table1[[#This Row],[Frame]]&amp;"*"</f>
        <v>*F620-03R*</v>
      </c>
    </row>
    <row r="360" spans="1:6" ht="36.75" customHeight="1">
      <c r="A360" s="32" t="s">
        <v>1461</v>
      </c>
      <c r="B360" s="33" t="s">
        <v>1462</v>
      </c>
      <c r="C360" s="66">
        <v>3.75</v>
      </c>
      <c r="D360" s="66">
        <v>2.75</v>
      </c>
      <c r="E360" s="29" t="str">
        <f>"*"&amp;Table1[[#This Row],[Frame]]&amp;"*"</f>
        <v>*F620-05*</v>
      </c>
    </row>
    <row r="361" spans="1:6" ht="36.75" customHeight="1">
      <c r="A361" s="32" t="s">
        <v>1681</v>
      </c>
      <c r="B361" s="33" t="s">
        <v>1682</v>
      </c>
      <c r="C361" s="66">
        <v>3.25</v>
      </c>
      <c r="D361" s="66">
        <v>2.25</v>
      </c>
      <c r="E361" s="29" t="str">
        <f>"*"&amp;Table1[[#This Row],[Frame]]&amp;"*"</f>
        <v>*F620-05L*</v>
      </c>
    </row>
    <row r="362" spans="1:6" ht="36.75" customHeight="1">
      <c r="A362" s="32" t="s">
        <v>1677</v>
      </c>
      <c r="B362" s="33" t="s">
        <v>1680</v>
      </c>
      <c r="C362" s="66">
        <v>3.25</v>
      </c>
      <c r="D362" s="66">
        <v>2.25</v>
      </c>
      <c r="E362" s="29" t="str">
        <f>"*"&amp;Table1[[#This Row],[Frame]]&amp;"*"</f>
        <v>*F620-05R*</v>
      </c>
    </row>
    <row r="363" spans="1:6" ht="36.75" customHeight="1">
      <c r="A363" s="32" t="s">
        <v>1684</v>
      </c>
      <c r="B363" s="33" t="s">
        <v>1697</v>
      </c>
      <c r="C363" s="66">
        <v>3.35</v>
      </c>
      <c r="D363" s="66">
        <v>2.25</v>
      </c>
      <c r="E363" s="29" t="str">
        <f>"*"&amp;Table1[[#This Row],[Frame]]&amp;"*"</f>
        <v>*F620-08*</v>
      </c>
    </row>
    <row r="364" spans="1:6" ht="36.75" customHeight="1">
      <c r="A364" s="32" t="s">
        <v>1460</v>
      </c>
      <c r="B364" s="33" t="s">
        <v>1459</v>
      </c>
      <c r="C364" s="66">
        <v>4.0999999999999996</v>
      </c>
      <c r="D364" s="66">
        <v>2.75</v>
      </c>
      <c r="E364" s="29" t="str">
        <f>"*"&amp;Table1[[#This Row],[Frame]]&amp;"*"</f>
        <v>*F620-13L*</v>
      </c>
    </row>
    <row r="365" spans="1:6" ht="36.75" customHeight="1">
      <c r="A365" s="32" t="s">
        <v>1454</v>
      </c>
      <c r="B365" s="33" t="s">
        <v>1459</v>
      </c>
      <c r="C365" s="66">
        <v>4.0999999999999996</v>
      </c>
      <c r="D365" s="66">
        <v>2.75</v>
      </c>
      <c r="E365" s="29" t="str">
        <f>"*"&amp;Table1[[#This Row],[Frame]]&amp;"*"</f>
        <v>*F620-13R*</v>
      </c>
    </row>
    <row r="366" spans="1:6" ht="36.75" customHeight="1">
      <c r="A366" s="32" t="s">
        <v>1686</v>
      </c>
      <c r="B366" s="33" t="s">
        <v>1696</v>
      </c>
      <c r="C366" s="66">
        <v>1.75</v>
      </c>
      <c r="D366" s="66">
        <v>1</v>
      </c>
      <c r="E366" s="29" t="str">
        <f>"*"&amp;Table1[[#This Row],[Frame]]&amp;"*"</f>
        <v>*F620-31*</v>
      </c>
    </row>
    <row r="367" spans="1:6" ht="36.75" customHeight="1">
      <c r="A367" s="32" t="s">
        <v>1678</v>
      </c>
      <c r="B367" s="33" t="s">
        <v>1679</v>
      </c>
      <c r="C367" s="66">
        <v>2</v>
      </c>
      <c r="D367" s="66">
        <v>1.25</v>
      </c>
      <c r="E367" s="29" t="str">
        <f>"*"&amp;Table1[[#This Row],[Frame]]&amp;"*"</f>
        <v>*F620-32*</v>
      </c>
    </row>
    <row r="368" spans="1:6" ht="36.75" customHeight="1">
      <c r="A368" s="304" t="s">
        <v>1763</v>
      </c>
      <c r="B368" s="321" t="s">
        <v>1764</v>
      </c>
      <c r="C368" s="333">
        <v>2.5</v>
      </c>
      <c r="D368" s="333">
        <v>1.75</v>
      </c>
      <c r="E368" s="349" t="str">
        <f>"*"&amp;Table1[[#This Row],[Frame]]&amp;"*"</f>
        <v>*F620-33*</v>
      </c>
      <c r="F368" s="235"/>
    </row>
    <row r="369" spans="1:6" ht="36.75" customHeight="1">
      <c r="A369" s="32" t="s">
        <v>1612</v>
      </c>
      <c r="B369" s="33" t="s">
        <v>1613</v>
      </c>
      <c r="C369" s="66">
        <v>1</v>
      </c>
      <c r="D369" s="66">
        <v>0.5</v>
      </c>
      <c r="E369" s="29" t="str">
        <f>"*"&amp;Table1[[#This Row],[Frame]]&amp;"*"</f>
        <v>*F620-59*</v>
      </c>
    </row>
    <row r="370" spans="1:6" ht="36.75" customHeight="1">
      <c r="A370" s="32" t="s">
        <v>1612</v>
      </c>
      <c r="B370" s="33" t="s">
        <v>1626</v>
      </c>
      <c r="C370" s="66">
        <v>1</v>
      </c>
      <c r="D370" s="66">
        <v>0.5</v>
      </c>
      <c r="E370" s="29" t="str">
        <f>"*"&amp;Table1[[#This Row],[Frame]]&amp;"*"</f>
        <v>*F620-59*</v>
      </c>
    </row>
    <row r="371" spans="1:6" ht="36.75" customHeight="1">
      <c r="A371" s="32" t="s">
        <v>1109</v>
      </c>
      <c r="B371" s="33" t="s">
        <v>1110</v>
      </c>
      <c r="C371" s="66">
        <v>1</v>
      </c>
      <c r="D371" s="66">
        <v>0.75</v>
      </c>
      <c r="E371" s="29" t="str">
        <f>"*"&amp;Table1[[#This Row],[Frame]]&amp;"*"</f>
        <v>*F622J*</v>
      </c>
      <c r="F371" s="47" t="s">
        <v>1098</v>
      </c>
    </row>
    <row r="372" spans="1:6" ht="36.75" customHeight="1">
      <c r="A372" s="37" t="s">
        <v>849</v>
      </c>
      <c r="B372" s="33" t="s">
        <v>858</v>
      </c>
      <c r="C372" s="66">
        <v>4.25</v>
      </c>
      <c r="D372" s="66">
        <v>4</v>
      </c>
      <c r="E372" s="29" t="str">
        <f>"*"&amp;Table1[[#This Row],[Frame]]&amp;"*"</f>
        <v>*F622LL*</v>
      </c>
      <c r="F372" s="47" t="s">
        <v>1098</v>
      </c>
    </row>
    <row r="373" spans="1:6" ht="36.75" customHeight="1">
      <c r="A373" s="37" t="s">
        <v>848</v>
      </c>
      <c r="B373" s="33" t="s">
        <v>858</v>
      </c>
      <c r="C373" s="66">
        <v>4.25</v>
      </c>
      <c r="D373" s="66">
        <v>4</v>
      </c>
      <c r="E373" s="29" t="str">
        <f>"*"&amp;Table1[[#This Row],[Frame]]&amp;"*"</f>
        <v>*F622OO*</v>
      </c>
      <c r="F373" s="47" t="s">
        <v>1098</v>
      </c>
    </row>
    <row r="374" spans="1:6" ht="36.75" customHeight="1">
      <c r="A374" s="32" t="s">
        <v>705</v>
      </c>
      <c r="B374" s="33" t="s">
        <v>711</v>
      </c>
      <c r="C374" s="66">
        <v>3.15</v>
      </c>
      <c r="D374" s="66">
        <v>2</v>
      </c>
      <c r="E374" s="29" t="str">
        <f>"*"&amp;Table1[[#This Row],[Frame]]&amp;"*"</f>
        <v>*F626CB*</v>
      </c>
      <c r="F374" s="47" t="s">
        <v>1098</v>
      </c>
    </row>
    <row r="375" spans="1:6" ht="36.75" customHeight="1">
      <c r="A375" s="32" t="s">
        <v>707</v>
      </c>
      <c r="B375" s="33" t="s">
        <v>713</v>
      </c>
      <c r="C375" s="66">
        <v>3.15</v>
      </c>
      <c r="D375" s="66">
        <v>2</v>
      </c>
      <c r="E375" s="29" t="str">
        <f>"*"&amp;Table1[[#This Row],[Frame]]&amp;"*"</f>
        <v>*F626CZ*</v>
      </c>
      <c r="F375" s="47" t="s">
        <v>1098</v>
      </c>
    </row>
    <row r="376" spans="1:6" ht="36.75" customHeight="1">
      <c r="A376" s="32" t="s">
        <v>363</v>
      </c>
      <c r="B376" s="33" t="s">
        <v>364</v>
      </c>
      <c r="C376" s="66">
        <v>2.85</v>
      </c>
      <c r="D376" s="66">
        <v>2</v>
      </c>
      <c r="E376" s="29" t="str">
        <f>"*"&amp;Table1[[#This Row],[Frame]]&amp;"*"</f>
        <v>*F626LA*</v>
      </c>
      <c r="F376" s="47" t="s">
        <v>1098</v>
      </c>
    </row>
    <row r="377" spans="1:6" ht="36.75" customHeight="1">
      <c r="A377" s="32" t="s">
        <v>703</v>
      </c>
      <c r="B377" s="33" t="s">
        <v>704</v>
      </c>
      <c r="C377" s="66">
        <v>2.85</v>
      </c>
      <c r="D377" s="66">
        <v>1.75</v>
      </c>
      <c r="E377" s="29" t="str">
        <f>"*"&amp;Table1[[#This Row],[Frame]]&amp;"*"</f>
        <v>*F626Q*</v>
      </c>
      <c r="F377" s="47" t="s">
        <v>1098</v>
      </c>
    </row>
    <row r="378" spans="1:6" ht="36.75" customHeight="1">
      <c r="A378" s="32" t="s">
        <v>365</v>
      </c>
      <c r="B378" s="33" t="s">
        <v>366</v>
      </c>
      <c r="C378" s="66">
        <v>2.85</v>
      </c>
      <c r="D378" s="66">
        <v>2</v>
      </c>
      <c r="E378" s="29" t="str">
        <f>"*"&amp;Table1[[#This Row],[Frame]]&amp;"*"</f>
        <v>*F626RA*</v>
      </c>
      <c r="F378" s="47" t="s">
        <v>1098</v>
      </c>
    </row>
    <row r="379" spans="1:6" ht="36.75" customHeight="1">
      <c r="A379" s="32" t="s">
        <v>1683</v>
      </c>
      <c r="B379" s="33" t="s">
        <v>1692</v>
      </c>
      <c r="C379" s="66">
        <v>1.95</v>
      </c>
      <c r="D379" s="66">
        <v>1.75</v>
      </c>
      <c r="E379" s="29" t="str">
        <f>"*"&amp;Table1[[#This Row],[Frame]]&amp;"*"</f>
        <v>*F627-01*</v>
      </c>
    </row>
    <row r="380" spans="1:6" ht="36.75" customHeight="1">
      <c r="A380" s="32" t="s">
        <v>1690</v>
      </c>
      <c r="B380" s="33" t="s">
        <v>1691</v>
      </c>
      <c r="C380" s="66">
        <v>2.4500000000000002</v>
      </c>
      <c r="D380" s="66">
        <v>1.75</v>
      </c>
      <c r="E380" s="29" t="str">
        <f>"*"&amp;Table1[[#This Row],[Frame]]&amp;"*"</f>
        <v>*F627-02*</v>
      </c>
    </row>
    <row r="381" spans="1:6" ht="36.75" customHeight="1">
      <c r="A381" s="32" t="s">
        <v>1685</v>
      </c>
      <c r="B381" s="33" t="s">
        <v>1689</v>
      </c>
      <c r="C381" s="66">
        <v>2.95</v>
      </c>
      <c r="D381" s="66">
        <v>2.25</v>
      </c>
      <c r="E381" s="29" t="str">
        <f>"*"&amp;Table1[[#This Row],[Frame]]&amp;"*"</f>
        <v>*F627-03*</v>
      </c>
    </row>
    <row r="382" spans="1:6" ht="36.75" customHeight="1">
      <c r="A382" s="311" t="s">
        <v>1814</v>
      </c>
      <c r="B382" s="325" t="s">
        <v>1815</v>
      </c>
      <c r="C382" s="338">
        <v>2.75</v>
      </c>
      <c r="D382" s="338">
        <v>2</v>
      </c>
      <c r="E382" s="354" t="str">
        <f>"*"&amp;Table1[[#This Row],[Frame]]&amp;"*"</f>
        <v>*F639-01*</v>
      </c>
      <c r="F382" s="286"/>
    </row>
    <row r="383" spans="1:6" ht="36.75" customHeight="1">
      <c r="A383" s="311" t="s">
        <v>1816</v>
      </c>
      <c r="B383" s="325" t="s">
        <v>1817</v>
      </c>
      <c r="C383" s="338">
        <v>3.1</v>
      </c>
      <c r="D383" s="338">
        <v>2.35</v>
      </c>
      <c r="E383" s="354" t="str">
        <f>"*"&amp;Table1[[#This Row],[Frame]]&amp;"*"</f>
        <v>*F639-03*</v>
      </c>
      <c r="F383" s="286"/>
    </row>
    <row r="384" spans="1:6" ht="36.75" customHeight="1">
      <c r="A384" s="32" t="s">
        <v>771</v>
      </c>
      <c r="B384" s="33" t="s">
        <v>774</v>
      </c>
      <c r="C384" s="66">
        <v>2.85</v>
      </c>
      <c r="D384" s="66">
        <v>1.75</v>
      </c>
      <c r="E384" s="29" t="str">
        <f>"*"&amp;Table1[[#This Row],[Frame]]&amp;"*"</f>
        <v>*F639C*</v>
      </c>
      <c r="F384" s="47" t="s">
        <v>1098</v>
      </c>
    </row>
    <row r="385" spans="1:6" ht="36.75" customHeight="1">
      <c r="A385" s="32" t="s">
        <v>773</v>
      </c>
      <c r="B385" s="33" t="s">
        <v>775</v>
      </c>
      <c r="C385" s="66">
        <v>3.45</v>
      </c>
      <c r="D385" s="66">
        <v>1.75</v>
      </c>
      <c r="E385" s="29" t="str">
        <f>"*"&amp;Table1[[#This Row],[Frame]]&amp;"*"</f>
        <v>*F639CB*</v>
      </c>
      <c r="F385" s="47" t="s">
        <v>1098</v>
      </c>
    </row>
    <row r="386" spans="1:6" ht="36.75" customHeight="1">
      <c r="A386" s="32" t="s">
        <v>930</v>
      </c>
      <c r="B386" s="33" t="s">
        <v>931</v>
      </c>
      <c r="C386" s="66">
        <v>3</v>
      </c>
      <c r="D386" s="66">
        <v>1.75</v>
      </c>
      <c r="E386" s="29" t="str">
        <f>"*"&amp;Table1[[#This Row],[Frame]]&amp;"*"</f>
        <v>*F639CC*</v>
      </c>
      <c r="F386" s="47" t="s">
        <v>1098</v>
      </c>
    </row>
    <row r="387" spans="1:6" ht="36.75" customHeight="1">
      <c r="A387" s="313" t="s">
        <v>1794</v>
      </c>
      <c r="B387" s="326" t="s">
        <v>1795</v>
      </c>
      <c r="C387" s="339">
        <v>2.35</v>
      </c>
      <c r="D387" s="339">
        <v>1</v>
      </c>
      <c r="E387" s="355" t="str">
        <f>"*"&amp;Table1[[#This Row],[Frame]]&amp;"*"</f>
        <v>*F639CQ*</v>
      </c>
      <c r="F387" s="259"/>
    </row>
    <row r="388" spans="1:6" ht="36.75" customHeight="1">
      <c r="A388" s="32" t="s">
        <v>772</v>
      </c>
      <c r="B388" s="33" t="s">
        <v>775</v>
      </c>
      <c r="C388" s="66">
        <v>3.45</v>
      </c>
      <c r="D388" s="66">
        <v>1.75</v>
      </c>
      <c r="E388" s="29" t="str">
        <f>"*"&amp;Table1[[#This Row],[Frame]]&amp;"*"</f>
        <v>*F639CZ*</v>
      </c>
      <c r="F388" s="47" t="s">
        <v>1098</v>
      </c>
    </row>
    <row r="389" spans="1:6" ht="36.75" customHeight="1">
      <c r="A389" s="32" t="s">
        <v>795</v>
      </c>
      <c r="B389" s="33" t="s">
        <v>796</v>
      </c>
      <c r="C389" s="66">
        <v>3</v>
      </c>
      <c r="D389" s="66">
        <v>2.25</v>
      </c>
      <c r="E389" s="29" t="str">
        <f>"*"&amp;Table1[[#This Row],[Frame]]&amp;"*"</f>
        <v>*F639E*</v>
      </c>
      <c r="F389" s="47" t="s">
        <v>1098</v>
      </c>
    </row>
    <row r="390" spans="1:6" ht="36.75" customHeight="1">
      <c r="A390" s="32" t="s">
        <v>794</v>
      </c>
      <c r="B390" s="33" t="s">
        <v>797</v>
      </c>
      <c r="C390" s="66">
        <v>2.4500000000000002</v>
      </c>
      <c r="D390" s="66">
        <v>1.5</v>
      </c>
      <c r="E390" s="29" t="str">
        <f>"*"&amp;Table1[[#This Row],[Frame]]&amp;"*"</f>
        <v>*F639F*</v>
      </c>
      <c r="F390" s="47" t="s">
        <v>1098</v>
      </c>
    </row>
    <row r="391" spans="1:6" ht="36.75" customHeight="1">
      <c r="A391" s="37" t="s">
        <v>851</v>
      </c>
      <c r="B391" s="33" t="s">
        <v>863</v>
      </c>
      <c r="C391" s="66">
        <v>1.75</v>
      </c>
      <c r="D391" s="66">
        <v>1</v>
      </c>
      <c r="E391" s="29" t="str">
        <f>"*"&amp;Table1[[#This Row],[Frame]]&amp;"*"</f>
        <v>*F639I*</v>
      </c>
      <c r="F391" s="47" t="s">
        <v>1098</v>
      </c>
    </row>
    <row r="392" spans="1:6" ht="36.75" customHeight="1">
      <c r="A392" s="32" t="s">
        <v>777</v>
      </c>
      <c r="B392" s="33" t="s">
        <v>776</v>
      </c>
      <c r="C392" s="66">
        <v>3</v>
      </c>
      <c r="D392" s="66">
        <v>2.25</v>
      </c>
      <c r="E392" s="29" t="str">
        <f>"*"&amp;Table1[[#This Row],[Frame]]&amp;"*"</f>
        <v>*F639LA*</v>
      </c>
      <c r="F392" s="47" t="s">
        <v>1098</v>
      </c>
    </row>
    <row r="393" spans="1:6" ht="36.75" customHeight="1">
      <c r="A393" s="32" t="s">
        <v>1541</v>
      </c>
      <c r="B393" s="33" t="s">
        <v>1540</v>
      </c>
      <c r="C393" s="66">
        <v>2.65</v>
      </c>
      <c r="D393" s="66">
        <v>2</v>
      </c>
      <c r="E393" s="29" t="str">
        <f>"*"&amp;Table1[[#This Row],[Frame]]&amp;"*"</f>
        <v>*F639LC*</v>
      </c>
    </row>
    <row r="394" spans="1:6" ht="36.75" customHeight="1">
      <c r="A394" s="37" t="s">
        <v>857</v>
      </c>
      <c r="B394" s="33" t="s">
        <v>856</v>
      </c>
      <c r="C394" s="66">
        <v>4.5</v>
      </c>
      <c r="D394" s="66">
        <v>4</v>
      </c>
      <c r="E394" s="29" t="str">
        <f>"*"&amp;Table1[[#This Row],[Frame]]&amp;"*"</f>
        <v>*F639LL*</v>
      </c>
      <c r="F394" s="47" t="s">
        <v>1098</v>
      </c>
    </row>
    <row r="395" spans="1:6" ht="36.75" customHeight="1">
      <c r="A395" s="37" t="s">
        <v>852</v>
      </c>
      <c r="B395" s="33" t="s">
        <v>856</v>
      </c>
      <c r="C395" s="66">
        <v>4.5</v>
      </c>
      <c r="D395" s="66">
        <v>4</v>
      </c>
      <c r="E395" s="29" t="str">
        <f>"*"&amp;Table1[[#This Row],[Frame]]&amp;"*"</f>
        <v>*F639OO*</v>
      </c>
      <c r="F395" s="47" t="s">
        <v>1098</v>
      </c>
    </row>
    <row r="396" spans="1:6" ht="36.75" customHeight="1">
      <c r="A396" s="32" t="s">
        <v>779</v>
      </c>
      <c r="B396" s="33" t="s">
        <v>782</v>
      </c>
      <c r="C396" s="66">
        <v>4</v>
      </c>
      <c r="D396" s="66">
        <v>2.25</v>
      </c>
      <c r="E396" s="29" t="str">
        <f>"*"&amp;Table1[[#This Row],[Frame]]&amp;"*"</f>
        <v>*F639P*</v>
      </c>
      <c r="F396" s="47" t="s">
        <v>1098</v>
      </c>
    </row>
    <row r="397" spans="1:6" ht="36.75" customHeight="1">
      <c r="A397" s="32" t="s">
        <v>770</v>
      </c>
      <c r="B397" s="33" t="s">
        <v>776</v>
      </c>
      <c r="C397" s="66">
        <v>3</v>
      </c>
      <c r="D397" s="66">
        <v>2.25</v>
      </c>
      <c r="E397" s="29" t="str">
        <f>"*"&amp;Table1[[#This Row],[Frame]]&amp;"*"</f>
        <v>*F639RA*</v>
      </c>
      <c r="F397" s="47" t="s">
        <v>1098</v>
      </c>
    </row>
    <row r="398" spans="1:6" ht="36.75" customHeight="1">
      <c r="A398" s="32" t="s">
        <v>798</v>
      </c>
      <c r="B398" s="33" t="s">
        <v>799</v>
      </c>
      <c r="C398" s="66">
        <v>2.65</v>
      </c>
      <c r="D398" s="66">
        <v>2</v>
      </c>
      <c r="E398" s="29" t="str">
        <f>"*"&amp;Table1[[#This Row],[Frame]]&amp;"*"</f>
        <v>*F639RC*</v>
      </c>
      <c r="F398" s="47" t="s">
        <v>1098</v>
      </c>
    </row>
    <row r="399" spans="1:6" ht="36.75" customHeight="1">
      <c r="A399" s="32" t="s">
        <v>798</v>
      </c>
      <c r="B399" s="33" t="s">
        <v>1540</v>
      </c>
      <c r="C399" s="66">
        <v>2.65</v>
      </c>
      <c r="D399" s="66">
        <v>2</v>
      </c>
      <c r="E399" s="29" t="str">
        <f>"*"&amp;Table1[[#This Row],[Frame]]&amp;"*"</f>
        <v>*F639RC*</v>
      </c>
    </row>
    <row r="400" spans="1:6" ht="36.75" customHeight="1">
      <c r="A400" s="32" t="s">
        <v>793</v>
      </c>
      <c r="B400" s="33" t="s">
        <v>796</v>
      </c>
      <c r="C400" s="66">
        <v>2.85</v>
      </c>
      <c r="D400" s="66">
        <v>2.25</v>
      </c>
      <c r="E400" s="29" t="str">
        <f>"*"&amp;Table1[[#This Row],[Frame]]&amp;"*"</f>
        <v>*F639U*</v>
      </c>
      <c r="F400" s="47" t="s">
        <v>1098</v>
      </c>
    </row>
    <row r="401" spans="1:6" ht="36.75" customHeight="1">
      <c r="A401" s="32" t="s">
        <v>778</v>
      </c>
      <c r="B401" s="33" t="s">
        <v>783</v>
      </c>
      <c r="C401" s="66">
        <v>4</v>
      </c>
      <c r="D401" s="66">
        <v>2.25</v>
      </c>
      <c r="E401" s="29" t="str">
        <f>"*"&amp;Table1[[#This Row],[Frame]]&amp;"*"</f>
        <v>*F639Y*</v>
      </c>
      <c r="F401" s="47" t="s">
        <v>1098</v>
      </c>
    </row>
    <row r="402" spans="1:6" ht="36.75" customHeight="1">
      <c r="A402" s="40" t="s">
        <v>1714</v>
      </c>
      <c r="B402" s="41" t="s">
        <v>1715</v>
      </c>
      <c r="C402" s="76">
        <v>1</v>
      </c>
      <c r="D402" s="77">
        <v>0.5</v>
      </c>
      <c r="E402" s="30" t="str">
        <f>"*"&amp;Table1[[#This Row],[Frame]]&amp;"*"</f>
        <v>*F641-59*</v>
      </c>
    </row>
    <row r="403" spans="1:6" ht="36.75" customHeight="1">
      <c r="A403" s="40" t="s">
        <v>762</v>
      </c>
      <c r="B403" s="41" t="s">
        <v>763</v>
      </c>
      <c r="C403" s="76">
        <v>3</v>
      </c>
      <c r="D403" s="77">
        <v>2.5</v>
      </c>
      <c r="E403" s="30" t="str">
        <f>"*"&amp;Table1[[#This Row],[Frame]]&amp;"*"</f>
        <v>*F641A*</v>
      </c>
      <c r="F403" s="47" t="s">
        <v>1098</v>
      </c>
    </row>
    <row r="404" spans="1:6" ht="36.75" customHeight="1">
      <c r="A404" s="40" t="s">
        <v>72</v>
      </c>
      <c r="B404" s="41" t="s">
        <v>73</v>
      </c>
      <c r="C404" s="76">
        <v>2.6</v>
      </c>
      <c r="D404" s="77">
        <v>1.75</v>
      </c>
      <c r="E404" s="30" t="str">
        <f>"*"&amp;Table1[[#This Row],[Frame]]&amp;"*"</f>
        <v>*F641C*</v>
      </c>
      <c r="F404" s="47" t="s">
        <v>1098</v>
      </c>
    </row>
    <row r="405" spans="1:6" ht="36.75" customHeight="1">
      <c r="A405" s="40" t="s">
        <v>74</v>
      </c>
      <c r="B405" s="41" t="s">
        <v>75</v>
      </c>
      <c r="C405" s="76">
        <v>3.35</v>
      </c>
      <c r="D405" s="77">
        <v>2</v>
      </c>
      <c r="E405" s="30" t="str">
        <f>"*"&amp;Table1[[#This Row],[Frame]]&amp;"*"</f>
        <v>*F641CB*</v>
      </c>
      <c r="F405" s="47" t="s">
        <v>1098</v>
      </c>
    </row>
    <row r="406" spans="1:6" ht="36.75" customHeight="1">
      <c r="A406" s="42" t="s">
        <v>76</v>
      </c>
      <c r="B406" s="43" t="s">
        <v>77</v>
      </c>
      <c r="C406" s="68">
        <v>3.35</v>
      </c>
      <c r="D406" s="69">
        <v>2.25</v>
      </c>
      <c r="E406" s="30" t="str">
        <f>"*"&amp;Table1[[#This Row],[Frame]]&amp;"*"</f>
        <v>*F641CC*</v>
      </c>
      <c r="F406" s="47" t="s">
        <v>1098</v>
      </c>
    </row>
    <row r="407" spans="1:6" ht="36.75" customHeight="1">
      <c r="A407" s="42" t="s">
        <v>78</v>
      </c>
      <c r="B407" s="43" t="s">
        <v>79</v>
      </c>
      <c r="C407" s="68">
        <v>2.35</v>
      </c>
      <c r="D407" s="69">
        <v>1</v>
      </c>
      <c r="E407" s="30" t="str">
        <f>"*"&amp;Table1[[#This Row],[Frame]]&amp;"*"</f>
        <v>*F641CQ*</v>
      </c>
      <c r="F407" s="47" t="s">
        <v>1098</v>
      </c>
    </row>
    <row r="408" spans="1:6" ht="36.75" customHeight="1">
      <c r="A408" s="40" t="s">
        <v>80</v>
      </c>
      <c r="B408" s="41" t="s">
        <v>81</v>
      </c>
      <c r="C408" s="68">
        <v>3.35</v>
      </c>
      <c r="D408" s="69">
        <v>2</v>
      </c>
      <c r="E408" s="30" t="str">
        <f>"*"&amp;Table1[[#This Row],[Frame]]&amp;"*"</f>
        <v>*F641CZ*</v>
      </c>
      <c r="F408" s="47" t="s">
        <v>1098</v>
      </c>
    </row>
    <row r="409" spans="1:6" ht="36.75" customHeight="1">
      <c r="A409" s="40" t="s">
        <v>741</v>
      </c>
      <c r="B409" s="43" t="s">
        <v>742</v>
      </c>
      <c r="C409" s="68">
        <v>2.75</v>
      </c>
      <c r="D409" s="69">
        <v>2</v>
      </c>
      <c r="E409" s="30" t="str">
        <f>"*"&amp;Table1[[#This Row],[Frame]]&amp;"*"</f>
        <v>*F641D*</v>
      </c>
      <c r="F409" s="47" t="s">
        <v>1098</v>
      </c>
    </row>
    <row r="410" spans="1:6" ht="36.75" customHeight="1">
      <c r="A410" s="40" t="s">
        <v>82</v>
      </c>
      <c r="B410" s="43" t="s">
        <v>83</v>
      </c>
      <c r="C410" s="68">
        <v>2.75</v>
      </c>
      <c r="D410" s="69">
        <v>2</v>
      </c>
      <c r="E410" s="30" t="str">
        <f>"*"&amp;Table1[[#This Row],[Frame]]&amp;"*"</f>
        <v>*F641E*</v>
      </c>
      <c r="F410" s="47" t="s">
        <v>1098</v>
      </c>
    </row>
    <row r="411" spans="1:6" ht="36.75" customHeight="1">
      <c r="A411" s="42" t="s">
        <v>84</v>
      </c>
      <c r="B411" s="43" t="s">
        <v>85</v>
      </c>
      <c r="C411" s="68">
        <v>1.85</v>
      </c>
      <c r="D411" s="69">
        <v>1.5</v>
      </c>
      <c r="E411" s="30" t="str">
        <f>"*"&amp;Table1[[#This Row],[Frame]]&amp;"*"</f>
        <v>*F641F*</v>
      </c>
      <c r="F411" s="47" t="s">
        <v>1098</v>
      </c>
    </row>
    <row r="412" spans="1:6" ht="36.75" hidden="1" customHeight="1">
      <c r="A412" s="42" t="s">
        <v>805</v>
      </c>
      <c r="B412" s="43" t="s">
        <v>806</v>
      </c>
      <c r="C412" s="68">
        <v>3</v>
      </c>
      <c r="D412" s="69">
        <v>2.5</v>
      </c>
      <c r="E412" s="30" t="str">
        <f>"*"&amp;Table1[[#This Row],[Frame]]&amp;"*"</f>
        <v>*P001A*</v>
      </c>
      <c r="F412" s="47" t="s">
        <v>1102</v>
      </c>
    </row>
    <row r="413" spans="1:6" ht="36.75" hidden="1" customHeight="1">
      <c r="A413" s="32" t="s">
        <v>666</v>
      </c>
      <c r="B413" s="33" t="s">
        <v>673</v>
      </c>
      <c r="C413" s="66">
        <v>3</v>
      </c>
      <c r="D413" s="66">
        <v>1.5</v>
      </c>
      <c r="E413" s="30" t="str">
        <f>"*"&amp;Table1[[#This Row],[Frame]]&amp;"*"</f>
        <v>*PD*</v>
      </c>
      <c r="F413" s="47" t="s">
        <v>666</v>
      </c>
    </row>
    <row r="414" spans="1:6" ht="36.75" hidden="1" customHeight="1">
      <c r="A414" s="42" t="s">
        <v>560</v>
      </c>
      <c r="B414" s="43" t="s">
        <v>562</v>
      </c>
      <c r="C414" s="68">
        <v>1.85</v>
      </c>
      <c r="D414" s="69">
        <v>1.55</v>
      </c>
      <c r="E414" s="30" t="str">
        <f>"*"&amp;Table1[[#This Row],[Frame]]&amp;"*"</f>
        <v>*PD-002*</v>
      </c>
      <c r="F414" s="47" t="s">
        <v>666</v>
      </c>
    </row>
    <row r="415" spans="1:6" ht="36.75" hidden="1" customHeight="1">
      <c r="A415" s="44" t="s">
        <v>561</v>
      </c>
      <c r="B415" s="33" t="s">
        <v>563</v>
      </c>
      <c r="C415" s="66">
        <v>0.75</v>
      </c>
      <c r="D415" s="66">
        <v>0.5</v>
      </c>
      <c r="E415" s="30" t="str">
        <f>"*"&amp;Table1[[#This Row],[Frame]]&amp;"*"</f>
        <v>*PD-003*</v>
      </c>
      <c r="F415" s="47" t="s">
        <v>666</v>
      </c>
    </row>
    <row r="416" spans="1:6" ht="36.75" hidden="1" customHeight="1">
      <c r="A416" s="32" t="s">
        <v>564</v>
      </c>
      <c r="B416" s="33" t="s">
        <v>565</v>
      </c>
      <c r="C416" s="66">
        <v>2.35</v>
      </c>
      <c r="D416" s="66">
        <v>1.75</v>
      </c>
      <c r="E416" s="31" t="str">
        <f>"*"&amp;Table1[[#This Row],[Frame]]&amp;"*"</f>
        <v>*pd-004*</v>
      </c>
      <c r="F416" s="47" t="s">
        <v>666</v>
      </c>
    </row>
    <row r="417" spans="1:6" ht="36.75" hidden="1" customHeight="1">
      <c r="A417" s="32" t="s">
        <v>596</v>
      </c>
      <c r="B417" s="33" t="s">
        <v>595</v>
      </c>
      <c r="C417" s="66">
        <v>3.35</v>
      </c>
      <c r="D417" s="66">
        <v>1.75</v>
      </c>
      <c r="E417" s="30" t="str">
        <f>"*"&amp;Table1[[#This Row],[Frame]]&amp;"*"</f>
        <v>*PD-006*</v>
      </c>
      <c r="F417" s="47" t="s">
        <v>666</v>
      </c>
    </row>
    <row r="418" spans="1:6" ht="36.75" hidden="1" customHeight="1">
      <c r="A418" s="32" t="s">
        <v>377</v>
      </c>
      <c r="B418" s="33" t="s">
        <v>380</v>
      </c>
      <c r="C418" s="66">
        <v>2.6</v>
      </c>
      <c r="D418" s="66">
        <v>1.5</v>
      </c>
      <c r="E418" s="30" t="str">
        <f>"*"&amp;Table1[[#This Row],[Frame]]&amp;"*"</f>
        <v>*RD-005*</v>
      </c>
      <c r="F418" s="47" t="s">
        <v>666</v>
      </c>
    </row>
    <row r="419" spans="1:6" ht="36.75" hidden="1" customHeight="1">
      <c r="A419" s="32" t="s">
        <v>378</v>
      </c>
      <c r="B419" s="33" t="s">
        <v>381</v>
      </c>
      <c r="C419" s="66">
        <v>3.85</v>
      </c>
      <c r="D419" s="66">
        <v>2.5</v>
      </c>
      <c r="E419" s="30" t="str">
        <f>"*"&amp;Table1[[#This Row],[Frame]]&amp;"*"</f>
        <v>*RD-006*</v>
      </c>
      <c r="F419" s="47" t="s">
        <v>666</v>
      </c>
    </row>
    <row r="420" spans="1:6" ht="36.75" hidden="1" customHeight="1">
      <c r="A420" s="32" t="s">
        <v>1040</v>
      </c>
      <c r="B420" s="33" t="s">
        <v>1041</v>
      </c>
      <c r="C420" s="66"/>
      <c r="D420" s="66">
        <v>3.5</v>
      </c>
      <c r="E420" s="30" t="str">
        <f>"*"&amp;Table1[[#This Row],[Frame]]&amp;"*"</f>
        <v>*SAMPLE*</v>
      </c>
      <c r="F420" s="47" t="s">
        <v>666</v>
      </c>
    </row>
    <row r="421" spans="1:6" ht="36.75" hidden="1" customHeight="1">
      <c r="A421" s="32" t="s">
        <v>322</v>
      </c>
      <c r="B421" s="33" t="s">
        <v>323</v>
      </c>
      <c r="C421" s="66">
        <v>2.25</v>
      </c>
      <c r="D421" s="66">
        <v>1.75</v>
      </c>
      <c r="E421" s="30" t="str">
        <f>"*"&amp;Table1[[#This Row],[Frame]]&amp;"*"</f>
        <v>*TEMP001*</v>
      </c>
      <c r="F421" s="47" t="s">
        <v>666</v>
      </c>
    </row>
    <row r="422" spans="1:6" ht="36.75" customHeight="1">
      <c r="A422" s="42" t="s">
        <v>86</v>
      </c>
      <c r="B422" s="43" t="s">
        <v>87</v>
      </c>
      <c r="C422" s="68">
        <v>1.6</v>
      </c>
      <c r="D422" s="69">
        <v>1</v>
      </c>
      <c r="E422" s="31" t="str">
        <f>"*"&amp;Table1[[#This Row],[Frame]]&amp;"*"</f>
        <v>*F641I*</v>
      </c>
      <c r="F422" s="47" t="s">
        <v>1098</v>
      </c>
    </row>
    <row r="423" spans="1:6" ht="36.75" customHeight="1">
      <c r="A423" s="42" t="s">
        <v>88</v>
      </c>
      <c r="B423" s="43" t="s">
        <v>89</v>
      </c>
      <c r="C423" s="68">
        <v>0.8</v>
      </c>
      <c r="D423" s="69">
        <v>0.5</v>
      </c>
      <c r="E423" s="73" t="str">
        <f>"*"&amp;Table1[[#This Row],[Frame]]&amp;"*"</f>
        <v>*F641JB*</v>
      </c>
      <c r="F423" s="47" t="s">
        <v>1098</v>
      </c>
    </row>
    <row r="424" spans="1:6" ht="36.75" customHeight="1">
      <c r="A424" s="40" t="s">
        <v>90</v>
      </c>
      <c r="B424" s="46" t="s">
        <v>91</v>
      </c>
      <c r="C424" s="70">
        <v>1.5</v>
      </c>
      <c r="D424" s="71">
        <v>0.75</v>
      </c>
      <c r="E424" s="73" t="str">
        <f>"*"&amp;Table1[[#This Row],[Frame]]&amp;"*"</f>
        <v>*F641JL*</v>
      </c>
      <c r="F424" s="47" t="s">
        <v>1098</v>
      </c>
    </row>
    <row r="425" spans="1:6" ht="36.75" customHeight="1">
      <c r="A425" s="42" t="s">
        <v>1573</v>
      </c>
      <c r="B425" s="43" t="s">
        <v>1574</v>
      </c>
      <c r="C425" s="68">
        <v>3</v>
      </c>
      <c r="D425" s="69">
        <v>1.5</v>
      </c>
      <c r="E425" s="73" t="str">
        <f>"*"&amp;Table1[[#This Row],[Frame]]&amp;"*"</f>
        <v>*F641K*</v>
      </c>
    </row>
    <row r="426" spans="1:6" ht="36.75" customHeight="1">
      <c r="A426" s="42" t="s">
        <v>92</v>
      </c>
      <c r="B426" s="43" t="s">
        <v>93</v>
      </c>
      <c r="C426" s="68">
        <v>3</v>
      </c>
      <c r="D426" s="69">
        <v>2.5</v>
      </c>
      <c r="E426" s="73" t="str">
        <f>"*"&amp;Table1[[#This Row],[Frame]]&amp;"*"</f>
        <v>*F641LA*</v>
      </c>
      <c r="F426" s="47" t="s">
        <v>1098</v>
      </c>
    </row>
    <row r="427" spans="1:6" ht="36.75" customHeight="1">
      <c r="A427" s="40" t="s">
        <v>371</v>
      </c>
      <c r="B427" s="46" t="s">
        <v>372</v>
      </c>
      <c r="C427" s="70">
        <v>2.35</v>
      </c>
      <c r="D427" s="71">
        <v>1.75</v>
      </c>
      <c r="E427" s="73" t="str">
        <f>"*"&amp;Table1[[#This Row],[Frame]]&amp;"*"</f>
        <v>*F641LC*</v>
      </c>
      <c r="F427" s="47" t="s">
        <v>1098</v>
      </c>
    </row>
    <row r="428" spans="1:6" ht="36.75" customHeight="1">
      <c r="A428" s="40" t="s">
        <v>824</v>
      </c>
      <c r="B428" s="46" t="s">
        <v>823</v>
      </c>
      <c r="C428" s="70">
        <v>4.5</v>
      </c>
      <c r="D428" s="71">
        <v>4</v>
      </c>
      <c r="E428" s="73" t="str">
        <f>"*"&amp;Table1[[#This Row],[Frame]]&amp;"*"</f>
        <v>*F641LL*</v>
      </c>
      <c r="F428" s="47" t="s">
        <v>1098</v>
      </c>
    </row>
    <row r="429" spans="1:6" ht="36.75" customHeight="1">
      <c r="A429" s="42" t="s">
        <v>822</v>
      </c>
      <c r="B429" s="43" t="s">
        <v>823</v>
      </c>
      <c r="C429" s="68">
        <v>4.5</v>
      </c>
      <c r="D429" s="69">
        <v>4</v>
      </c>
      <c r="E429" s="73" t="str">
        <f>"*"&amp;Table1[[#This Row],[Frame]]&amp;"*"</f>
        <v>*F641OO*</v>
      </c>
      <c r="F429" s="47" t="s">
        <v>1098</v>
      </c>
    </row>
    <row r="430" spans="1:6" ht="36.75" customHeight="1">
      <c r="A430" s="42" t="s">
        <v>94</v>
      </c>
      <c r="B430" s="43" t="s">
        <v>95</v>
      </c>
      <c r="C430" s="68">
        <v>3.85</v>
      </c>
      <c r="D430" s="69">
        <v>2.75</v>
      </c>
      <c r="E430" s="73" t="str">
        <f>"*"&amp;Table1[[#This Row],[Frame]]&amp;"*"</f>
        <v>*F641P*</v>
      </c>
      <c r="F430" s="47" t="s">
        <v>1098</v>
      </c>
    </row>
    <row r="431" spans="1:6" ht="36.75" customHeight="1">
      <c r="A431" s="42" t="s">
        <v>96</v>
      </c>
      <c r="B431" s="43" t="s">
        <v>97</v>
      </c>
      <c r="C431" s="68">
        <v>3</v>
      </c>
      <c r="D431" s="69">
        <v>2.5</v>
      </c>
      <c r="E431" s="73" t="str">
        <f>"*"&amp;Table1[[#This Row],[Frame]]&amp;"*"</f>
        <v>*F641RA*</v>
      </c>
      <c r="F431" s="47" t="s">
        <v>1098</v>
      </c>
    </row>
    <row r="432" spans="1:6" ht="36.75" customHeight="1">
      <c r="A432" s="42" t="s">
        <v>386</v>
      </c>
      <c r="B432" s="43" t="s">
        <v>387</v>
      </c>
      <c r="C432" s="68">
        <v>2.35</v>
      </c>
      <c r="D432" s="69">
        <v>1.75</v>
      </c>
      <c r="E432" s="73" t="str">
        <f>"*"&amp;Table1[[#This Row],[Frame]]&amp;"*"</f>
        <v>*F641RC*</v>
      </c>
      <c r="F432" s="47" t="s">
        <v>1098</v>
      </c>
    </row>
    <row r="433" spans="1:6" ht="36.75" customHeight="1">
      <c r="A433" s="42" t="s">
        <v>436</v>
      </c>
      <c r="B433" s="43" t="s">
        <v>437</v>
      </c>
      <c r="C433" s="68">
        <v>2.85</v>
      </c>
      <c r="D433" s="69">
        <v>1.75</v>
      </c>
      <c r="E433" s="73" t="str">
        <f>"*"&amp;Table1[[#This Row],[Frame]]&amp;"*"</f>
        <v>*F641S*</v>
      </c>
      <c r="F433" s="47" t="s">
        <v>1098</v>
      </c>
    </row>
    <row r="434" spans="1:6" ht="36.75" customHeight="1">
      <c r="A434" s="42" t="s">
        <v>743</v>
      </c>
      <c r="B434" s="43" t="s">
        <v>744</v>
      </c>
      <c r="C434" s="68">
        <v>2.5</v>
      </c>
      <c r="D434" s="69">
        <v>1.5</v>
      </c>
      <c r="E434" s="73" t="str">
        <f>"*"&amp;Table1[[#This Row],[Frame]]&amp;"*"</f>
        <v>*F641SS*</v>
      </c>
      <c r="F434" s="47" t="s">
        <v>1098</v>
      </c>
    </row>
    <row r="435" spans="1:6" ht="36.75" customHeight="1" thickBot="1">
      <c r="A435" s="72" t="s">
        <v>98</v>
      </c>
      <c r="B435" s="43" t="s">
        <v>99</v>
      </c>
      <c r="C435" s="78">
        <v>2.75</v>
      </c>
      <c r="D435" s="79">
        <v>1.75</v>
      </c>
      <c r="E435" s="73" t="str">
        <f>"*"&amp;Table1[[#This Row],[Frame]]&amp;"*"</f>
        <v>*F641U*</v>
      </c>
      <c r="F435" s="47" t="s">
        <v>1098</v>
      </c>
    </row>
    <row r="436" spans="1:6" ht="36.75" customHeight="1">
      <c r="A436" s="40" t="s">
        <v>100</v>
      </c>
      <c r="B436" s="46" t="s">
        <v>101</v>
      </c>
      <c r="C436" s="70">
        <v>4</v>
      </c>
      <c r="D436" s="71">
        <v>2.75</v>
      </c>
      <c r="E436" s="73" t="str">
        <f>"*"&amp;Table1[[#This Row],[Frame]]&amp;"*"</f>
        <v>*F641Y*</v>
      </c>
      <c r="F436" s="47" t="s">
        <v>1098</v>
      </c>
    </row>
    <row r="437" spans="1:6" ht="36.75" customHeight="1">
      <c r="A437" s="42" t="s">
        <v>102</v>
      </c>
      <c r="B437" s="43" t="s">
        <v>103</v>
      </c>
      <c r="C437" s="68">
        <v>3.35</v>
      </c>
      <c r="D437" s="69">
        <v>2</v>
      </c>
      <c r="E437" s="73" t="str">
        <f>"*"&amp;Table1[[#This Row],[Frame]]&amp;"*"</f>
        <v>*F644A*</v>
      </c>
      <c r="F437" s="47" t="s">
        <v>1098</v>
      </c>
    </row>
    <row r="438" spans="1:6" ht="36.75" customHeight="1">
      <c r="A438" s="42" t="s">
        <v>745</v>
      </c>
      <c r="B438" s="43" t="s">
        <v>746</v>
      </c>
      <c r="C438" s="68">
        <v>3</v>
      </c>
      <c r="D438" s="69">
        <v>1.5</v>
      </c>
      <c r="E438" s="73" t="str">
        <f>"*"&amp;Table1[[#This Row],[Frame]]&amp;"*"</f>
        <v>*F644D*</v>
      </c>
      <c r="F438" s="47" t="s">
        <v>1098</v>
      </c>
    </row>
    <row r="439" spans="1:6" ht="36.75" customHeight="1">
      <c r="A439" s="42" t="s">
        <v>1160</v>
      </c>
      <c r="B439" s="43" t="s">
        <v>1161</v>
      </c>
      <c r="C439" s="68">
        <v>1</v>
      </c>
      <c r="D439" s="69">
        <v>0.75</v>
      </c>
      <c r="E439" s="73" t="str">
        <f>"*"&amp;Table1[[#This Row],[Frame]]&amp;"*"</f>
        <v>*F644J*</v>
      </c>
      <c r="F439" s="47" t="s">
        <v>1098</v>
      </c>
    </row>
    <row r="440" spans="1:6" ht="36.75" customHeight="1">
      <c r="A440" s="42" t="s">
        <v>104</v>
      </c>
      <c r="B440" s="43" t="s">
        <v>105</v>
      </c>
      <c r="C440" s="68">
        <v>3.35</v>
      </c>
      <c r="D440" s="69">
        <v>1.5</v>
      </c>
      <c r="E440" s="73" t="str">
        <f>"*"&amp;Table1[[#This Row],[Frame]]&amp;"*"</f>
        <v>*F644S*</v>
      </c>
      <c r="F440" s="47" t="s">
        <v>1098</v>
      </c>
    </row>
    <row r="441" spans="1:6" ht="36.75" customHeight="1">
      <c r="A441" s="42" t="s">
        <v>701</v>
      </c>
      <c r="B441" s="43" t="s">
        <v>702</v>
      </c>
      <c r="C441" s="68">
        <v>2.5</v>
      </c>
      <c r="D441" s="69">
        <v>1.5</v>
      </c>
      <c r="E441" s="73" t="str">
        <f>"*"&amp;Table1[[#This Row],[Frame]]&amp;"*"</f>
        <v>*F646E*</v>
      </c>
      <c r="F441" s="47" t="s">
        <v>1098</v>
      </c>
    </row>
    <row r="442" spans="1:6" ht="36.75" customHeight="1">
      <c r="A442" s="42" t="s">
        <v>601</v>
      </c>
      <c r="B442" s="43" t="s">
        <v>607</v>
      </c>
      <c r="C442" s="68">
        <v>1.6</v>
      </c>
      <c r="D442" s="69">
        <v>1.5</v>
      </c>
      <c r="E442" s="73" t="str">
        <f>"*"&amp;Table1[[#This Row],[Frame]]&amp;"*"</f>
        <v>*F646I*</v>
      </c>
      <c r="F442" s="47" t="s">
        <v>1098</v>
      </c>
    </row>
    <row r="443" spans="1:6" ht="36.75" customHeight="1">
      <c r="A443" s="42" t="s">
        <v>605</v>
      </c>
      <c r="B443" s="43" t="s">
        <v>609</v>
      </c>
      <c r="C443" s="68">
        <v>3</v>
      </c>
      <c r="D443" s="69">
        <v>2.25</v>
      </c>
      <c r="E443" s="73" t="str">
        <f>"*"&amp;Table1[[#This Row],[Frame]]&amp;"*"</f>
        <v>*F646LA*</v>
      </c>
      <c r="F443" s="47" t="s">
        <v>1098</v>
      </c>
    </row>
    <row r="444" spans="1:6" ht="36.75" customHeight="1">
      <c r="A444" s="42" t="s">
        <v>680</v>
      </c>
      <c r="B444" s="43" t="s">
        <v>685</v>
      </c>
      <c r="C444" s="68">
        <v>4</v>
      </c>
      <c r="D444" s="69">
        <v>2.5</v>
      </c>
      <c r="E444" s="73" t="str">
        <f>"*"&amp;Table1[[#This Row],[Frame]]&amp;"*"</f>
        <v>*F646P*</v>
      </c>
      <c r="F444" s="47" t="s">
        <v>1098</v>
      </c>
    </row>
    <row r="445" spans="1:6" ht="36.75" customHeight="1" thickBot="1">
      <c r="A445" s="72" t="s">
        <v>675</v>
      </c>
      <c r="B445" s="327" t="s">
        <v>1059</v>
      </c>
      <c r="C445" s="78">
        <v>3</v>
      </c>
      <c r="D445" s="79">
        <v>2.25</v>
      </c>
      <c r="E445" s="73" t="str">
        <f>"*"&amp;Table1[[#This Row],[Frame]]&amp;"*"</f>
        <v>*F646RA*</v>
      </c>
      <c r="F445" s="47" t="s">
        <v>1098</v>
      </c>
    </row>
    <row r="446" spans="1:6" ht="36.75" customHeight="1">
      <c r="A446" s="42" t="s">
        <v>602</v>
      </c>
      <c r="B446" s="43" t="s">
        <v>612</v>
      </c>
      <c r="C446" s="68">
        <v>2.75</v>
      </c>
      <c r="D446" s="69">
        <v>1.5</v>
      </c>
      <c r="E446" s="73" t="str">
        <f>"*"&amp;Table1[[#This Row],[Frame]]&amp;"*"</f>
        <v>*F646U*</v>
      </c>
      <c r="F446" s="47" t="s">
        <v>1098</v>
      </c>
    </row>
    <row r="447" spans="1:6" ht="36.75" customHeight="1">
      <c r="A447" s="42" t="s">
        <v>599</v>
      </c>
      <c r="B447" s="43" t="s">
        <v>608</v>
      </c>
      <c r="C447" s="68">
        <v>3</v>
      </c>
      <c r="D447" s="69">
        <v>2.25</v>
      </c>
      <c r="E447" s="73" t="str">
        <f>"*"&amp;Table1[[#This Row],[Frame]]&amp;"*"</f>
        <v>*F646Y*</v>
      </c>
      <c r="F447" s="47" t="s">
        <v>1098</v>
      </c>
    </row>
    <row r="448" spans="1:6" ht="36.75" customHeight="1">
      <c r="A448" s="42" t="s">
        <v>678</v>
      </c>
      <c r="B448" s="43" t="s">
        <v>684</v>
      </c>
      <c r="C448" s="68">
        <v>3</v>
      </c>
      <c r="D448" s="69">
        <v>2.5</v>
      </c>
      <c r="E448" s="73" t="str">
        <f>"*"&amp;Table1[[#This Row],[Frame]]&amp;"*"</f>
        <v>*F649CZ*</v>
      </c>
      <c r="F448" s="47" t="s">
        <v>1098</v>
      </c>
    </row>
    <row r="449" spans="1:6" ht="36.75" customHeight="1">
      <c r="A449" s="42" t="s">
        <v>957</v>
      </c>
      <c r="B449" s="43" t="s">
        <v>683</v>
      </c>
      <c r="C449" s="68">
        <v>3</v>
      </c>
      <c r="D449" s="69">
        <v>2.5</v>
      </c>
      <c r="E449" s="73" t="str">
        <f>"*"&amp;Table1[[#This Row],[Frame]]&amp;"*"</f>
        <v>*F649E*</v>
      </c>
      <c r="F449" s="47" t="s">
        <v>1098</v>
      </c>
    </row>
    <row r="450" spans="1:6" ht="36.75" customHeight="1" thickBot="1">
      <c r="A450" s="72" t="s">
        <v>729</v>
      </c>
      <c r="B450" s="327" t="s">
        <v>597</v>
      </c>
      <c r="C450" s="78">
        <v>3.35</v>
      </c>
      <c r="D450" s="79">
        <v>2.25</v>
      </c>
      <c r="E450" s="73" t="str">
        <f>"*"&amp;Table1[[#This Row],[Frame]]&amp;"*"</f>
        <v>*F649F*</v>
      </c>
      <c r="F450" s="47" t="s">
        <v>1098</v>
      </c>
    </row>
    <row r="451" spans="1:6" ht="36.75" customHeight="1">
      <c r="A451" s="40" t="s">
        <v>679</v>
      </c>
      <c r="B451" s="46" t="s">
        <v>683</v>
      </c>
      <c r="C451" s="70">
        <v>3</v>
      </c>
      <c r="D451" s="71">
        <v>2.5</v>
      </c>
      <c r="E451" s="73" t="str">
        <f>"*"&amp;Table1[[#This Row],[Frame]]&amp;"*"</f>
        <v>*F649U*</v>
      </c>
      <c r="F451" s="47" t="s">
        <v>1098</v>
      </c>
    </row>
    <row r="452" spans="1:6" ht="36.75" customHeight="1">
      <c r="A452" s="32" t="s">
        <v>687</v>
      </c>
      <c r="B452" s="33" t="s">
        <v>677</v>
      </c>
      <c r="C452" s="66">
        <v>3</v>
      </c>
      <c r="D452" s="66">
        <v>1.75</v>
      </c>
      <c r="E452" s="73" t="str">
        <f>"*"&amp;Table1[[#This Row],[Frame]]&amp;"*"</f>
        <v>*F657A*</v>
      </c>
      <c r="F452" s="47" t="s">
        <v>1098</v>
      </c>
    </row>
    <row r="453" spans="1:6" ht="36.75" customHeight="1">
      <c r="A453" s="32" t="s">
        <v>807</v>
      </c>
      <c r="B453" s="33" t="s">
        <v>808</v>
      </c>
      <c r="C453" s="66">
        <v>2.5</v>
      </c>
      <c r="D453" s="66">
        <v>1.5</v>
      </c>
      <c r="E453" s="73" t="str">
        <f>"*"&amp;Table1[[#This Row],[Frame]]&amp;"*"</f>
        <v>*F657D*</v>
      </c>
      <c r="F453" s="47" t="s">
        <v>1098</v>
      </c>
    </row>
    <row r="454" spans="1:6" ht="36.75" customHeight="1">
      <c r="A454" s="32" t="s">
        <v>690</v>
      </c>
      <c r="B454" s="33" t="s">
        <v>692</v>
      </c>
      <c r="C454" s="66">
        <v>0.75</v>
      </c>
      <c r="D454" s="66">
        <v>0.5</v>
      </c>
      <c r="E454" s="73" t="str">
        <f>"*"&amp;Table1[[#This Row],[Frame]]&amp;"*"</f>
        <v>*F657J*</v>
      </c>
      <c r="F454" s="47" t="s">
        <v>1098</v>
      </c>
    </row>
    <row r="455" spans="1:6" ht="36.75" customHeight="1">
      <c r="A455" s="42" t="s">
        <v>658</v>
      </c>
      <c r="B455" s="43" t="s">
        <v>660</v>
      </c>
      <c r="C455" s="68">
        <v>2</v>
      </c>
      <c r="D455" s="69">
        <v>1.75</v>
      </c>
      <c r="E455" s="73" t="str">
        <f>"*"&amp;Table1[[#This Row],[Frame]]&amp;"*"</f>
        <v>*F657S*</v>
      </c>
      <c r="F455" s="47" t="s">
        <v>1098</v>
      </c>
    </row>
    <row r="456" spans="1:6" ht="36.75" customHeight="1">
      <c r="A456" s="312" t="s">
        <v>890</v>
      </c>
      <c r="B456" s="43" t="s">
        <v>891</v>
      </c>
      <c r="C456" s="68">
        <v>3.75</v>
      </c>
      <c r="D456" s="69">
        <v>2</v>
      </c>
      <c r="E456" s="73" t="str">
        <f>"*"&amp;Table1[[#This Row],[Frame]]&amp;"*"</f>
        <v>*F662A*</v>
      </c>
      <c r="F456" s="47" t="s">
        <v>1098</v>
      </c>
    </row>
    <row r="457" spans="1:6" ht="36.75" customHeight="1">
      <c r="A457" s="312" t="s">
        <v>892</v>
      </c>
      <c r="B457" s="43" t="s">
        <v>893</v>
      </c>
      <c r="C457" s="68">
        <v>3.25</v>
      </c>
      <c r="D457" s="69">
        <v>1.75</v>
      </c>
      <c r="E457" s="73" t="str">
        <f>"*"&amp;Table1[[#This Row],[Frame]]&amp;"*"</f>
        <v>*F662D*</v>
      </c>
      <c r="F457" s="47" t="s">
        <v>1098</v>
      </c>
    </row>
    <row r="458" spans="1:6" ht="36.75" customHeight="1">
      <c r="A458" s="45" t="s">
        <v>1223</v>
      </c>
      <c r="B458" s="33" t="s">
        <v>1110</v>
      </c>
      <c r="C458" s="66">
        <v>1</v>
      </c>
      <c r="D458" s="66">
        <v>0.75</v>
      </c>
      <c r="E458" s="31" t="str">
        <f>"*"&amp;Table1[[#This Row],[Frame]]&amp;"*"</f>
        <v>*F662J*</v>
      </c>
    </row>
    <row r="459" spans="1:6" ht="36.75" customHeight="1">
      <c r="A459" s="309" t="s">
        <v>894</v>
      </c>
      <c r="B459" s="40" t="s">
        <v>895</v>
      </c>
      <c r="C459" s="205">
        <v>2.75</v>
      </c>
      <c r="D459" s="206">
        <v>1.5</v>
      </c>
      <c r="E459" s="207" t="str">
        <f>"*"&amp;Table1[[#This Row],[Frame]]&amp;"*"</f>
        <v>*F662S*</v>
      </c>
      <c r="F459" s="47" t="s">
        <v>1098</v>
      </c>
    </row>
    <row r="460" spans="1:6" ht="36.75" customHeight="1">
      <c r="A460" s="42" t="s">
        <v>106</v>
      </c>
      <c r="B460" s="43" t="s">
        <v>107</v>
      </c>
      <c r="C460" s="68">
        <v>3.85</v>
      </c>
      <c r="D460" s="69">
        <v>4</v>
      </c>
      <c r="E460" s="207" t="str">
        <f>"*"&amp;Table1[[#This Row],[Frame]]&amp;"*"</f>
        <v>*F664A*</v>
      </c>
      <c r="F460" s="47" t="s">
        <v>1098</v>
      </c>
    </row>
    <row r="461" spans="1:6" ht="36.75" customHeight="1">
      <c r="A461" s="42" t="s">
        <v>108</v>
      </c>
      <c r="B461" s="43" t="s">
        <v>109</v>
      </c>
      <c r="C461" s="68">
        <v>3.1</v>
      </c>
      <c r="D461" s="69">
        <v>3</v>
      </c>
      <c r="E461" s="207" t="str">
        <f>"*"&amp;Table1[[#This Row],[Frame]]&amp;"*"</f>
        <v>*F664d*</v>
      </c>
      <c r="F461" s="47" t="s">
        <v>1098</v>
      </c>
    </row>
    <row r="462" spans="1:6" ht="36.75" customHeight="1">
      <c r="A462" s="42" t="s">
        <v>110</v>
      </c>
      <c r="B462" s="43" t="s">
        <v>111</v>
      </c>
      <c r="C462" s="68">
        <v>2.85</v>
      </c>
      <c r="D462" s="69">
        <v>2.5</v>
      </c>
      <c r="E462" s="207" t="str">
        <f>"*"&amp;Table1[[#This Row],[Frame]]&amp;"*"</f>
        <v>*F664S*</v>
      </c>
      <c r="F462" s="47" t="s">
        <v>1098</v>
      </c>
    </row>
    <row r="463" spans="1:6" ht="36.75" customHeight="1">
      <c r="A463" s="42" t="s">
        <v>112</v>
      </c>
      <c r="B463" s="43" t="s">
        <v>113</v>
      </c>
      <c r="C463" s="68">
        <v>2.85</v>
      </c>
      <c r="D463" s="69">
        <v>1.75</v>
      </c>
      <c r="E463" s="127" t="str">
        <f>"*"&amp;Table1[[#This Row],[Frame]]&amp;"*"</f>
        <v>*F667C*</v>
      </c>
      <c r="F463" s="47" t="s">
        <v>1098</v>
      </c>
    </row>
    <row r="464" spans="1:6" ht="36.75" customHeight="1">
      <c r="A464" s="208" t="s">
        <v>114</v>
      </c>
      <c r="B464" s="208" t="s">
        <v>115</v>
      </c>
      <c r="C464" s="209">
        <v>3.35</v>
      </c>
      <c r="D464" s="209">
        <v>1.75</v>
      </c>
      <c r="E464" s="127" t="str">
        <f>"*"&amp;Table1[[#This Row],[Frame]]&amp;"*"</f>
        <v>*F667CB*</v>
      </c>
      <c r="F464" s="47" t="s">
        <v>1098</v>
      </c>
    </row>
    <row r="465" spans="1:6" ht="36.75" customHeight="1">
      <c r="A465" s="208" t="s">
        <v>116</v>
      </c>
      <c r="B465" s="208" t="s">
        <v>117</v>
      </c>
      <c r="C465" s="209">
        <v>3.35</v>
      </c>
      <c r="D465" s="209">
        <v>1.75</v>
      </c>
      <c r="E465" s="127" t="str">
        <f>"*"&amp;Table1[[#This Row],[Frame]]&amp;"*"</f>
        <v>*F667CZ*</v>
      </c>
      <c r="F465" s="47" t="s">
        <v>1098</v>
      </c>
    </row>
    <row r="466" spans="1:6" ht="36.75" customHeight="1">
      <c r="A466" s="45" t="s">
        <v>501</v>
      </c>
      <c r="B466" s="45" t="s">
        <v>127</v>
      </c>
      <c r="C466" s="104">
        <v>2.6</v>
      </c>
      <c r="D466" s="105">
        <v>1.75</v>
      </c>
      <c r="E466" s="127" t="str">
        <f>"*"&amp;Table1[[#This Row],[Frame]]&amp;"*"</f>
        <v>*F667E*</v>
      </c>
      <c r="F466" s="47" t="s">
        <v>1098</v>
      </c>
    </row>
    <row r="467" spans="1:6" ht="36.75" customHeight="1">
      <c r="A467" s="45" t="s">
        <v>118</v>
      </c>
      <c r="B467" s="45" t="s">
        <v>119</v>
      </c>
      <c r="C467" s="104">
        <v>2.35</v>
      </c>
      <c r="D467" s="105">
        <v>1.5</v>
      </c>
      <c r="E467" s="127" t="str">
        <f>"*"&amp;Table1[[#This Row],[Frame]]&amp;"*"</f>
        <v>*F667F*</v>
      </c>
      <c r="F467" s="47" t="s">
        <v>1098</v>
      </c>
    </row>
    <row r="468" spans="1:6" ht="36.75" customHeight="1">
      <c r="A468" s="45" t="s">
        <v>120</v>
      </c>
      <c r="B468" s="45" t="s">
        <v>121</v>
      </c>
      <c r="C468" s="104">
        <v>1.1499999999999999</v>
      </c>
      <c r="D468" s="105">
        <v>0.75</v>
      </c>
      <c r="E468" s="127" t="str">
        <f>"*"&amp;Table1[[#This Row],[Frame]]&amp;"*"</f>
        <v>*F667JL*</v>
      </c>
      <c r="F468" s="47" t="s">
        <v>1098</v>
      </c>
    </row>
    <row r="469" spans="1:6" ht="36.75" customHeight="1">
      <c r="A469" s="45" t="s">
        <v>122</v>
      </c>
      <c r="B469" s="45" t="s">
        <v>123</v>
      </c>
      <c r="C469" s="104">
        <v>2.85</v>
      </c>
      <c r="D469" s="105">
        <v>1.75</v>
      </c>
      <c r="E469" s="127" t="str">
        <f>"*"&amp;Table1[[#This Row],[Frame]]&amp;"*"</f>
        <v>*F667LA*</v>
      </c>
      <c r="F469" s="47" t="s">
        <v>1098</v>
      </c>
    </row>
    <row r="470" spans="1:6" ht="36.75" customHeight="1">
      <c r="A470" s="40" t="s">
        <v>124</v>
      </c>
      <c r="B470" s="40" t="s">
        <v>125</v>
      </c>
      <c r="C470" s="205">
        <v>3.85</v>
      </c>
      <c r="D470" s="211">
        <v>1.75</v>
      </c>
      <c r="E470" s="207" t="str">
        <f>"*"&amp;Table1[[#This Row],[Frame]]&amp;"*"</f>
        <v>*F667P*</v>
      </c>
      <c r="F470" s="47" t="s">
        <v>1098</v>
      </c>
    </row>
    <row r="471" spans="1:6" ht="36.75" customHeight="1">
      <c r="A471" s="40" t="s">
        <v>382</v>
      </c>
      <c r="B471" s="40" t="s">
        <v>383</v>
      </c>
      <c r="C471" s="205">
        <v>2.85</v>
      </c>
      <c r="D471" s="211">
        <v>1.75</v>
      </c>
      <c r="E471" s="207" t="str">
        <f>"*"&amp;Table1[[#This Row],[Frame]]&amp;"*"</f>
        <v>*F667RA*</v>
      </c>
      <c r="F471" s="47" t="s">
        <v>1098</v>
      </c>
    </row>
    <row r="472" spans="1:6" ht="36.75" customHeight="1">
      <c r="A472" s="40" t="s">
        <v>126</v>
      </c>
      <c r="B472" s="40" t="s">
        <v>127</v>
      </c>
      <c r="C472" s="205">
        <v>2.6</v>
      </c>
      <c r="D472" s="211">
        <v>1.75</v>
      </c>
      <c r="E472" s="207" t="str">
        <f>"*"&amp;Table1[[#This Row],[Frame]]&amp;"*"</f>
        <v>*F667U*</v>
      </c>
      <c r="F472" s="47" t="s">
        <v>1098</v>
      </c>
    </row>
    <row r="473" spans="1:6" ht="36.75" customHeight="1">
      <c r="A473" s="40" t="s">
        <v>128</v>
      </c>
      <c r="B473" s="40" t="s">
        <v>129</v>
      </c>
      <c r="C473" s="205">
        <v>3.85</v>
      </c>
      <c r="D473" s="211">
        <v>1.75</v>
      </c>
      <c r="E473" s="207" t="str">
        <f>"*"&amp;Table1[[#This Row],[Frame]]&amp;"*"</f>
        <v>*F667Y*</v>
      </c>
      <c r="F473" s="47" t="s">
        <v>1098</v>
      </c>
    </row>
    <row r="474" spans="1:6" ht="36.75" customHeight="1">
      <c r="A474" s="40" t="s">
        <v>768</v>
      </c>
      <c r="B474" s="40" t="s">
        <v>769</v>
      </c>
      <c r="C474" s="205">
        <v>3</v>
      </c>
      <c r="D474" s="211">
        <v>1.75</v>
      </c>
      <c r="E474" s="207" t="str">
        <f>"*"&amp;Table1[[#This Row],[Frame]]&amp;"*"</f>
        <v>*F668LA*</v>
      </c>
      <c r="F474" s="47" t="s">
        <v>1098</v>
      </c>
    </row>
    <row r="475" spans="1:6" ht="36.75" customHeight="1">
      <c r="A475" s="45" t="s">
        <v>764</v>
      </c>
      <c r="B475" s="45" t="s">
        <v>769</v>
      </c>
      <c r="C475" s="104">
        <v>3</v>
      </c>
      <c r="D475" s="105">
        <v>1.75</v>
      </c>
      <c r="E475" s="127" t="str">
        <f>"*"&amp;Table1[[#This Row],[Frame]]&amp;"*"</f>
        <v>*F668RA*</v>
      </c>
      <c r="F475" s="47" t="s">
        <v>1098</v>
      </c>
    </row>
    <row r="476" spans="1:6" ht="36.75" customHeight="1">
      <c r="A476" s="45" t="s">
        <v>1386</v>
      </c>
      <c r="B476" s="45" t="s">
        <v>1387</v>
      </c>
      <c r="C476" s="104">
        <v>3.5</v>
      </c>
      <c r="D476" s="105">
        <v>2.5</v>
      </c>
      <c r="E476" s="127" t="str">
        <f>"*"&amp;Table1[[#This Row],[Frame]]&amp;"*"</f>
        <v>*F669-02*</v>
      </c>
    </row>
    <row r="477" spans="1:6" ht="36.75" customHeight="1">
      <c r="A477" s="40" t="s">
        <v>980</v>
      </c>
      <c r="B477" s="40" t="s">
        <v>987</v>
      </c>
      <c r="C477" s="205">
        <v>0.75</v>
      </c>
      <c r="D477" s="212">
        <v>0.5</v>
      </c>
      <c r="E477" s="207" t="str">
        <f>"*"&amp;Table1[[#This Row],[Frame]]&amp;"*"</f>
        <v>*F669J*</v>
      </c>
      <c r="F477" s="47" t="s">
        <v>1098</v>
      </c>
    </row>
    <row r="478" spans="1:6" ht="36.75" customHeight="1">
      <c r="A478" s="210" t="s">
        <v>826</v>
      </c>
      <c r="B478" s="45" t="s">
        <v>828</v>
      </c>
      <c r="C478" s="104">
        <v>2.85</v>
      </c>
      <c r="D478" s="105">
        <v>2.25</v>
      </c>
      <c r="E478" s="127" t="str">
        <f>"*"&amp;Table1[[#This Row],[Frame]]&amp;"*"</f>
        <v>*F671A*</v>
      </c>
      <c r="F478" s="47" t="s">
        <v>1098</v>
      </c>
    </row>
    <row r="479" spans="1:6" ht="36.75" customHeight="1">
      <c r="A479" s="45" t="s">
        <v>748</v>
      </c>
      <c r="B479" s="45" t="s">
        <v>751</v>
      </c>
      <c r="C479" s="104">
        <v>3.25</v>
      </c>
      <c r="D479" s="105">
        <v>2</v>
      </c>
      <c r="E479" s="127" t="str">
        <f>"*"&amp;Table1[[#This Row],[Frame]]&amp;"*"</f>
        <v>*F671CB*</v>
      </c>
      <c r="F479" s="47" t="s">
        <v>1098</v>
      </c>
    </row>
    <row r="480" spans="1:6" ht="36.75" customHeight="1">
      <c r="A480" s="40" t="s">
        <v>747</v>
      </c>
      <c r="B480" s="40" t="s">
        <v>751</v>
      </c>
      <c r="C480" s="205">
        <v>3.25</v>
      </c>
      <c r="D480" s="212">
        <v>2</v>
      </c>
      <c r="E480" s="207" t="str">
        <f>"*"&amp;Table1[[#This Row],[Frame]]&amp;"*"</f>
        <v>*F671CZ*</v>
      </c>
      <c r="F480" s="47" t="s">
        <v>1098</v>
      </c>
    </row>
    <row r="481" spans="1:6" ht="36.75" customHeight="1">
      <c r="A481" s="210" t="s">
        <v>825</v>
      </c>
      <c r="B481" s="45" t="s">
        <v>827</v>
      </c>
      <c r="C481" s="104">
        <v>2.6</v>
      </c>
      <c r="D481" s="105">
        <v>2</v>
      </c>
      <c r="E481" s="127" t="str">
        <f>"*"&amp;Table1[[#This Row],[Frame]]&amp;"*"</f>
        <v>*F671D*</v>
      </c>
      <c r="F481" s="47" t="s">
        <v>1098</v>
      </c>
    </row>
    <row r="482" spans="1:6" ht="36.75" customHeight="1">
      <c r="A482" s="45" t="s">
        <v>952</v>
      </c>
      <c r="B482" s="45" t="s">
        <v>954</v>
      </c>
      <c r="C482" s="104">
        <v>0.75</v>
      </c>
      <c r="D482" s="105">
        <v>0.5</v>
      </c>
      <c r="E482" s="127" t="str">
        <f>"*"&amp;Table1[[#This Row],[Frame]]&amp;"*"</f>
        <v>*F671J*</v>
      </c>
      <c r="F482" s="47" t="s">
        <v>1098</v>
      </c>
    </row>
    <row r="483" spans="1:6" ht="36.75" customHeight="1">
      <c r="A483" s="210" t="s">
        <v>1011</v>
      </c>
      <c r="B483" s="45" t="s">
        <v>1012</v>
      </c>
      <c r="C483" s="104">
        <v>2.2999999999999998</v>
      </c>
      <c r="D483" s="105">
        <v>1.75</v>
      </c>
      <c r="E483" s="127" t="str">
        <f>"*"&amp;Table1[[#This Row],[Frame]]&amp;"*"</f>
        <v>*F671S*</v>
      </c>
      <c r="F483" s="47" t="s">
        <v>1098</v>
      </c>
    </row>
    <row r="484" spans="1:6" ht="36.75" customHeight="1">
      <c r="A484" s="45" t="s">
        <v>706</v>
      </c>
      <c r="B484" s="45" t="s">
        <v>712</v>
      </c>
      <c r="C484" s="104">
        <v>3.75</v>
      </c>
      <c r="D484" s="105">
        <v>2.25</v>
      </c>
      <c r="E484" s="127" t="str">
        <f>"*"&amp;Table1[[#This Row],[Frame]]&amp;"*"</f>
        <v>*F672A*</v>
      </c>
      <c r="F484" s="47" t="s">
        <v>1098</v>
      </c>
    </row>
    <row r="485" spans="1:6" ht="36.75" customHeight="1">
      <c r="A485" s="45" t="s">
        <v>717</v>
      </c>
      <c r="B485" s="45" t="s">
        <v>718</v>
      </c>
      <c r="C485" s="104">
        <v>3.65</v>
      </c>
      <c r="D485" s="105">
        <v>1.3</v>
      </c>
      <c r="E485" s="127" t="str">
        <f>"*"&amp;Table1[[#This Row],[Frame]]&amp;"*"</f>
        <v>*F672D*</v>
      </c>
      <c r="F485" s="47" t="s">
        <v>1098</v>
      </c>
    </row>
    <row r="486" spans="1:6" ht="36.75" customHeight="1">
      <c r="A486" s="45" t="s">
        <v>737</v>
      </c>
      <c r="B486" s="45" t="s">
        <v>738</v>
      </c>
      <c r="C486" s="104">
        <v>2.95</v>
      </c>
      <c r="D486" s="105">
        <v>1.5</v>
      </c>
      <c r="E486" s="127" t="str">
        <f>"*"&amp;Table1[[#This Row],[Frame]]&amp;"*"</f>
        <v>*F672S*</v>
      </c>
      <c r="F486" s="47" t="s">
        <v>1098</v>
      </c>
    </row>
    <row r="487" spans="1:6" ht="36.75" customHeight="1">
      <c r="A487" s="45" t="s">
        <v>650</v>
      </c>
      <c r="B487" s="45" t="s">
        <v>652</v>
      </c>
      <c r="C487" s="104">
        <v>3.5</v>
      </c>
      <c r="D487" s="105">
        <v>2.25</v>
      </c>
      <c r="E487" s="127" t="str">
        <f>"*"&amp;Table1[[#This Row],[Frame]]&amp;"*"</f>
        <v>*F673CB*</v>
      </c>
      <c r="F487" s="47" t="s">
        <v>1098</v>
      </c>
    </row>
    <row r="488" spans="1:6" ht="36.75" customHeight="1">
      <c r="A488" s="45" t="s">
        <v>657</v>
      </c>
      <c r="B488" s="45" t="s">
        <v>652</v>
      </c>
      <c r="C488" s="104">
        <v>3.5</v>
      </c>
      <c r="D488" s="105">
        <v>2.25</v>
      </c>
      <c r="E488" s="127" t="str">
        <f>"*"&amp;Table1[[#This Row],[Frame]]&amp;"*"</f>
        <v>*F673CZ*</v>
      </c>
      <c r="F488" s="47" t="s">
        <v>1098</v>
      </c>
    </row>
    <row r="489" spans="1:6" ht="36.75" customHeight="1">
      <c r="A489" s="45" t="s">
        <v>686</v>
      </c>
      <c r="B489" s="45" t="s">
        <v>672</v>
      </c>
      <c r="C489" s="104">
        <v>1</v>
      </c>
      <c r="D489" s="105">
        <v>0.3</v>
      </c>
      <c r="E489" s="127" t="str">
        <f>"*"&amp;Table1[[#This Row],[Frame]]&amp;"*"</f>
        <v>*F673js*</v>
      </c>
      <c r="F489" s="47" t="s">
        <v>1098</v>
      </c>
    </row>
    <row r="490" spans="1:6" ht="36.75" customHeight="1">
      <c r="A490" s="45" t="s">
        <v>656</v>
      </c>
      <c r="B490" s="45" t="s">
        <v>663</v>
      </c>
      <c r="C490" s="104">
        <v>3.25</v>
      </c>
      <c r="D490" s="105">
        <v>1.75</v>
      </c>
      <c r="E490" s="127" t="str">
        <f>"*"&amp;Table1[[#This Row],[Frame]]&amp;"*"</f>
        <v>*F673LA*</v>
      </c>
      <c r="F490" s="47" t="s">
        <v>1098</v>
      </c>
    </row>
    <row r="491" spans="1:6" ht="36.75" customHeight="1">
      <c r="A491" s="45" t="s">
        <v>655</v>
      </c>
      <c r="B491" s="45" t="s">
        <v>662</v>
      </c>
      <c r="C491" s="104">
        <v>3.25</v>
      </c>
      <c r="D491" s="105">
        <v>1.75</v>
      </c>
      <c r="E491" s="127" t="str">
        <f>"*"&amp;Table1[[#This Row],[Frame]]&amp;"*"</f>
        <v>*F673RA*</v>
      </c>
      <c r="F491" s="47" t="s">
        <v>1098</v>
      </c>
    </row>
    <row r="492" spans="1:6" ht="36.75" customHeight="1">
      <c r="A492" s="45" t="s">
        <v>1726</v>
      </c>
      <c r="B492" s="45" t="s">
        <v>672</v>
      </c>
      <c r="C492" s="104">
        <v>1</v>
      </c>
      <c r="D492" s="105">
        <v>0.5</v>
      </c>
      <c r="E492" s="127" t="str">
        <f>"*"&amp;Table1[[#This Row],[Frame]]&amp;"*"</f>
        <v>*F673S*</v>
      </c>
      <c r="F492" s="47" t="s">
        <v>1098</v>
      </c>
    </row>
    <row r="493" spans="1:6" ht="36.75" customHeight="1">
      <c r="A493" s="45" t="s">
        <v>130</v>
      </c>
      <c r="B493" s="45" t="s">
        <v>131</v>
      </c>
      <c r="C493" s="104">
        <v>3.85</v>
      </c>
      <c r="D493" s="105">
        <v>2</v>
      </c>
      <c r="E493" s="127" t="str">
        <f>"*"&amp;Table1[[#This Row],[Frame]]&amp;"*"</f>
        <v>*F678A*</v>
      </c>
      <c r="F493" s="47" t="s">
        <v>1098</v>
      </c>
    </row>
    <row r="494" spans="1:6" ht="36.75" customHeight="1">
      <c r="A494" s="45" t="s">
        <v>132</v>
      </c>
      <c r="B494" s="45" t="s">
        <v>133</v>
      </c>
      <c r="C494" s="104">
        <v>3.85</v>
      </c>
      <c r="D494" s="105">
        <v>1.75</v>
      </c>
      <c r="E494" s="127" t="str">
        <f>"*"&amp;Table1[[#This Row],[Frame]]&amp;"*"</f>
        <v>*F678D*</v>
      </c>
      <c r="F494" s="47" t="s">
        <v>1098</v>
      </c>
    </row>
    <row r="495" spans="1:6" ht="36.75" customHeight="1">
      <c r="A495" s="45" t="s">
        <v>693</v>
      </c>
      <c r="B495" s="45" t="s">
        <v>694</v>
      </c>
      <c r="C495" s="104">
        <v>3</v>
      </c>
      <c r="D495" s="105">
        <v>1.75</v>
      </c>
      <c r="E495" s="127" t="str">
        <f>"*"&amp;Table1[[#This Row],[Frame]]&amp;"*"</f>
        <v>*F678K*</v>
      </c>
      <c r="F495" s="47" t="s">
        <v>1098</v>
      </c>
    </row>
    <row r="496" spans="1:6" ht="36.75" customHeight="1">
      <c r="A496" s="45" t="s">
        <v>134</v>
      </c>
      <c r="B496" s="45" t="s">
        <v>135</v>
      </c>
      <c r="C496" s="104">
        <v>2.85</v>
      </c>
      <c r="D496" s="105">
        <v>1.5</v>
      </c>
      <c r="E496" s="127" t="str">
        <f>"*"&amp;Table1[[#This Row],[Frame]]&amp;"*"</f>
        <v>*F678N*</v>
      </c>
      <c r="F496" s="47" t="s">
        <v>1098</v>
      </c>
    </row>
    <row r="497" spans="1:6" ht="36.75" customHeight="1">
      <c r="A497" s="45" t="s">
        <v>136</v>
      </c>
      <c r="B497" s="45" t="s">
        <v>137</v>
      </c>
      <c r="C497" s="104">
        <v>3.35</v>
      </c>
      <c r="D497" s="105">
        <v>1.5</v>
      </c>
      <c r="E497" s="127" t="str">
        <f>"*"&amp;Table1[[#This Row],[Frame]]&amp;"*"</f>
        <v>*F678S*</v>
      </c>
      <c r="F497" s="47" t="s">
        <v>1098</v>
      </c>
    </row>
    <row r="498" spans="1:6" ht="36.75" customHeight="1">
      <c r="A498" s="45" t="s">
        <v>138</v>
      </c>
      <c r="B498" s="322" t="s">
        <v>139</v>
      </c>
      <c r="C498" s="104">
        <v>3.6</v>
      </c>
      <c r="D498" s="345">
        <v>1.75</v>
      </c>
      <c r="E498" s="127" t="str">
        <f>"*"&amp;Table1[[#This Row],[Frame]]&amp;"*"</f>
        <v>*F680A*</v>
      </c>
      <c r="F498" s="47" t="s">
        <v>1098</v>
      </c>
    </row>
    <row r="499" spans="1:6" ht="36.75" customHeight="1">
      <c r="A499" s="45" t="s">
        <v>646</v>
      </c>
      <c r="B499" s="45" t="s">
        <v>648</v>
      </c>
      <c r="C499" s="104">
        <v>2.75</v>
      </c>
      <c r="D499" s="105">
        <v>1.5</v>
      </c>
      <c r="E499" s="127" t="str">
        <f>"*"&amp;Table1[[#This Row],[Frame]]&amp;"*"</f>
        <v>*F680D*</v>
      </c>
      <c r="F499" s="47" t="s">
        <v>1098</v>
      </c>
    </row>
    <row r="500" spans="1:6" ht="36.75" customHeight="1">
      <c r="A500" s="45" t="s">
        <v>140</v>
      </c>
      <c r="B500" s="45" t="s">
        <v>141</v>
      </c>
      <c r="C500" s="104">
        <v>0.8</v>
      </c>
      <c r="D500" s="105">
        <v>0.5</v>
      </c>
      <c r="E500" s="127" t="str">
        <f>"*"&amp;Table1[[#This Row],[Frame]]&amp;"*"</f>
        <v>*F680J*</v>
      </c>
      <c r="F500" s="47" t="s">
        <v>1098</v>
      </c>
    </row>
    <row r="501" spans="1:6" ht="36.75" customHeight="1">
      <c r="A501" s="40" t="s">
        <v>654</v>
      </c>
      <c r="B501" s="40" t="s">
        <v>661</v>
      </c>
      <c r="C501" s="205">
        <v>2.5</v>
      </c>
      <c r="D501" s="213">
        <v>1.5</v>
      </c>
      <c r="E501" s="207" t="str">
        <f>"*"&amp;Table1[[#This Row],[Frame]]&amp;"*"</f>
        <v>*F680S*</v>
      </c>
      <c r="F501" s="47" t="s">
        <v>1098</v>
      </c>
    </row>
    <row r="502" spans="1:6" ht="36.75" customHeight="1">
      <c r="A502" s="45" t="s">
        <v>142</v>
      </c>
      <c r="B502" s="45" t="s">
        <v>143</v>
      </c>
      <c r="C502" s="104">
        <v>1.1499999999999999</v>
      </c>
      <c r="D502" s="105">
        <v>0.75</v>
      </c>
      <c r="E502" s="127" t="str">
        <f>"*"&amp;Table1[[#This Row],[Frame]]&amp;"*"</f>
        <v>*F684JL*</v>
      </c>
      <c r="F502" s="47" t="s">
        <v>1098</v>
      </c>
    </row>
    <row r="503" spans="1:6" ht="36.75" customHeight="1">
      <c r="A503" s="45" t="s">
        <v>606</v>
      </c>
      <c r="B503" s="45" t="s">
        <v>611</v>
      </c>
      <c r="C503" s="104">
        <v>3.75</v>
      </c>
      <c r="D503" s="105">
        <v>2</v>
      </c>
      <c r="E503" s="127" t="str">
        <f>"*"&amp;Table1[[#This Row],[Frame]]&amp;"*"</f>
        <v>*F685A*</v>
      </c>
      <c r="F503" s="47" t="s">
        <v>1098</v>
      </c>
    </row>
    <row r="504" spans="1:6" ht="36.75" customHeight="1">
      <c r="A504" s="45" t="s">
        <v>600</v>
      </c>
      <c r="B504" s="45" t="s">
        <v>610</v>
      </c>
      <c r="C504" s="104">
        <v>3.25</v>
      </c>
      <c r="D504" s="105">
        <v>1.75</v>
      </c>
      <c r="E504" s="127" t="str">
        <f>"*"&amp;Table1[[#This Row],[Frame]]&amp;"*"</f>
        <v>*F685D*</v>
      </c>
      <c r="F504" s="47" t="s">
        <v>1098</v>
      </c>
    </row>
    <row r="505" spans="1:6" ht="36.75" customHeight="1">
      <c r="A505" s="45" t="s">
        <v>620</v>
      </c>
      <c r="B505" s="45" t="s">
        <v>624</v>
      </c>
      <c r="C505" s="104">
        <v>1</v>
      </c>
      <c r="D505" s="105">
        <v>0.75</v>
      </c>
      <c r="E505" s="127" t="str">
        <f>"*"&amp;Table1[[#This Row],[Frame]]&amp;"*"</f>
        <v>*F685J*</v>
      </c>
      <c r="F505" s="47" t="s">
        <v>1098</v>
      </c>
    </row>
    <row r="506" spans="1:6" ht="36.75" customHeight="1">
      <c r="A506" s="45" t="s">
        <v>634</v>
      </c>
      <c r="B506" s="45" t="s">
        <v>639</v>
      </c>
      <c r="C506" s="104">
        <v>3</v>
      </c>
      <c r="D506" s="105">
        <v>1.75</v>
      </c>
      <c r="E506" s="127" t="str">
        <f>"*"&amp;Table1[[#This Row],[Frame]]&amp;"*"</f>
        <v>*F685S*</v>
      </c>
      <c r="F506" s="47" t="s">
        <v>1098</v>
      </c>
    </row>
    <row r="507" spans="1:6" ht="36.75" customHeight="1">
      <c r="A507" s="45" t="s">
        <v>144</v>
      </c>
      <c r="B507" s="45" t="s">
        <v>145</v>
      </c>
      <c r="C507" s="104">
        <v>4</v>
      </c>
      <c r="D507" s="105">
        <v>2.25</v>
      </c>
      <c r="E507" s="127" t="str">
        <f>"*"&amp;Table1[[#This Row],[Frame]]&amp;"*"</f>
        <v>*F687A*</v>
      </c>
      <c r="F507" s="47" t="s">
        <v>1098</v>
      </c>
    </row>
    <row r="508" spans="1:6" ht="36.75" customHeight="1">
      <c r="A508" s="45" t="s">
        <v>146</v>
      </c>
      <c r="B508" s="45" t="s">
        <v>147</v>
      </c>
      <c r="C508" s="104">
        <v>3.5</v>
      </c>
      <c r="D508" s="105">
        <v>2</v>
      </c>
      <c r="E508" s="127" t="str">
        <f>"*"&amp;Table1[[#This Row],[Frame]]&amp;"*"</f>
        <v>*F687D*</v>
      </c>
      <c r="F508" s="47" t="s">
        <v>1098</v>
      </c>
    </row>
    <row r="509" spans="1:6" ht="36.75" customHeight="1">
      <c r="A509" s="45" t="s">
        <v>148</v>
      </c>
      <c r="B509" s="45" t="s">
        <v>149</v>
      </c>
      <c r="C509" s="104">
        <v>0.75</v>
      </c>
      <c r="D509" s="105">
        <v>0.5</v>
      </c>
      <c r="E509" s="127" t="str">
        <f>"*"&amp;Table1[[#This Row],[Frame]]&amp;"*"</f>
        <v>*F687J*</v>
      </c>
      <c r="F509" s="47" t="s">
        <v>1098</v>
      </c>
    </row>
    <row r="510" spans="1:6" ht="36.75" customHeight="1">
      <c r="A510" s="45" t="s">
        <v>708</v>
      </c>
      <c r="B510" s="45" t="s">
        <v>714</v>
      </c>
      <c r="C510" s="104">
        <v>3.6</v>
      </c>
      <c r="D510" s="105">
        <v>1.5</v>
      </c>
      <c r="E510" s="127" t="str">
        <f>"*"&amp;Table1[[#This Row],[Frame]]&amp;"*"</f>
        <v>*F687K*</v>
      </c>
      <c r="F510" s="47" t="s">
        <v>1098</v>
      </c>
    </row>
    <row r="511" spans="1:6" ht="36.75" customHeight="1">
      <c r="A511" s="45" t="s">
        <v>150</v>
      </c>
      <c r="B511" s="45" t="s">
        <v>151</v>
      </c>
      <c r="C511" s="104">
        <v>3</v>
      </c>
      <c r="D511" s="105">
        <v>1.5</v>
      </c>
      <c r="E511" s="127" t="str">
        <f>"*"&amp;Table1[[#This Row],[Frame]]&amp;"*"</f>
        <v>*F687S*</v>
      </c>
      <c r="F511" s="47" t="s">
        <v>1098</v>
      </c>
    </row>
    <row r="512" spans="1:6" ht="36.75" customHeight="1">
      <c r="A512" s="45" t="s">
        <v>766</v>
      </c>
      <c r="B512" s="45" t="s">
        <v>767</v>
      </c>
      <c r="C512" s="104">
        <v>3.35</v>
      </c>
      <c r="D512" s="105">
        <v>1.75</v>
      </c>
      <c r="E512" s="127" t="str">
        <f>"*"&amp;Table1[[#This Row],[Frame]]&amp;"*"</f>
        <v>*F688CB*</v>
      </c>
      <c r="F512" s="47" t="s">
        <v>1098</v>
      </c>
    </row>
    <row r="513" spans="1:6" ht="36.75" customHeight="1">
      <c r="A513" s="45" t="s">
        <v>765</v>
      </c>
      <c r="B513" s="45" t="s">
        <v>767</v>
      </c>
      <c r="C513" s="104">
        <v>3.35</v>
      </c>
      <c r="D513" s="105">
        <v>1.75</v>
      </c>
      <c r="E513" s="127" t="str">
        <f>"*"&amp;Table1[[#This Row],[Frame]]&amp;"*"</f>
        <v>*F688CZ*</v>
      </c>
      <c r="F513" s="47" t="s">
        <v>1098</v>
      </c>
    </row>
    <row r="514" spans="1:6" ht="36.75" customHeight="1">
      <c r="A514" s="45" t="s">
        <v>152</v>
      </c>
      <c r="B514" s="322" t="s">
        <v>153</v>
      </c>
      <c r="C514" s="104">
        <v>0.75</v>
      </c>
      <c r="D514" s="345">
        <v>0.5</v>
      </c>
      <c r="E514" s="127" t="str">
        <f>"*"&amp;Table1[[#This Row],[Frame]]&amp;"*"</f>
        <v>*F688J*</v>
      </c>
      <c r="F514" s="47" t="s">
        <v>1098</v>
      </c>
    </row>
    <row r="515" spans="1:6" ht="36.75" customHeight="1">
      <c r="A515" s="45" t="s">
        <v>734</v>
      </c>
      <c r="B515" s="45" t="s">
        <v>735</v>
      </c>
      <c r="C515" s="104">
        <v>3.75</v>
      </c>
      <c r="D515" s="105">
        <v>2.5</v>
      </c>
      <c r="E515" s="127" t="str">
        <f>"*"&amp;Table1[[#This Row],[Frame]]&amp;"*"</f>
        <v>*F692A*</v>
      </c>
      <c r="F515" s="47" t="s">
        <v>1098</v>
      </c>
    </row>
    <row r="516" spans="1:6" ht="36.75" customHeight="1">
      <c r="A516" s="45" t="s">
        <v>733</v>
      </c>
      <c r="B516" s="45" t="s">
        <v>736</v>
      </c>
      <c r="C516" s="104">
        <v>3.25</v>
      </c>
      <c r="D516" s="105">
        <v>2.5</v>
      </c>
      <c r="E516" s="127" t="str">
        <f>"*"&amp;Table1[[#This Row],[Frame]]&amp;"*"</f>
        <v>*F692D*</v>
      </c>
      <c r="F516" s="47" t="s">
        <v>1098</v>
      </c>
    </row>
    <row r="517" spans="1:6" ht="36.75" customHeight="1">
      <c r="A517" s="45" t="s">
        <v>1572</v>
      </c>
      <c r="B517" s="45" t="s">
        <v>1575</v>
      </c>
      <c r="C517" s="104">
        <v>1</v>
      </c>
      <c r="D517" s="105">
        <v>0.5</v>
      </c>
      <c r="E517" s="127" t="str">
        <f>"*"&amp;Table1[[#This Row],[Frame]]&amp;"*"</f>
        <v>*F693J*</v>
      </c>
    </row>
    <row r="518" spans="1:6" ht="36.75" customHeight="1">
      <c r="A518" s="45" t="s">
        <v>1421</v>
      </c>
      <c r="B518" s="45" t="s">
        <v>1445</v>
      </c>
      <c r="C518" s="104">
        <v>1</v>
      </c>
      <c r="D518" s="105">
        <v>0.75</v>
      </c>
      <c r="E518" s="127" t="str">
        <f>"*"&amp;Table1[[#This Row],[Frame]]&amp;"*"</f>
        <v>*F698-59*</v>
      </c>
    </row>
    <row r="519" spans="1:6" ht="36.75" customHeight="1">
      <c r="A519" s="210" t="s">
        <v>990</v>
      </c>
      <c r="B519" s="45" t="s">
        <v>595</v>
      </c>
      <c r="C519" s="104">
        <v>3.5</v>
      </c>
      <c r="D519" s="105">
        <v>2.5</v>
      </c>
      <c r="E519" s="127" t="str">
        <f>"*"&amp;Table1[[#This Row],[Frame]]&amp;"*"</f>
        <v>*F699A*</v>
      </c>
      <c r="F519" s="47" t="s">
        <v>1098</v>
      </c>
    </row>
    <row r="520" spans="1:6" ht="36.75" customHeight="1">
      <c r="A520" s="210" t="s">
        <v>991</v>
      </c>
      <c r="B520" s="45" t="s">
        <v>992</v>
      </c>
      <c r="C520" s="104">
        <v>2.25</v>
      </c>
      <c r="D520" s="105">
        <v>1.25</v>
      </c>
      <c r="E520" s="127" t="str">
        <f>"*"&amp;Table1[[#This Row],[Frame]]&amp;"*"</f>
        <v>*F699S*</v>
      </c>
      <c r="F520" s="47" t="s">
        <v>1098</v>
      </c>
    </row>
    <row r="521" spans="1:6" ht="36.75" customHeight="1">
      <c r="A521" s="45" t="s">
        <v>1196</v>
      </c>
      <c r="B521" s="45" t="s">
        <v>1197</v>
      </c>
      <c r="C521" s="104">
        <v>2.5</v>
      </c>
      <c r="D521" s="105">
        <v>1.25</v>
      </c>
      <c r="E521" s="127" t="str">
        <f>"*"&amp;Table1[[#This Row],[Frame]]&amp;"*"</f>
        <v>*F699SI*</v>
      </c>
    </row>
    <row r="522" spans="1:6" ht="36.75" customHeight="1">
      <c r="A522" s="45" t="s">
        <v>1473</v>
      </c>
      <c r="B522" s="45" t="s">
        <v>1474</v>
      </c>
      <c r="C522" s="104">
        <v>3.75</v>
      </c>
      <c r="D522" s="105">
        <v>2</v>
      </c>
      <c r="E522" s="127" t="str">
        <f>"*"&amp;Table1[[#This Row],[Frame]]&amp;"*"</f>
        <v>*F704-02*</v>
      </c>
    </row>
    <row r="523" spans="1:6" ht="36.75" customHeight="1">
      <c r="A523" s="45" t="s">
        <v>1472</v>
      </c>
      <c r="B523" s="45" t="s">
        <v>1475</v>
      </c>
      <c r="C523" s="104">
        <v>4</v>
      </c>
      <c r="D523" s="105">
        <v>2.25</v>
      </c>
      <c r="E523" s="127" t="str">
        <f>"*"&amp;Table1[[#This Row],[Frame]]&amp;"*"</f>
        <v>*F704-03*</v>
      </c>
    </row>
    <row r="524" spans="1:6" ht="36.75" customHeight="1">
      <c r="A524" s="45" t="s">
        <v>1542</v>
      </c>
      <c r="B524" s="45" t="s">
        <v>1543</v>
      </c>
      <c r="C524" s="104">
        <v>3</v>
      </c>
      <c r="D524" s="105">
        <v>2.75</v>
      </c>
      <c r="E524" s="127" t="str">
        <f>"*"&amp;Table1[[#This Row],[Frame]]&amp;"*"</f>
        <v>*F706-01*</v>
      </c>
    </row>
    <row r="525" spans="1:6" ht="36.75" customHeight="1">
      <c r="A525" s="45" t="s">
        <v>1476</v>
      </c>
      <c r="B525" s="45" t="s">
        <v>1478</v>
      </c>
      <c r="C525" s="104">
        <v>2.25</v>
      </c>
      <c r="D525" s="105">
        <v>2.5</v>
      </c>
      <c r="E525" s="127" t="str">
        <f>"*"&amp;Table1[[#This Row],[Frame]]&amp;"*"</f>
        <v>*F711-04*</v>
      </c>
    </row>
    <row r="526" spans="1:6" ht="36.75" customHeight="1">
      <c r="A526" s="40" t="s">
        <v>1698</v>
      </c>
      <c r="B526" s="40" t="s">
        <v>1699</v>
      </c>
      <c r="C526" s="205">
        <v>2.75</v>
      </c>
      <c r="D526" s="213">
        <v>2</v>
      </c>
      <c r="E526" s="207" t="str">
        <f>"*"&amp;Table1[[#This Row],[Frame]]&amp;"*"</f>
        <v>*F722-01*</v>
      </c>
    </row>
    <row r="527" spans="1:6" ht="36.75" customHeight="1">
      <c r="A527" s="225" t="s">
        <v>1729</v>
      </c>
      <c r="B527" s="225" t="s">
        <v>1728</v>
      </c>
      <c r="C527" s="226">
        <v>2.5</v>
      </c>
      <c r="D527" s="227">
        <v>1.75</v>
      </c>
      <c r="E527" s="228" t="str">
        <f>"*"&amp;Table1[[#This Row],[Frame]]&amp;"*"</f>
        <v>*F722-01L*</v>
      </c>
      <c r="F527" s="229"/>
    </row>
    <row r="528" spans="1:6" ht="36.75" customHeight="1">
      <c r="A528" s="310" t="s">
        <v>1727</v>
      </c>
      <c r="B528" s="310" t="s">
        <v>1728</v>
      </c>
      <c r="C528" s="337">
        <v>2.5</v>
      </c>
      <c r="D528" s="346">
        <v>1.75</v>
      </c>
      <c r="E528" s="353" t="str">
        <f>"*"&amp;Table1[[#This Row],[Frame]]&amp;"*"</f>
        <v>*F722-01R*</v>
      </c>
      <c r="F528" s="229"/>
    </row>
    <row r="529" spans="1:6" ht="36.75" customHeight="1">
      <c r="A529" s="45" t="s">
        <v>1619</v>
      </c>
      <c r="B529" s="45" t="s">
        <v>1567</v>
      </c>
      <c r="C529" s="104">
        <v>2.75</v>
      </c>
      <c r="D529" s="105">
        <v>2</v>
      </c>
      <c r="E529" s="127" t="str">
        <f>"*"&amp;Table1[[#This Row],[Frame]]&amp;"*"</f>
        <v>*F722-02L*</v>
      </c>
    </row>
    <row r="530" spans="1:6" ht="36.75" customHeight="1">
      <c r="A530" s="40" t="s">
        <v>1621</v>
      </c>
      <c r="B530" s="40" t="s">
        <v>1625</v>
      </c>
      <c r="C530" s="205">
        <v>2.75</v>
      </c>
      <c r="D530" s="213">
        <v>2</v>
      </c>
      <c r="E530" s="207" t="str">
        <f>"*"&amp;Table1[[#This Row],[Frame]]&amp;"*"</f>
        <v>*F722-02R*</v>
      </c>
    </row>
    <row r="531" spans="1:6" ht="36.75" customHeight="1">
      <c r="A531" s="45" t="s">
        <v>1554</v>
      </c>
      <c r="B531" s="45" t="s">
        <v>1567</v>
      </c>
      <c r="C531" s="104">
        <v>3</v>
      </c>
      <c r="D531" s="105">
        <v>2</v>
      </c>
      <c r="E531" s="127" t="str">
        <f>"*"&amp;Table1[[#This Row],[Frame]]&amp;"*"</f>
        <v>*F722-03L*</v>
      </c>
    </row>
    <row r="532" spans="1:6" ht="36.75" customHeight="1">
      <c r="A532" s="45" t="s">
        <v>1555</v>
      </c>
      <c r="B532" s="45" t="s">
        <v>1566</v>
      </c>
      <c r="C532" s="104">
        <v>3</v>
      </c>
      <c r="D532" s="105">
        <v>2</v>
      </c>
      <c r="E532" s="127" t="str">
        <f>"*"&amp;Table1[[#This Row],[Frame]]&amp;"*"</f>
        <v>*F722-03R*</v>
      </c>
    </row>
    <row r="533" spans="1:6" ht="36.75" customHeight="1">
      <c r="A533" s="225" t="s">
        <v>1737</v>
      </c>
      <c r="B533" s="225" t="s">
        <v>1739</v>
      </c>
      <c r="C533" s="226">
        <v>3</v>
      </c>
      <c r="D533" s="227">
        <v>2.1</v>
      </c>
      <c r="E533" s="228" t="str">
        <f>"*"&amp;Table1[[#This Row],[Frame]]&amp;"*"</f>
        <v>*F722-05L*</v>
      </c>
      <c r="F533" s="229"/>
    </row>
    <row r="534" spans="1:6" ht="36.75" customHeight="1">
      <c r="A534" s="225" t="s">
        <v>1734</v>
      </c>
      <c r="B534" s="225" t="s">
        <v>1738</v>
      </c>
      <c r="C534" s="226">
        <v>3</v>
      </c>
      <c r="D534" s="227">
        <v>2.1</v>
      </c>
      <c r="E534" s="228" t="str">
        <f>"*"&amp;Table1[[#This Row],[Frame]]&amp;"*"</f>
        <v>*F722-05R*</v>
      </c>
      <c r="F534" s="229"/>
    </row>
    <row r="535" spans="1:6" ht="36.75" customHeight="1">
      <c r="A535" s="231" t="s">
        <v>1777</v>
      </c>
      <c r="B535" s="231" t="s">
        <v>1778</v>
      </c>
      <c r="C535" s="232">
        <v>3.35</v>
      </c>
      <c r="D535" s="233">
        <v>2.25</v>
      </c>
      <c r="E535" s="234" t="str">
        <f>"*"&amp;Table1[[#This Row],[Frame]]&amp;"*"</f>
        <v>*F722-08*</v>
      </c>
      <c r="F535" s="235"/>
    </row>
    <row r="536" spans="1:6" ht="36.75" customHeight="1">
      <c r="A536" s="45" t="s">
        <v>1671</v>
      </c>
      <c r="B536" s="45" t="s">
        <v>1676</v>
      </c>
      <c r="C536" s="104">
        <v>1</v>
      </c>
      <c r="D536" s="105">
        <v>0.5</v>
      </c>
      <c r="E536" s="127" t="str">
        <f>"*"&amp;Table1[[#This Row],[Frame]]&amp;"*"</f>
        <v>*F722-09*</v>
      </c>
    </row>
    <row r="537" spans="1:6" ht="36.75" customHeight="1">
      <c r="A537" s="40" t="s">
        <v>1559</v>
      </c>
      <c r="B537" s="40" t="s">
        <v>1571</v>
      </c>
      <c r="C537" s="205">
        <v>4</v>
      </c>
      <c r="D537" s="213">
        <v>2.25</v>
      </c>
      <c r="E537" s="207" t="str">
        <f>"*"&amp;Table1[[#This Row],[Frame]]&amp;"*"</f>
        <v>*F722-13L*</v>
      </c>
    </row>
    <row r="538" spans="1:6" ht="36.75" customHeight="1">
      <c r="A538" s="45" t="s">
        <v>1558</v>
      </c>
      <c r="B538" s="45" t="s">
        <v>1570</v>
      </c>
      <c r="C538" s="104">
        <v>4</v>
      </c>
      <c r="D538" s="105">
        <v>2.25</v>
      </c>
      <c r="E538" s="127" t="str">
        <f>"*"&amp;Table1[[#This Row],[Frame]]&amp;"*"</f>
        <v>*F722-13R*</v>
      </c>
    </row>
    <row r="539" spans="1:6" ht="36.75" customHeight="1">
      <c r="A539" s="310" t="s">
        <v>1740</v>
      </c>
      <c r="B539" s="310" t="s">
        <v>1741</v>
      </c>
      <c r="C539" s="337">
        <v>1.6</v>
      </c>
      <c r="D539" s="346">
        <v>1</v>
      </c>
      <c r="E539" s="353" t="str">
        <f>"*"&amp;Table1[[#This Row],[Frame]]&amp;"*"</f>
        <v>*F722-31*</v>
      </c>
      <c r="F539" s="229"/>
    </row>
    <row r="540" spans="1:6" ht="36.75" customHeight="1">
      <c r="A540" s="231" t="s">
        <v>1776</v>
      </c>
      <c r="B540" s="231" t="s">
        <v>1780</v>
      </c>
      <c r="C540" s="232">
        <v>2.2000000000000002</v>
      </c>
      <c r="D540" s="233">
        <v>1.5</v>
      </c>
      <c r="E540" s="234">
        <v>4.4315709664096916</v>
      </c>
      <c r="F540" s="235"/>
    </row>
    <row r="541" spans="1:6" ht="36.75" customHeight="1">
      <c r="A541" s="310" t="s">
        <v>1730</v>
      </c>
      <c r="B541" s="310" t="s">
        <v>1731</v>
      </c>
      <c r="C541" s="337">
        <v>2.6</v>
      </c>
      <c r="D541" s="346">
        <v>1.75</v>
      </c>
      <c r="E541" s="353" t="str">
        <f>"*"&amp;Table1[[#This Row],[Frame]]&amp;"*"</f>
        <v>*F722-33*</v>
      </c>
      <c r="F541" s="229"/>
    </row>
    <row r="542" spans="1:6" ht="36.75" customHeight="1">
      <c r="A542" s="45" t="s">
        <v>1617</v>
      </c>
      <c r="B542" s="45" t="s">
        <v>1623</v>
      </c>
      <c r="C542" s="104">
        <v>2</v>
      </c>
      <c r="D542" s="105">
        <v>1.75</v>
      </c>
      <c r="E542" s="127" t="str">
        <f>"*"&amp;Table1[[#This Row],[Frame]]&amp;"*"</f>
        <v>*F723-01*</v>
      </c>
    </row>
    <row r="543" spans="1:6" ht="36.75" customHeight="1">
      <c r="A543" s="45" t="s">
        <v>1614</v>
      </c>
      <c r="B543" s="45" t="s">
        <v>1624</v>
      </c>
      <c r="C543" s="104">
        <v>2.85</v>
      </c>
      <c r="D543" s="105">
        <v>2.25</v>
      </c>
      <c r="E543" s="127" t="str">
        <f>"*"&amp;Table1[[#This Row],[Frame]]&amp;"*"</f>
        <v>*F723-03*</v>
      </c>
    </row>
    <row r="544" spans="1:6" ht="36.75" customHeight="1">
      <c r="A544" s="45" t="s">
        <v>1560</v>
      </c>
      <c r="B544" s="45" t="s">
        <v>1564</v>
      </c>
      <c r="C544" s="104">
        <v>3</v>
      </c>
      <c r="D544" s="105">
        <v>2</v>
      </c>
      <c r="E544" s="127" t="str">
        <f>"*"&amp;Table1[[#This Row],[Frame]]&amp;"*"</f>
        <v>*F724-01*</v>
      </c>
    </row>
    <row r="545" spans="1:6" ht="36.75" customHeight="1">
      <c r="A545" s="45" t="s">
        <v>1702</v>
      </c>
      <c r="B545" s="45" t="s">
        <v>1708</v>
      </c>
      <c r="C545" s="104">
        <v>3.25</v>
      </c>
      <c r="D545" s="105">
        <v>2.25</v>
      </c>
      <c r="E545" s="127" t="str">
        <f>"*"&amp;Table1[[#This Row],[Frame]]&amp;"*"</f>
        <v>*F724-02*</v>
      </c>
    </row>
    <row r="546" spans="1:6" ht="36.75" customHeight="1">
      <c r="A546" s="45" t="s">
        <v>1561</v>
      </c>
      <c r="B546" s="45" t="s">
        <v>1563</v>
      </c>
      <c r="C546" s="104">
        <v>3.75</v>
      </c>
      <c r="D546" s="105">
        <v>2.75</v>
      </c>
      <c r="E546" s="127" t="str">
        <f>"*"&amp;Table1[[#This Row],[Frame]]&amp;"*"</f>
        <v>*F724-03*</v>
      </c>
    </row>
    <row r="547" spans="1:6" ht="36.75" customHeight="1">
      <c r="A547" s="45" t="s">
        <v>1599</v>
      </c>
      <c r="B547" s="45" t="s">
        <v>1605</v>
      </c>
      <c r="C547" s="104">
        <v>1</v>
      </c>
      <c r="D547" s="105">
        <v>0.5</v>
      </c>
      <c r="E547" s="127" t="str">
        <f>"*"&amp;Table1[[#This Row],[Frame]]&amp;"*"</f>
        <v>*F724-09*</v>
      </c>
    </row>
    <row r="548" spans="1:6" ht="36.75" customHeight="1">
      <c r="A548" s="231" t="s">
        <v>1761</v>
      </c>
      <c r="B548" s="231" t="s">
        <v>1762</v>
      </c>
      <c r="C548" s="232">
        <v>3.25</v>
      </c>
      <c r="D548" s="233">
        <v>2</v>
      </c>
      <c r="E548" s="234" t="str">
        <f>"*"&amp;Table1[[#This Row],[Frame]]&amp;"*"</f>
        <v>*F725-03*</v>
      </c>
      <c r="F548" s="235"/>
    </row>
    <row r="549" spans="1:6" ht="36.75" customHeight="1">
      <c r="A549" s="45" t="s">
        <v>1701</v>
      </c>
      <c r="B549" s="45" t="s">
        <v>1713</v>
      </c>
      <c r="C549" s="104">
        <v>2.25</v>
      </c>
      <c r="D549" s="105">
        <v>1.75</v>
      </c>
      <c r="E549" s="127" t="str">
        <f>"*"&amp;Table1[[#This Row],[Frame]]&amp;"*"</f>
        <v>*F726-01*</v>
      </c>
    </row>
    <row r="550" spans="1:6" ht="36.75" customHeight="1">
      <c r="A550" s="45" t="s">
        <v>1711</v>
      </c>
      <c r="B550" s="45" t="s">
        <v>1712</v>
      </c>
      <c r="C550" s="104">
        <v>2.75</v>
      </c>
      <c r="D550" s="105">
        <v>2</v>
      </c>
      <c r="E550" s="127" t="str">
        <f>"*"&amp;Table1[[#This Row],[Frame]]&amp;"*"</f>
        <v>*F726-02*</v>
      </c>
    </row>
    <row r="551" spans="1:6" ht="36.75" customHeight="1">
      <c r="A551" s="45" t="s">
        <v>1709</v>
      </c>
      <c r="B551" s="45" t="s">
        <v>1710</v>
      </c>
      <c r="C551" s="104">
        <v>3.25</v>
      </c>
      <c r="D551" s="105">
        <v>2.25</v>
      </c>
      <c r="E551" s="127" t="str">
        <f>"*"&amp;Table1[[#This Row],[Frame]]&amp;"*"</f>
        <v>*F726-03*</v>
      </c>
    </row>
    <row r="552" spans="1:6" ht="36.75" customHeight="1">
      <c r="A552" s="45" t="s">
        <v>1557</v>
      </c>
      <c r="B552" s="45" t="s">
        <v>1569</v>
      </c>
      <c r="C552" s="104">
        <v>2.6</v>
      </c>
      <c r="D552" s="105">
        <v>1.5</v>
      </c>
      <c r="E552" s="127" t="str">
        <f>"*"&amp;Table1[[#This Row],[Frame]]&amp;"*"</f>
        <v>*F730-01*</v>
      </c>
    </row>
    <row r="553" spans="1:6" ht="36.75" customHeight="1">
      <c r="A553" s="40" t="s">
        <v>1618</v>
      </c>
      <c r="B553" s="40" t="s">
        <v>1622</v>
      </c>
      <c r="C553" s="205">
        <v>3.1</v>
      </c>
      <c r="D553" s="214">
        <v>1.75</v>
      </c>
      <c r="E553" s="207" t="str">
        <f>"*"&amp;Table1[[#This Row],[Frame]]&amp;"*"</f>
        <v>*F730-02*</v>
      </c>
    </row>
    <row r="554" spans="1:6" ht="36.75" customHeight="1">
      <c r="A554" s="45" t="s">
        <v>1556</v>
      </c>
      <c r="B554" s="45" t="s">
        <v>1568</v>
      </c>
      <c r="C554" s="104">
        <v>3.6</v>
      </c>
      <c r="D554" s="105">
        <v>2</v>
      </c>
      <c r="E554" s="127" t="str">
        <f>"*"&amp;Table1[[#This Row],[Frame]]&amp;"*"</f>
        <v>*F730-03*</v>
      </c>
    </row>
    <row r="555" spans="1:6" ht="36.75" customHeight="1">
      <c r="A555" s="45" t="s">
        <v>1607</v>
      </c>
      <c r="B555" s="45" t="s">
        <v>1610</v>
      </c>
      <c r="C555" s="104">
        <v>2.25</v>
      </c>
      <c r="D555" s="105">
        <v>1.5</v>
      </c>
      <c r="E555" s="127" t="str">
        <f>"*"&amp;Table1[[#This Row],[Frame]]&amp;"*"</f>
        <v>*F732-01*</v>
      </c>
    </row>
    <row r="556" spans="1:6" ht="36.75" customHeight="1">
      <c r="A556" s="305" t="s">
        <v>1746</v>
      </c>
      <c r="B556" s="305" t="s">
        <v>1747</v>
      </c>
      <c r="C556" s="334">
        <v>2.75</v>
      </c>
      <c r="D556" s="238">
        <v>1.75</v>
      </c>
      <c r="E556" s="350" t="str">
        <f>"*"&amp;Table1[[#This Row],[Frame]]&amp;"*"</f>
        <v>*F732-02*</v>
      </c>
      <c r="F556" s="235"/>
    </row>
    <row r="557" spans="1:6" ht="36.75" customHeight="1">
      <c r="A557" s="45" t="s">
        <v>1608</v>
      </c>
      <c r="B557" s="45" t="s">
        <v>1609</v>
      </c>
      <c r="C557" s="104">
        <v>3</v>
      </c>
      <c r="D557" s="105">
        <v>2</v>
      </c>
      <c r="E557" s="127" t="str">
        <f>"*"&amp;Table1[[#This Row],[Frame]]&amp;"*"</f>
        <v>*F732-03*</v>
      </c>
    </row>
    <row r="558" spans="1:6" ht="36.75" customHeight="1">
      <c r="A558" s="45" t="s">
        <v>1645</v>
      </c>
      <c r="B558" s="45" t="s">
        <v>1661</v>
      </c>
      <c r="C558" s="104">
        <v>2</v>
      </c>
      <c r="D558" s="105">
        <v>1.75</v>
      </c>
      <c r="E558" s="127" t="str">
        <f>"*"&amp;Table1[[#This Row],[Frame]]&amp;"*"</f>
        <v>*F733-01*</v>
      </c>
    </row>
    <row r="559" spans="1:6" ht="36.75" customHeight="1">
      <c r="A559" s="45" t="s">
        <v>1641</v>
      </c>
      <c r="B559" s="45" t="s">
        <v>1660</v>
      </c>
      <c r="C559" s="104">
        <v>2.4</v>
      </c>
      <c r="D559" s="105">
        <v>2</v>
      </c>
      <c r="E559" s="127" t="str">
        <f>"*"&amp;Table1[[#This Row],[Frame]]&amp;"*"</f>
        <v>*F733-02*</v>
      </c>
    </row>
    <row r="560" spans="1:6" ht="36.75" customHeight="1">
      <c r="A560" s="45" t="s">
        <v>1644</v>
      </c>
      <c r="B560" s="45" t="s">
        <v>1659</v>
      </c>
      <c r="C560" s="104">
        <v>2.85</v>
      </c>
      <c r="D560" s="105">
        <v>2.25</v>
      </c>
      <c r="E560" s="127" t="str">
        <f>"*"&amp;Table1[[#This Row],[Frame]]&amp;"*"</f>
        <v>*F733-03*</v>
      </c>
    </row>
    <row r="561" spans="1:5" ht="36.75" customHeight="1">
      <c r="A561" s="45" t="s">
        <v>1706</v>
      </c>
      <c r="B561" s="45" t="s">
        <v>1707</v>
      </c>
      <c r="C561" s="104">
        <v>2</v>
      </c>
      <c r="D561" s="105">
        <v>1.75</v>
      </c>
      <c r="E561" s="127" t="str">
        <f>"*"&amp;Table1[[#This Row],[Frame]]&amp;"*"</f>
        <v>*F734-01*</v>
      </c>
    </row>
    <row r="562" spans="1:5" ht="36.75" customHeight="1">
      <c r="A562" s="45" t="s">
        <v>1704</v>
      </c>
      <c r="B562" s="45" t="s">
        <v>1705</v>
      </c>
      <c r="C562" s="104">
        <v>2.5</v>
      </c>
      <c r="D562" s="105">
        <v>2</v>
      </c>
      <c r="E562" s="127" t="str">
        <f>"*"&amp;Table1[[#This Row],[Frame]]&amp;"*"</f>
        <v>*F734-02*</v>
      </c>
    </row>
    <row r="563" spans="1:5" ht="36.75" customHeight="1">
      <c r="A563" s="45" t="s">
        <v>1700</v>
      </c>
      <c r="B563" s="45" t="s">
        <v>1703</v>
      </c>
      <c r="C563" s="104">
        <v>3</v>
      </c>
      <c r="D563" s="105">
        <v>2.25</v>
      </c>
      <c r="E563" s="127" t="str">
        <f>"*"&amp;Table1[[#This Row],[Frame]]&amp;"*"</f>
        <v>*F734-03*</v>
      </c>
    </row>
    <row r="564" spans="1:5" ht="36.75" customHeight="1">
      <c r="A564" s="45" t="s">
        <v>1631</v>
      </c>
      <c r="B564" s="45" t="s">
        <v>1640</v>
      </c>
      <c r="C564" s="104">
        <v>2.5</v>
      </c>
      <c r="D564" s="105">
        <v>1.5</v>
      </c>
      <c r="E564" s="127" t="str">
        <f>"*"&amp;Table1[[#This Row],[Frame]]&amp;"*"</f>
        <v>*F735-01*</v>
      </c>
    </row>
    <row r="565" spans="1:5" ht="36.75" customHeight="1">
      <c r="A565" s="45" t="s">
        <v>1632</v>
      </c>
      <c r="B565" s="45" t="s">
        <v>1639</v>
      </c>
      <c r="C565" s="104">
        <v>3</v>
      </c>
      <c r="D565" s="105">
        <v>1.75</v>
      </c>
      <c r="E565" s="127" t="str">
        <f>"*"&amp;Table1[[#This Row],[Frame]]&amp;"*"</f>
        <v>*F735-02*</v>
      </c>
    </row>
    <row r="566" spans="1:5" ht="36.75" customHeight="1">
      <c r="A566" s="45" t="s">
        <v>1637</v>
      </c>
      <c r="B566" s="45" t="s">
        <v>1638</v>
      </c>
      <c r="C566" s="104">
        <v>3.5</v>
      </c>
      <c r="D566" s="105">
        <v>2</v>
      </c>
      <c r="E566" s="127" t="str">
        <f>"*"&amp;Table1[[#This Row],[Frame]]&amp;"*"</f>
        <v>*F735-03*</v>
      </c>
    </row>
    <row r="567" spans="1:5" ht="36.75" customHeight="1">
      <c r="A567" s="45" t="s">
        <v>1597</v>
      </c>
      <c r="B567" s="45" t="s">
        <v>1603</v>
      </c>
      <c r="C567" s="104">
        <v>2.75</v>
      </c>
      <c r="D567" s="105">
        <v>2</v>
      </c>
      <c r="E567" s="127" t="str">
        <f>"*"&amp;Table1[[#This Row],[Frame]]&amp;"*"</f>
        <v>*F737-03L*</v>
      </c>
    </row>
    <row r="568" spans="1:5" ht="36.75" customHeight="1">
      <c r="A568" s="215" t="s">
        <v>1604</v>
      </c>
      <c r="B568" s="215" t="s">
        <v>1602</v>
      </c>
      <c r="C568" s="216">
        <v>2.75</v>
      </c>
      <c r="D568" s="214">
        <v>2</v>
      </c>
      <c r="E568" s="217" t="str">
        <f>"*"&amp;Table1[[#This Row],[Frame]]&amp;"*"</f>
        <v>*F737-03R*</v>
      </c>
    </row>
    <row r="569" spans="1:5" ht="36.75" customHeight="1">
      <c r="A569" s="45" t="s">
        <v>1601</v>
      </c>
      <c r="B569" s="45" t="s">
        <v>1602</v>
      </c>
      <c r="C569" s="104">
        <v>3.15</v>
      </c>
      <c r="D569" s="105">
        <v>2</v>
      </c>
      <c r="E569" s="127" t="str">
        <f>"*"&amp;Table1[[#This Row],[Frame]]&amp;"*"</f>
        <v>*F737-05L*</v>
      </c>
    </row>
    <row r="570" spans="1:5" ht="36.75" customHeight="1">
      <c r="A570" s="45" t="s">
        <v>1598</v>
      </c>
      <c r="B570" s="45" t="s">
        <v>1600</v>
      </c>
      <c r="C570" s="104">
        <v>3.15</v>
      </c>
      <c r="D570" s="105">
        <v>2</v>
      </c>
      <c r="E570" s="127" t="str">
        <f>"*"&amp;Table1[[#This Row],[Frame]]&amp;"*"</f>
        <v>*F737-05R*</v>
      </c>
    </row>
    <row r="571" spans="1:5" ht="36.75" customHeight="1">
      <c r="A571" s="215" t="s">
        <v>1655</v>
      </c>
      <c r="B571" s="215" t="s">
        <v>1649</v>
      </c>
      <c r="C571" s="216">
        <v>3</v>
      </c>
      <c r="D571" s="214">
        <v>2</v>
      </c>
      <c r="E571" s="217" t="str">
        <f>"*"&amp;Table1[[#This Row],[Frame]]&amp;"*"</f>
        <v>*F739-03L*</v>
      </c>
    </row>
    <row r="572" spans="1:5" ht="36.75" customHeight="1">
      <c r="A572" s="45" t="s">
        <v>1653</v>
      </c>
      <c r="B572" s="45" t="s">
        <v>1654</v>
      </c>
      <c r="C572" s="104">
        <v>3</v>
      </c>
      <c r="D572" s="105">
        <v>2</v>
      </c>
      <c r="E572" s="127" t="str">
        <f>"*"&amp;Table1[[#This Row],[Frame]]&amp;"*"</f>
        <v>*F739-03R*</v>
      </c>
    </row>
    <row r="573" spans="1:5" ht="36.75" customHeight="1">
      <c r="A573" s="215" t="s">
        <v>1648</v>
      </c>
      <c r="B573" s="215" t="s">
        <v>1649</v>
      </c>
      <c r="C573" s="216">
        <v>3.15</v>
      </c>
      <c r="D573" s="214">
        <v>2</v>
      </c>
      <c r="E573" s="217" t="str">
        <f>"*"&amp;Table1[[#This Row],[Frame]]&amp;"*"</f>
        <v>*F739-05L*</v>
      </c>
    </row>
    <row r="574" spans="1:5" ht="36.75" customHeight="1">
      <c r="A574" s="45" t="s">
        <v>1646</v>
      </c>
      <c r="B574" s="45" t="s">
        <v>1647</v>
      </c>
      <c r="C574" s="104">
        <v>3.15</v>
      </c>
      <c r="D574" s="105">
        <v>2</v>
      </c>
      <c r="E574" s="127" t="str">
        <f>"*"&amp;Table1[[#This Row],[Frame]]&amp;"*"</f>
        <v>*F739-05R*</v>
      </c>
    </row>
    <row r="575" spans="1:5" ht="36.75" customHeight="1">
      <c r="A575" s="45" t="s">
        <v>1643</v>
      </c>
      <c r="B575" s="45" t="s">
        <v>1652</v>
      </c>
      <c r="C575" s="104">
        <v>4</v>
      </c>
      <c r="D575" s="105">
        <v>2.25</v>
      </c>
      <c r="E575" s="127" t="str">
        <f>"*"&amp;Table1[[#This Row],[Frame]]&amp;"*"</f>
        <v>*F739-13L*</v>
      </c>
    </row>
    <row r="576" spans="1:5" ht="36.75" customHeight="1">
      <c r="A576" s="45" t="s">
        <v>1650</v>
      </c>
      <c r="B576" s="45" t="s">
        <v>1651</v>
      </c>
      <c r="C576" s="104">
        <v>4</v>
      </c>
      <c r="D576" s="105">
        <v>2.25</v>
      </c>
      <c r="E576" s="127" t="str">
        <f>"*"&amp;Table1[[#This Row],[Frame]]&amp;"*"</f>
        <v>*F739-13R*</v>
      </c>
    </row>
    <row r="577" spans="1:6" ht="36.75" customHeight="1">
      <c r="A577" s="45" t="s">
        <v>1642</v>
      </c>
      <c r="B577" s="45" t="s">
        <v>1658</v>
      </c>
      <c r="C577" s="104">
        <v>2.1</v>
      </c>
      <c r="D577" s="105">
        <v>1.5</v>
      </c>
      <c r="E577" s="127" t="str">
        <f>"*"&amp;Table1[[#This Row],[Frame]]&amp;"*"</f>
        <v>*F739-32*</v>
      </c>
    </row>
    <row r="578" spans="1:6" ht="36.75" customHeight="1">
      <c r="A578" s="45" t="s">
        <v>1656</v>
      </c>
      <c r="B578" s="45" t="s">
        <v>1657</v>
      </c>
      <c r="C578" s="104">
        <v>2.6</v>
      </c>
      <c r="D578" s="105">
        <v>1.75</v>
      </c>
      <c r="E578" s="127" t="str">
        <f>"*"&amp;Table1[[#This Row],[Frame]]&amp;"*"</f>
        <v>*F739-33*</v>
      </c>
    </row>
    <row r="579" spans="1:6" ht="36.75" customHeight="1">
      <c r="A579" s="45" t="s">
        <v>1664</v>
      </c>
      <c r="B579" s="45" t="s">
        <v>1665</v>
      </c>
      <c r="C579" s="104">
        <v>2</v>
      </c>
      <c r="D579" s="105">
        <v>1.75</v>
      </c>
      <c r="E579" s="127" t="str">
        <f>"*"&amp;Table1[[#This Row],[Frame]]&amp;"*"</f>
        <v>*F741-01*</v>
      </c>
    </row>
    <row r="580" spans="1:6" ht="36.75" customHeight="1">
      <c r="A580" s="45" t="s">
        <v>1662</v>
      </c>
      <c r="B580" s="45" t="s">
        <v>1663</v>
      </c>
      <c r="C580" s="104">
        <v>2.5</v>
      </c>
      <c r="D580" s="105">
        <v>2</v>
      </c>
      <c r="E580" s="127" t="str">
        <f>"*"&amp;Table1[[#This Row],[Frame]]&amp;"*"</f>
        <v>*F741-02*</v>
      </c>
    </row>
    <row r="581" spans="1:6" ht="36.75" customHeight="1">
      <c r="A581" s="45" t="s">
        <v>1666</v>
      </c>
      <c r="B581" s="45" t="s">
        <v>1667</v>
      </c>
      <c r="C581" s="104">
        <v>3</v>
      </c>
      <c r="D581" s="105">
        <v>2.25</v>
      </c>
      <c r="E581" s="127" t="str">
        <f>"*"&amp;Table1[[#This Row],[Frame]]&amp;"*"</f>
        <v>*F741-03*</v>
      </c>
    </row>
    <row r="582" spans="1:6" ht="36.75" customHeight="1">
      <c r="A582" s="231" t="s">
        <v>1750</v>
      </c>
      <c r="B582" s="231" t="s">
        <v>1760</v>
      </c>
      <c r="C582" s="232">
        <v>3</v>
      </c>
      <c r="D582" s="233">
        <v>2.5</v>
      </c>
      <c r="E582" s="234" t="str">
        <f>"*"&amp;Table1[[#This Row],[Frame]]&amp;"*"</f>
        <v>*F744-03L*</v>
      </c>
      <c r="F582" s="235"/>
    </row>
    <row r="583" spans="1:6" ht="36.75" customHeight="1">
      <c r="A583" s="231" t="s">
        <v>1751</v>
      </c>
      <c r="B583" s="231" t="s">
        <v>1760</v>
      </c>
      <c r="C583" s="232">
        <v>3</v>
      </c>
      <c r="D583" s="233">
        <v>2.5</v>
      </c>
      <c r="E583" s="234" t="str">
        <f>"*"&amp;Table1[[#This Row],[Frame]]&amp;"*"</f>
        <v>*F744-03R*</v>
      </c>
      <c r="F583" s="235"/>
    </row>
    <row r="584" spans="1:6" ht="36.75" customHeight="1">
      <c r="A584" s="231" t="s">
        <v>1753</v>
      </c>
      <c r="B584" s="231" t="s">
        <v>1756</v>
      </c>
      <c r="C584" s="232">
        <v>3.85</v>
      </c>
      <c r="D584" s="233">
        <v>2.75</v>
      </c>
      <c r="E584" s="234" t="str">
        <f>"*"&amp;Table1[[#This Row],[Frame]]&amp;"*"</f>
        <v>*F744-13L*</v>
      </c>
      <c r="F584" s="235"/>
    </row>
    <row r="585" spans="1:6" ht="36.75" customHeight="1">
      <c r="A585" s="231" t="s">
        <v>1752</v>
      </c>
      <c r="B585" s="231" t="s">
        <v>1756</v>
      </c>
      <c r="C585" s="232">
        <v>3.85</v>
      </c>
      <c r="D585" s="233">
        <v>2.75</v>
      </c>
      <c r="E585" s="234" t="str">
        <f>"*"&amp;Table1[[#This Row],[Frame]]&amp;"*"</f>
        <v>*F744-13R*</v>
      </c>
      <c r="F585" s="235"/>
    </row>
    <row r="586" spans="1:6" ht="36.75" customHeight="1">
      <c r="A586" s="45" t="s">
        <v>1577</v>
      </c>
      <c r="B586" s="45" t="s">
        <v>1578</v>
      </c>
      <c r="C586" s="104">
        <v>2.25</v>
      </c>
      <c r="D586" s="105">
        <v>1.5</v>
      </c>
      <c r="E586" s="127" t="str">
        <f>"*"&amp;Table1[[#This Row],[Frame]]&amp;"*"</f>
        <v>*F746-01*</v>
      </c>
    </row>
    <row r="587" spans="1:6" ht="36.75" customHeight="1">
      <c r="A587" s="45" t="s">
        <v>1580</v>
      </c>
      <c r="B587" s="45" t="s">
        <v>1586</v>
      </c>
      <c r="C587" s="104">
        <v>3</v>
      </c>
      <c r="D587" s="105">
        <v>2.25</v>
      </c>
      <c r="E587" s="127" t="str">
        <f>"*"&amp;Table1[[#This Row],[Frame]]&amp;"*"</f>
        <v>*F746-02*</v>
      </c>
    </row>
    <row r="588" spans="1:6" ht="36.75" customHeight="1">
      <c r="A588" s="45" t="s">
        <v>1579</v>
      </c>
      <c r="B588" s="45" t="s">
        <v>1585</v>
      </c>
      <c r="C588" s="104">
        <v>3.5</v>
      </c>
      <c r="D588" s="105">
        <v>2.5</v>
      </c>
      <c r="E588" s="127" t="str">
        <f>"*"&amp;Table1[[#This Row],[Frame]]&amp;"*"</f>
        <v>*F746-03*</v>
      </c>
    </row>
    <row r="589" spans="1:6" ht="36.75" customHeight="1">
      <c r="A589" s="45" t="s">
        <v>1583</v>
      </c>
      <c r="B589" s="45" t="s">
        <v>1584</v>
      </c>
      <c r="C589" s="104">
        <v>0.75</v>
      </c>
      <c r="D589" s="105">
        <v>0.5</v>
      </c>
      <c r="E589" s="127" t="str">
        <f>"*"&amp;Table1[[#This Row],[Frame]]&amp;"*"</f>
        <v>*F746-09*</v>
      </c>
    </row>
    <row r="590" spans="1:6" ht="36.75" customHeight="1">
      <c r="A590" s="45" t="s">
        <v>651</v>
      </c>
      <c r="B590" s="45" t="s">
        <v>653</v>
      </c>
      <c r="C590" s="104">
        <v>2.5</v>
      </c>
      <c r="D590" s="105">
        <v>1.5</v>
      </c>
      <c r="E590" s="127" t="str">
        <f>"*"&amp;Table1[[#This Row],[Frame]]&amp;"*"</f>
        <v>*F7507S*</v>
      </c>
      <c r="F590" s="47" t="s">
        <v>1098</v>
      </c>
    </row>
    <row r="591" spans="1:6" ht="36.75" customHeight="1">
      <c r="A591" s="45" t="s">
        <v>725</v>
      </c>
      <c r="B591" s="45"/>
      <c r="C591" s="104">
        <v>1.75</v>
      </c>
      <c r="D591" s="105">
        <v>2.5</v>
      </c>
      <c r="E591" s="127" t="str">
        <f>"*"&amp;Table1[[#This Row],[Frame]]&amp;"*"</f>
        <v>*F7516S*</v>
      </c>
      <c r="F591" s="47" t="s">
        <v>1098</v>
      </c>
    </row>
    <row r="592" spans="1:6" ht="36.75" customHeight="1">
      <c r="A592" s="45" t="s">
        <v>719</v>
      </c>
      <c r="B592" s="45" t="s">
        <v>720</v>
      </c>
      <c r="C592" s="104">
        <v>1.5</v>
      </c>
      <c r="D592" s="105">
        <v>1.5</v>
      </c>
      <c r="E592" s="127" t="str">
        <f>"*"&amp;Table1[[#This Row],[Frame]]&amp;"*"</f>
        <v>*F7519S*</v>
      </c>
      <c r="F592" s="47" t="s">
        <v>1098</v>
      </c>
    </row>
    <row r="593" spans="1:6" ht="36.75" customHeight="1">
      <c r="A593" s="45" t="s">
        <v>647</v>
      </c>
      <c r="B593" s="45" t="s">
        <v>649</v>
      </c>
      <c r="C593" s="104">
        <v>2</v>
      </c>
      <c r="D593" s="105">
        <v>1.75</v>
      </c>
      <c r="E593" s="127" t="str">
        <f>"*"&amp;Table1[[#This Row],[Frame]]&amp;"*"</f>
        <v>*F7526S*</v>
      </c>
      <c r="F593" s="47" t="s">
        <v>1098</v>
      </c>
    </row>
    <row r="594" spans="1:6" ht="36.75" customHeight="1">
      <c r="A594" s="225" t="s">
        <v>1724</v>
      </c>
      <c r="B594" s="225" t="s">
        <v>1725</v>
      </c>
      <c r="C594" s="226">
        <v>2.75</v>
      </c>
      <c r="D594" s="227">
        <v>2</v>
      </c>
      <c r="E594" s="228" t="str">
        <f>"*"&amp;Table1[[#This Row],[Frame]]&amp;"*"</f>
        <v>*F753-01*</v>
      </c>
      <c r="F594" s="229"/>
    </row>
    <row r="595" spans="1:6" ht="36.75" customHeight="1">
      <c r="A595" s="231" t="s">
        <v>1748</v>
      </c>
      <c r="B595" s="231" t="s">
        <v>1749</v>
      </c>
      <c r="C595" s="232">
        <v>3.25</v>
      </c>
      <c r="D595" s="233">
        <v>2.25</v>
      </c>
      <c r="E595" s="234" t="str">
        <f>"*"&amp;Table1[[#This Row],[Frame]]&amp;"*"</f>
        <v>*F753-02*</v>
      </c>
      <c r="F595" s="235"/>
    </row>
    <row r="596" spans="1:6" ht="36.75" customHeight="1">
      <c r="A596" s="45" t="s">
        <v>1744</v>
      </c>
      <c r="B596" s="45" t="s">
        <v>1745</v>
      </c>
      <c r="C596" s="104">
        <v>3.75</v>
      </c>
      <c r="D596" s="105">
        <v>2.5</v>
      </c>
      <c r="E596" s="127" t="str">
        <f>"*"&amp;Table1[[#This Row],[Frame]]&amp;"*"</f>
        <v>*F753-03*</v>
      </c>
    </row>
    <row r="597" spans="1:6" ht="36.75" customHeight="1">
      <c r="A597" s="45" t="s">
        <v>959</v>
      </c>
      <c r="B597" s="45" t="s">
        <v>962</v>
      </c>
      <c r="C597" s="104">
        <v>0.75</v>
      </c>
      <c r="D597" s="105">
        <v>0.5</v>
      </c>
      <c r="E597" s="127" t="str">
        <f>"*"&amp;Table1[[#This Row],[Frame]]&amp;"*"</f>
        <v>*F7531J*</v>
      </c>
      <c r="F597" s="47" t="s">
        <v>1098</v>
      </c>
    </row>
    <row r="598" spans="1:6" ht="36.75" customHeight="1">
      <c r="A598" s="45" t="s">
        <v>724</v>
      </c>
      <c r="B598" s="45" t="s">
        <v>721</v>
      </c>
      <c r="C598" s="104">
        <v>2.5</v>
      </c>
      <c r="D598" s="105">
        <v>2</v>
      </c>
      <c r="E598" s="127" t="str">
        <f>"*"&amp;Table1[[#This Row],[Frame]]&amp;"*"</f>
        <v>*F7531RS*</v>
      </c>
      <c r="F598" s="47" t="s">
        <v>1098</v>
      </c>
    </row>
    <row r="599" spans="1:6" ht="36.75" customHeight="1">
      <c r="A599" s="45" t="s">
        <v>918</v>
      </c>
      <c r="B599" s="45" t="s">
        <v>919</v>
      </c>
      <c r="C599" s="104">
        <v>3</v>
      </c>
      <c r="D599" s="105">
        <v>2</v>
      </c>
      <c r="E599" s="127" t="str">
        <f>"*"&amp;Table1[[#This Row],[Frame]]&amp;"*"</f>
        <v>*F7538S*</v>
      </c>
      <c r="F599" s="47" t="s">
        <v>1098</v>
      </c>
    </row>
    <row r="600" spans="1:6" ht="36.75" customHeight="1">
      <c r="A600" s="255" t="s">
        <v>1793</v>
      </c>
      <c r="B600" s="255"/>
      <c r="C600" s="256">
        <v>2</v>
      </c>
      <c r="D600" s="257">
        <v>1</v>
      </c>
      <c r="E600" s="258" t="str">
        <f>"*"&amp;Table1[[#This Row],[Frame]]&amp;"*"</f>
        <v>*F7540S*</v>
      </c>
      <c r="F600" s="259"/>
    </row>
    <row r="601" spans="1:6" ht="36.75" customHeight="1">
      <c r="A601" s="45" t="s">
        <v>1668</v>
      </c>
      <c r="B601" s="45" t="s">
        <v>1675</v>
      </c>
      <c r="C601" s="104">
        <v>2.5</v>
      </c>
      <c r="D601" s="105">
        <v>1.5</v>
      </c>
      <c r="E601" s="127" t="str">
        <f>"*"&amp;Table1[[#This Row],[Frame]]&amp;"*"</f>
        <v>*F755-01*</v>
      </c>
    </row>
    <row r="602" spans="1:6" ht="36.75" customHeight="1">
      <c r="A602" s="215" t="s">
        <v>1673</v>
      </c>
      <c r="B602" s="215" t="s">
        <v>1674</v>
      </c>
      <c r="C602" s="216">
        <v>2.75</v>
      </c>
      <c r="D602" s="214">
        <v>1.75</v>
      </c>
      <c r="E602" s="217" t="str">
        <f>"*"&amp;Table1[[#This Row],[Frame]]&amp;"*"</f>
        <v>*F755-02*</v>
      </c>
    </row>
    <row r="603" spans="1:6" ht="36.75" customHeight="1">
      <c r="A603" s="45" t="s">
        <v>1669</v>
      </c>
      <c r="B603" s="45" t="s">
        <v>1672</v>
      </c>
      <c r="C603" s="104">
        <v>3</v>
      </c>
      <c r="D603" s="105">
        <v>1.85</v>
      </c>
      <c r="E603" s="127" t="str">
        <f>"*"&amp;Table1[[#This Row],[Frame]]&amp;"*"</f>
        <v>*F755-03*</v>
      </c>
    </row>
    <row r="604" spans="1:6" ht="36.75" customHeight="1">
      <c r="A604" s="215" t="s">
        <v>1419</v>
      </c>
      <c r="B604" s="215" t="s">
        <v>1420</v>
      </c>
      <c r="C604" s="216"/>
      <c r="D604" s="214">
        <v>3</v>
      </c>
      <c r="E604" s="217" t="str">
        <f>"*"&amp;Table1[[#This Row],[Frame]]&amp;"*"</f>
        <v>*F7555D*</v>
      </c>
    </row>
    <row r="605" spans="1:6" ht="36.75" customHeight="1">
      <c r="A605" s="45" t="s">
        <v>758</v>
      </c>
      <c r="B605" s="45" t="s">
        <v>759</v>
      </c>
      <c r="C605" s="104">
        <v>0.8</v>
      </c>
      <c r="D605" s="105">
        <v>0.5</v>
      </c>
      <c r="E605" s="127" t="str">
        <f>"*"&amp;Table1[[#This Row],[Frame]]&amp;"*"</f>
        <v>*f7558j*</v>
      </c>
      <c r="F605" s="47" t="s">
        <v>1098</v>
      </c>
    </row>
    <row r="606" spans="1:6" ht="36.75" customHeight="1">
      <c r="A606" s="215" t="s">
        <v>749</v>
      </c>
      <c r="B606" s="215" t="s">
        <v>750</v>
      </c>
      <c r="C606" s="216">
        <v>2.5</v>
      </c>
      <c r="D606" s="214">
        <v>1.25</v>
      </c>
      <c r="E606" s="217" t="str">
        <f>"*"&amp;Table1[[#This Row],[Frame]]&amp;"*"</f>
        <v>*F7558S*</v>
      </c>
      <c r="F606" s="47" t="s">
        <v>1098</v>
      </c>
    </row>
    <row r="607" spans="1:6" ht="36.75" customHeight="1">
      <c r="A607" s="45" t="s">
        <v>446</v>
      </c>
      <c r="B607" s="45" t="s">
        <v>447</v>
      </c>
      <c r="C607" s="104">
        <v>3</v>
      </c>
      <c r="D607" s="105">
        <v>2.5</v>
      </c>
      <c r="E607" s="127" t="str">
        <f>"*"&amp;Table1[[#This Row],[Frame]]&amp;"*"</f>
        <v>*F7562S*</v>
      </c>
      <c r="F607" s="47" t="s">
        <v>1098</v>
      </c>
    </row>
    <row r="608" spans="1:6" ht="36.75" customHeight="1">
      <c r="A608" s="215" t="s">
        <v>1390</v>
      </c>
      <c r="B608" s="215" t="s">
        <v>1392</v>
      </c>
      <c r="C608" s="216">
        <v>1.85</v>
      </c>
      <c r="D608" s="214">
        <v>1.5</v>
      </c>
      <c r="E608" s="217" t="str">
        <f>"*"&amp;Table1[[#This Row],[Frame]]&amp;"*"</f>
        <v>*F7563D*</v>
      </c>
    </row>
    <row r="609" spans="1:6" ht="36.75" customHeight="1">
      <c r="A609" s="45" t="s">
        <v>697</v>
      </c>
      <c r="B609" s="45" t="s">
        <v>698</v>
      </c>
      <c r="C609" s="104">
        <v>2</v>
      </c>
      <c r="D609" s="105">
        <v>2.5</v>
      </c>
      <c r="E609" s="127" t="str">
        <f>"*"&amp;Table1[[#This Row],[Frame]]&amp;"*"</f>
        <v>*F7563S*</v>
      </c>
      <c r="F609" s="47" t="s">
        <v>1098</v>
      </c>
    </row>
    <row r="610" spans="1:6" ht="36.75" customHeight="1">
      <c r="A610" s="215" t="s">
        <v>791</v>
      </c>
      <c r="B610" s="215" t="s">
        <v>792</v>
      </c>
      <c r="C610" s="216">
        <v>2.25</v>
      </c>
      <c r="D610" s="214">
        <v>2</v>
      </c>
      <c r="E610" s="217" t="str">
        <f>"*"&amp;Table1[[#This Row],[Frame]]&amp;"*"</f>
        <v>*F7567D*</v>
      </c>
      <c r="F610" s="47" t="s">
        <v>1098</v>
      </c>
    </row>
    <row r="611" spans="1:6" ht="36.75" customHeight="1">
      <c r="A611" s="45" t="s">
        <v>739</v>
      </c>
      <c r="B611" s="45" t="s">
        <v>740</v>
      </c>
      <c r="C611" s="104">
        <v>2</v>
      </c>
      <c r="D611" s="105">
        <v>2</v>
      </c>
      <c r="E611" s="127" t="str">
        <f>"*"&amp;Table1[[#This Row],[Frame]]&amp;"*"</f>
        <v>*F7567S*</v>
      </c>
      <c r="F611" s="47" t="s">
        <v>1098</v>
      </c>
    </row>
    <row r="612" spans="1:6" ht="36.75" customHeight="1">
      <c r="A612" s="45" t="s">
        <v>1253</v>
      </c>
      <c r="B612" s="45"/>
      <c r="C612" s="104">
        <v>2.75</v>
      </c>
      <c r="D612" s="105">
        <v>2.25</v>
      </c>
      <c r="E612" s="127" t="str">
        <f>"*"&amp;Table1[[#This Row],[Frame]]&amp;"*"</f>
        <v>*F7575D*</v>
      </c>
    </row>
    <row r="613" spans="1:6" ht="36.75" customHeight="1">
      <c r="A613" s="45" t="s">
        <v>1832</v>
      </c>
      <c r="B613" s="45" t="s">
        <v>1833</v>
      </c>
      <c r="C613" s="104">
        <v>3.5</v>
      </c>
      <c r="D613" s="105">
        <v>2</v>
      </c>
      <c r="E613" s="127" t="str">
        <f>"*"&amp;Table1[[#This Row],[Frame]]&amp;"*"</f>
        <v>*F7579S*</v>
      </c>
    </row>
    <row r="614" spans="1:6" ht="36.75" customHeight="1">
      <c r="A614" s="45" t="s">
        <v>689</v>
      </c>
      <c r="B614" s="45" t="s">
        <v>691</v>
      </c>
      <c r="C614" s="104"/>
      <c r="D614" s="105">
        <v>0.5</v>
      </c>
      <c r="E614" s="127" t="str">
        <f>"*"&amp;Table1[[#This Row],[Frame]]&amp;"*"</f>
        <v>*F7581S*</v>
      </c>
      <c r="F614" s="47" t="s">
        <v>1098</v>
      </c>
    </row>
    <row r="615" spans="1:6" ht="36.75" customHeight="1">
      <c r="A615" s="45" t="s">
        <v>689</v>
      </c>
      <c r="B615" s="45" t="s">
        <v>726</v>
      </c>
      <c r="C615" s="104"/>
      <c r="D615" s="105">
        <v>0.5</v>
      </c>
      <c r="E615" s="127" t="str">
        <f>"*"&amp;Table1[[#This Row],[Frame]]&amp;"*"</f>
        <v>*F7581S*</v>
      </c>
      <c r="F615" s="47" t="s">
        <v>1098</v>
      </c>
    </row>
    <row r="616" spans="1:6" ht="36.75" customHeight="1">
      <c r="A616" s="45" t="s">
        <v>974</v>
      </c>
      <c r="B616" s="45" t="s">
        <v>975</v>
      </c>
      <c r="C616" s="104">
        <v>2.5</v>
      </c>
      <c r="D616" s="105">
        <v>2.5</v>
      </c>
      <c r="E616" s="127" t="str">
        <f>"*"&amp;Table1[[#This Row],[Frame]]&amp;"*"</f>
        <v>*F7582S*</v>
      </c>
      <c r="F616" s="47" t="s">
        <v>1098</v>
      </c>
    </row>
    <row r="617" spans="1:6" ht="36.75" customHeight="1">
      <c r="A617" s="45" t="s">
        <v>376</v>
      </c>
      <c r="B617" s="45" t="s">
        <v>379</v>
      </c>
      <c r="C617" s="104">
        <v>2.85</v>
      </c>
      <c r="D617" s="105">
        <v>1.75</v>
      </c>
      <c r="E617" s="127" t="str">
        <f>"*"&amp;Table1[[#This Row],[Frame]]&amp;"*"</f>
        <v>*F7583S*</v>
      </c>
      <c r="F617" s="47" t="s">
        <v>1098</v>
      </c>
    </row>
    <row r="618" spans="1:6" ht="36.75" customHeight="1">
      <c r="A618" s="306" t="s">
        <v>1022</v>
      </c>
      <c r="B618" s="215" t="s">
        <v>1023</v>
      </c>
      <c r="C618" s="216">
        <v>2.5</v>
      </c>
      <c r="D618" s="214">
        <v>1.5</v>
      </c>
      <c r="E618" s="217" t="str">
        <f>"*"&amp;Table1[[#This Row],[Frame]]&amp;"*"</f>
        <v>*F7586S*</v>
      </c>
      <c r="F618" s="47" t="s">
        <v>1098</v>
      </c>
    </row>
    <row r="619" spans="1:6" ht="36.75" customHeight="1">
      <c r="A619" s="45" t="s">
        <v>154</v>
      </c>
      <c r="B619" s="45" t="s">
        <v>155</v>
      </c>
      <c r="C619" s="104">
        <v>0.75</v>
      </c>
      <c r="D619" s="105">
        <v>0.5</v>
      </c>
      <c r="E619" s="127" t="str">
        <f>"*"&amp;Table1[[#This Row],[Frame]]&amp;"*"</f>
        <v>*F7588J*</v>
      </c>
      <c r="F619" s="47" t="s">
        <v>1098</v>
      </c>
    </row>
    <row r="620" spans="1:6" ht="36.75" customHeight="1">
      <c r="A620" s="215" t="s">
        <v>156</v>
      </c>
      <c r="B620" s="215" t="s">
        <v>157</v>
      </c>
      <c r="C620" s="216">
        <v>3.35</v>
      </c>
      <c r="D620" s="214">
        <v>2.25</v>
      </c>
      <c r="E620" s="217" t="str">
        <f>"*"&amp;Table1[[#This Row],[Frame]]&amp;"*"</f>
        <v>*F7588S*</v>
      </c>
      <c r="F620" s="47" t="s">
        <v>1098</v>
      </c>
    </row>
    <row r="621" spans="1:6" ht="36.75" customHeight="1">
      <c r="A621" s="210" t="s">
        <v>1020</v>
      </c>
      <c r="B621" s="45" t="s">
        <v>1021</v>
      </c>
      <c r="C621" s="104">
        <v>2.85</v>
      </c>
      <c r="D621" s="105">
        <v>1.75</v>
      </c>
      <c r="E621" s="127" t="str">
        <f>"*"&amp;Table1[[#This Row],[Frame]]&amp;"*"</f>
        <v>*F7592S*</v>
      </c>
      <c r="F621" s="47" t="s">
        <v>1098</v>
      </c>
    </row>
    <row r="622" spans="1:6" ht="36.75" customHeight="1">
      <c r="A622" s="45" t="s">
        <v>1630</v>
      </c>
      <c r="B622" s="45" t="s">
        <v>896</v>
      </c>
      <c r="C622" s="104">
        <v>3.55</v>
      </c>
      <c r="D622" s="105">
        <v>1.75</v>
      </c>
      <c r="E622" s="127" t="str">
        <f>"*"&amp;Table1[[#This Row],[Frame]]&amp;"*"</f>
        <v>*F7595CS*</v>
      </c>
    </row>
    <row r="623" spans="1:6" ht="36.75" customHeight="1">
      <c r="A623" s="210" t="s">
        <v>1354</v>
      </c>
      <c r="B623" s="45" t="s">
        <v>896</v>
      </c>
      <c r="C623" s="104">
        <v>3.55</v>
      </c>
      <c r="D623" s="105">
        <v>1.75</v>
      </c>
      <c r="E623" s="127" t="str">
        <f>"*"&amp;Table1[[#This Row],[Frame]]&amp;"*"</f>
        <v>*F7595CZ*</v>
      </c>
      <c r="F623" s="47" t="s">
        <v>1098</v>
      </c>
    </row>
    <row r="624" spans="1:6" ht="36.75" customHeight="1">
      <c r="A624" s="262" t="s">
        <v>1797</v>
      </c>
      <c r="B624" s="262" t="s">
        <v>1799</v>
      </c>
      <c r="C624" s="263">
        <v>3</v>
      </c>
      <c r="D624" s="264">
        <v>2</v>
      </c>
      <c r="E624" s="265" t="str">
        <f>"*"&amp;Table1[[#This Row],[Frame]]&amp;"*"</f>
        <v>*F760-02*</v>
      </c>
      <c r="F624" s="266"/>
    </row>
    <row r="625" spans="1:6" ht="36.75" customHeight="1">
      <c r="A625" s="231" t="s">
        <v>1767</v>
      </c>
      <c r="B625" s="231" t="s">
        <v>1769</v>
      </c>
      <c r="C625" s="232">
        <v>1.85</v>
      </c>
      <c r="D625" s="233">
        <v>1.75</v>
      </c>
      <c r="E625" s="234" t="str">
        <f>"*"&amp;Table1[[#This Row],[Frame]]&amp;"*"</f>
        <v>*F763-01*</v>
      </c>
      <c r="F625" s="235"/>
    </row>
    <row r="626" spans="1:6" ht="36.75" customHeight="1">
      <c r="A626" s="231" t="s">
        <v>1766</v>
      </c>
      <c r="B626" s="231" t="s">
        <v>1768</v>
      </c>
      <c r="C626" s="232">
        <v>2.35</v>
      </c>
      <c r="D626" s="233">
        <v>1.75</v>
      </c>
      <c r="E626" s="234" t="str">
        <f>"*"&amp;Table1[[#This Row],[Frame]]&amp;"*"</f>
        <v>*F763-02*</v>
      </c>
      <c r="F626" s="235"/>
    </row>
    <row r="627" spans="1:6" ht="36.75" customHeight="1">
      <c r="A627" s="231" t="s">
        <v>1765</v>
      </c>
      <c r="B627" s="231" t="s">
        <v>1770</v>
      </c>
      <c r="C627" s="232">
        <v>2.85</v>
      </c>
      <c r="D627" s="233">
        <v>2.25</v>
      </c>
      <c r="E627" s="234" t="str">
        <f>"*"&amp;Table1[[#This Row],[Frame]]&amp;"*"</f>
        <v>*F763-03*</v>
      </c>
      <c r="F627" s="235"/>
    </row>
    <row r="628" spans="1:6" ht="36.75" customHeight="1">
      <c r="A628" s="282" t="s">
        <v>1813</v>
      </c>
      <c r="B628" s="282" t="s">
        <v>1811</v>
      </c>
      <c r="C628" s="283">
        <v>1</v>
      </c>
      <c r="D628" s="284">
        <v>0.5</v>
      </c>
      <c r="E628" s="285" t="str">
        <f>"*"&amp;Table1[[#This Row],[Frame]]&amp;"*"</f>
        <v>*F766-06*</v>
      </c>
      <c r="F628" s="286"/>
    </row>
    <row r="629" spans="1:6" ht="36.75" customHeight="1">
      <c r="A629" s="297" t="s">
        <v>1834</v>
      </c>
      <c r="B629" s="297" t="s">
        <v>1836</v>
      </c>
      <c r="C629" s="298">
        <v>2.85</v>
      </c>
      <c r="D629" s="299">
        <v>1.5</v>
      </c>
      <c r="E629" s="300" t="str">
        <f>"*"&amp;Table1[[#This Row],[Frame]]&amp;"*"</f>
        <v>*F768-01*</v>
      </c>
      <c r="F629" s="301"/>
    </row>
    <row r="630" spans="1:6" ht="36.75" customHeight="1">
      <c r="A630" s="240" t="s">
        <v>1781</v>
      </c>
      <c r="B630" s="240" t="s">
        <v>1782</v>
      </c>
      <c r="C630" s="241">
        <v>3.35</v>
      </c>
      <c r="D630" s="242">
        <v>2</v>
      </c>
      <c r="E630" s="243" t="str">
        <f>"*"&amp;Table1[[#This Row],[Frame]]&amp;"*"</f>
        <v>*F768-03*</v>
      </c>
      <c r="F630" s="244"/>
    </row>
    <row r="631" spans="1:6" ht="36.75" customHeight="1">
      <c r="A631" s="245" t="s">
        <v>1785</v>
      </c>
      <c r="B631" s="245" t="s">
        <v>1786</v>
      </c>
      <c r="C631" s="246">
        <v>3</v>
      </c>
      <c r="D631" s="247">
        <v>2</v>
      </c>
      <c r="E631" s="248" t="str">
        <f>"*"&amp;Table1[[#This Row],[Frame]]&amp;"*"</f>
        <v>*F769-02*</v>
      </c>
      <c r="F631" s="249"/>
    </row>
    <row r="632" spans="1:6" ht="36.75" customHeight="1">
      <c r="A632" s="245" t="s">
        <v>1784</v>
      </c>
      <c r="B632" s="245" t="s">
        <v>1787</v>
      </c>
      <c r="C632" s="246">
        <v>3.5</v>
      </c>
      <c r="D632" s="247">
        <v>2.25</v>
      </c>
      <c r="E632" s="248" t="str">
        <f>"*"&amp;Table1[[#This Row],[Frame]]&amp;"*"</f>
        <v>*F769-03*</v>
      </c>
      <c r="F632" s="249"/>
    </row>
    <row r="633" spans="1:6" ht="36.75" customHeight="1">
      <c r="A633" s="231" t="s">
        <v>1759</v>
      </c>
      <c r="B633" s="231" t="s">
        <v>1760</v>
      </c>
      <c r="C633" s="232">
        <v>3</v>
      </c>
      <c r="D633" s="233">
        <v>2.5</v>
      </c>
      <c r="E633" s="234" t="str">
        <f>"*"&amp;Table1[[#This Row],[Frame]]&amp;"*"</f>
        <v>*F774-03L*</v>
      </c>
      <c r="F633" s="235"/>
    </row>
    <row r="634" spans="1:6" ht="36.75" customHeight="1">
      <c r="A634" s="231" t="s">
        <v>1758</v>
      </c>
      <c r="B634" s="231" t="s">
        <v>1760</v>
      </c>
      <c r="C634" s="232">
        <v>3</v>
      </c>
      <c r="D634" s="233">
        <v>2.5</v>
      </c>
      <c r="E634" s="234" t="str">
        <f>"*"&amp;Table1[[#This Row],[Frame]]&amp;"*"</f>
        <v>*F774-03R*</v>
      </c>
      <c r="F634" s="235"/>
    </row>
    <row r="635" spans="1:6" ht="36.75" customHeight="1">
      <c r="A635" s="231" t="s">
        <v>1757</v>
      </c>
      <c r="B635" s="231" t="s">
        <v>1756</v>
      </c>
      <c r="C635" s="232">
        <v>3.85</v>
      </c>
      <c r="D635" s="233">
        <v>2.75</v>
      </c>
      <c r="E635" s="234" t="str">
        <f>"*"&amp;Table1[[#This Row],[Frame]]&amp;"*"</f>
        <v>*F774-13L*</v>
      </c>
      <c r="F635" s="235"/>
    </row>
    <row r="636" spans="1:6" ht="36.75" customHeight="1">
      <c r="A636" s="236" t="s">
        <v>1755</v>
      </c>
      <c r="B636" s="236" t="s">
        <v>1756</v>
      </c>
      <c r="C636" s="237">
        <v>3.85</v>
      </c>
      <c r="D636" s="238">
        <v>2.75</v>
      </c>
      <c r="E636" s="239" t="str">
        <f>"*"&amp;Table1[[#This Row],[Frame]]&amp;"*"</f>
        <v>*F774-13R*</v>
      </c>
      <c r="F636" s="235"/>
    </row>
    <row r="637" spans="1:6" ht="36.75" customHeight="1">
      <c r="A637" s="250" t="s">
        <v>1791</v>
      </c>
      <c r="B637" s="250" t="s">
        <v>1792</v>
      </c>
      <c r="C637" s="251">
        <v>3.15</v>
      </c>
      <c r="D637" s="252">
        <v>2.65</v>
      </c>
      <c r="E637" s="253" t="str">
        <f>"*"&amp;Table1[[#This Row],[Frame]]&amp;"*"</f>
        <v>*F775-03R*</v>
      </c>
      <c r="F637" s="254"/>
    </row>
    <row r="638" spans="1:6" ht="36.75" customHeight="1">
      <c r="A638" s="231" t="s">
        <v>1772</v>
      </c>
      <c r="B638" s="231" t="s">
        <v>1773</v>
      </c>
      <c r="C638" s="232">
        <v>4</v>
      </c>
      <c r="D638" s="233">
        <v>2.85</v>
      </c>
      <c r="E638" s="234" t="str">
        <f>"*"&amp;Table1[[#This Row],[Frame]]&amp;"*"</f>
        <v>*F775-13R*</v>
      </c>
      <c r="F638" s="235"/>
    </row>
    <row r="639" spans="1:6" ht="36.75" customHeight="1">
      <c r="A639" s="282" t="s">
        <v>1812</v>
      </c>
      <c r="B639" s="282" t="s">
        <v>1811</v>
      </c>
      <c r="C639" s="283">
        <v>1</v>
      </c>
      <c r="D639" s="284">
        <v>0.5</v>
      </c>
      <c r="E639" s="285" t="str">
        <f>"*"&amp;Table1[[#This Row],[Frame]]&amp;"*"</f>
        <v>*F776-09*</v>
      </c>
      <c r="F639" s="286"/>
    </row>
    <row r="640" spans="1:6" ht="36.75" customHeight="1">
      <c r="A640" s="231" t="s">
        <v>1771</v>
      </c>
      <c r="B640" s="231" t="s">
        <v>1774</v>
      </c>
      <c r="C640" s="232">
        <v>2.75</v>
      </c>
      <c r="D640" s="233">
        <v>1.75</v>
      </c>
      <c r="E640" s="234" t="str">
        <f>"*"&amp;Table1[[#This Row],[Frame]]&amp;"*"</f>
        <v>*F778-01*</v>
      </c>
      <c r="F640" s="235"/>
    </row>
    <row r="641" spans="1:6" ht="36.75" customHeight="1">
      <c r="A641" s="271" t="s">
        <v>1802</v>
      </c>
      <c r="B641" s="271" t="s">
        <v>1803</v>
      </c>
      <c r="C641" s="272">
        <v>3</v>
      </c>
      <c r="D641" s="273">
        <v>2</v>
      </c>
      <c r="E641" s="274" t="str">
        <f>"*"&amp;Table1[[#This Row],[Frame]]&amp;"*"</f>
        <v>*F778-02*</v>
      </c>
      <c r="F641" s="275"/>
    </row>
    <row r="642" spans="1:6" ht="36.75" customHeight="1">
      <c r="A642" s="231" t="s">
        <v>1775</v>
      </c>
      <c r="B642" s="231" t="s">
        <v>1779</v>
      </c>
      <c r="C642" s="232">
        <v>3.25</v>
      </c>
      <c r="D642" s="233">
        <v>2.25</v>
      </c>
      <c r="E642" s="234">
        <v>7.752260121453812</v>
      </c>
      <c r="F642" s="235"/>
    </row>
    <row r="643" spans="1:6" ht="36.75" customHeight="1">
      <c r="A643" s="45" t="s">
        <v>367</v>
      </c>
      <c r="B643" s="45" t="s">
        <v>368</v>
      </c>
      <c r="C643" s="104">
        <v>3.35</v>
      </c>
      <c r="D643" s="105">
        <v>2</v>
      </c>
      <c r="E643" s="127" t="str">
        <f>"*"&amp;Table1[[#This Row],[Frame]]&amp;"*"</f>
        <v>*F801CB*</v>
      </c>
      <c r="F643" s="47" t="s">
        <v>1098</v>
      </c>
    </row>
    <row r="644" spans="1:6" ht="36.75" customHeight="1">
      <c r="A644" s="45" t="s">
        <v>361</v>
      </c>
      <c r="B644" s="45" t="s">
        <v>362</v>
      </c>
      <c r="C644" s="104">
        <v>3.35</v>
      </c>
      <c r="D644" s="105">
        <v>2</v>
      </c>
      <c r="E644" s="127" t="str">
        <f>"*"&amp;Table1[[#This Row],[Frame]]&amp;"*"</f>
        <v>*f801cz*</v>
      </c>
      <c r="F644" s="47" t="s">
        <v>1098</v>
      </c>
    </row>
    <row r="645" spans="1:6" ht="36.75" customHeight="1">
      <c r="A645" s="282" t="s">
        <v>1818</v>
      </c>
      <c r="B645" s="282" t="s">
        <v>1811</v>
      </c>
      <c r="C645" s="283">
        <v>1</v>
      </c>
      <c r="D645" s="284">
        <v>0.5</v>
      </c>
      <c r="E645" s="285" t="str">
        <f>"*"&amp;Table1[[#This Row],[Frame]]&amp;"*"</f>
        <v>*F801J*</v>
      </c>
      <c r="F645" s="286"/>
    </row>
    <row r="646" spans="1:6" ht="36.75" customHeight="1">
      <c r="A646" s="45" t="s">
        <v>369</v>
      </c>
      <c r="B646" s="45" t="s">
        <v>370</v>
      </c>
      <c r="C646" s="104">
        <v>0.8</v>
      </c>
      <c r="D646" s="105">
        <v>0.5</v>
      </c>
      <c r="E646" s="127" t="str">
        <f>"*"&amp;Table1[[#This Row],[Frame]]&amp;"*"</f>
        <v>*F801JB*</v>
      </c>
      <c r="F646" s="47" t="s">
        <v>1098</v>
      </c>
    </row>
    <row r="647" spans="1:6" ht="36.75" customHeight="1">
      <c r="A647" s="45" t="s">
        <v>715</v>
      </c>
      <c r="B647" s="45" t="s">
        <v>709</v>
      </c>
      <c r="C647" s="104">
        <v>4</v>
      </c>
      <c r="D647" s="105">
        <v>2</v>
      </c>
      <c r="E647" s="127" t="str">
        <f>"*"&amp;Table1[[#This Row],[Frame]]&amp;"*"</f>
        <v>*F815A*</v>
      </c>
      <c r="F647" s="47" t="s">
        <v>1098</v>
      </c>
    </row>
    <row r="648" spans="1:6" ht="36.75" customHeight="1">
      <c r="A648" s="45" t="s">
        <v>967</v>
      </c>
      <c r="B648" s="45" t="s">
        <v>968</v>
      </c>
      <c r="C648" s="104">
        <v>3.5</v>
      </c>
      <c r="D648" s="105">
        <v>1.75</v>
      </c>
      <c r="E648" s="127" t="str">
        <f>"*"&amp;Table1[[#This Row],[Frame]]&amp;"*"</f>
        <v>*F815D*</v>
      </c>
      <c r="F648" s="47" t="s">
        <v>1098</v>
      </c>
    </row>
    <row r="649" spans="1:6" ht="36.75" customHeight="1">
      <c r="A649" s="210" t="s">
        <v>850</v>
      </c>
      <c r="B649" s="45" t="s">
        <v>862</v>
      </c>
      <c r="C649" s="104">
        <v>0.75</v>
      </c>
      <c r="D649" s="105">
        <v>0.5</v>
      </c>
      <c r="E649" s="127" t="str">
        <f>"*"&amp;Table1[[#This Row],[Frame]]&amp;"*"</f>
        <v>*F815J*</v>
      </c>
      <c r="F649" s="47" t="s">
        <v>1098</v>
      </c>
    </row>
    <row r="650" spans="1:6" ht="36.75" customHeight="1">
      <c r="A650" s="45" t="s">
        <v>803</v>
      </c>
      <c r="B650" s="45" t="s">
        <v>804</v>
      </c>
      <c r="C650" s="104">
        <v>3.25</v>
      </c>
      <c r="D650" s="105">
        <v>1.75</v>
      </c>
      <c r="E650" s="127" t="str">
        <f>"*"&amp;Table1[[#This Row],[Frame]]&amp;"*"</f>
        <v>*f815s*</v>
      </c>
      <c r="F650" s="47" t="s">
        <v>1098</v>
      </c>
    </row>
    <row r="651" spans="1:6" ht="36.75" customHeight="1">
      <c r="A651" s="215" t="s">
        <v>636</v>
      </c>
      <c r="B651" s="215" t="s">
        <v>637</v>
      </c>
      <c r="C651" s="216">
        <v>3.25</v>
      </c>
      <c r="D651" s="214">
        <v>2</v>
      </c>
      <c r="E651" s="217" t="str">
        <f>"*"&amp;Table1[[#This Row],[Frame]]&amp;"*"</f>
        <v>*F816A*</v>
      </c>
      <c r="F651" s="47" t="s">
        <v>1098</v>
      </c>
    </row>
    <row r="652" spans="1:6" ht="36.75" customHeight="1">
      <c r="A652" s="45" t="s">
        <v>630</v>
      </c>
      <c r="B652" s="45" t="s">
        <v>632</v>
      </c>
      <c r="C652" s="104">
        <v>3</v>
      </c>
      <c r="D652" s="105">
        <v>2</v>
      </c>
      <c r="E652" s="127" t="str">
        <f>"*"&amp;Table1[[#This Row],[Frame]]&amp;"*"</f>
        <v>*F816D*</v>
      </c>
      <c r="F652" s="47" t="s">
        <v>1098</v>
      </c>
    </row>
    <row r="653" spans="1:6" ht="36.75" customHeight="1">
      <c r="A653" s="215" t="s">
        <v>629</v>
      </c>
      <c r="B653" s="215" t="s">
        <v>631</v>
      </c>
      <c r="C653" s="216">
        <v>0.75</v>
      </c>
      <c r="D653" s="214">
        <v>0.5</v>
      </c>
      <c r="E653" s="217" t="str">
        <f>"*"&amp;Table1[[#This Row],[Frame]]&amp;"*"</f>
        <v>*F816J*</v>
      </c>
      <c r="F653" s="47" t="s">
        <v>1098</v>
      </c>
    </row>
    <row r="654" spans="1:6" ht="36.75" customHeight="1">
      <c r="A654" s="45" t="s">
        <v>937</v>
      </c>
      <c r="B654" s="45" t="s">
        <v>938</v>
      </c>
      <c r="C654" s="104">
        <v>3.1</v>
      </c>
      <c r="D654" s="105">
        <v>1.25</v>
      </c>
      <c r="E654" s="127" t="str">
        <f>"*"&amp;Table1[[#This Row],[Frame]]&amp;"*"</f>
        <v>*F816K*</v>
      </c>
      <c r="F654" s="47" t="s">
        <v>1098</v>
      </c>
    </row>
    <row r="655" spans="1:6" ht="36.75" customHeight="1">
      <c r="A655" s="45" t="s">
        <v>635</v>
      </c>
      <c r="B655" s="45" t="s">
        <v>638</v>
      </c>
      <c r="C655" s="104">
        <v>2.5</v>
      </c>
      <c r="D655" s="105">
        <v>1.5</v>
      </c>
      <c r="E655" s="127" t="str">
        <f>"*"&amp;Table1[[#This Row],[Frame]]&amp;"*"</f>
        <v>*F816S*</v>
      </c>
      <c r="F655" s="47" t="s">
        <v>1098</v>
      </c>
    </row>
    <row r="656" spans="1:6" ht="36.75" customHeight="1">
      <c r="A656" s="45" t="s">
        <v>674</v>
      </c>
      <c r="B656" s="45" t="s">
        <v>667</v>
      </c>
      <c r="C656" s="104">
        <v>3.25</v>
      </c>
      <c r="D656" s="105">
        <v>2</v>
      </c>
      <c r="E656" s="127" t="str">
        <f>"*"&amp;Table1[[#This Row],[Frame]]&amp;"*"</f>
        <v>*F817A*</v>
      </c>
      <c r="F656" s="47" t="s">
        <v>1098</v>
      </c>
    </row>
    <row r="657" spans="1:6" ht="36.75" customHeight="1">
      <c r="A657" s="45" t="s">
        <v>722</v>
      </c>
      <c r="B657" s="45" t="s">
        <v>723</v>
      </c>
      <c r="C657" s="104">
        <v>3</v>
      </c>
      <c r="D657" s="105">
        <v>1.5</v>
      </c>
      <c r="E657" s="127" t="str">
        <f>"*"&amp;Table1[[#This Row],[Frame]]&amp;"*"</f>
        <v>*F817S*</v>
      </c>
      <c r="F657" s="47" t="s">
        <v>1098</v>
      </c>
    </row>
    <row r="658" spans="1:6" ht="36.75" customHeight="1">
      <c r="A658" s="45" t="s">
        <v>730</v>
      </c>
      <c r="B658" s="45" t="s">
        <v>731</v>
      </c>
      <c r="C658" s="104">
        <v>3.5</v>
      </c>
      <c r="D658" s="105">
        <v>2</v>
      </c>
      <c r="E658" s="127" t="str">
        <f>"*"&amp;Table1[[#This Row],[Frame]]&amp;"*"</f>
        <v>*F821A*</v>
      </c>
      <c r="F658" s="47" t="s">
        <v>1098</v>
      </c>
    </row>
    <row r="659" spans="1:6" ht="36.75" customHeight="1">
      <c r="A659" s="45" t="s">
        <v>757</v>
      </c>
      <c r="B659" s="45" t="s">
        <v>761</v>
      </c>
      <c r="C659" s="104">
        <v>3.25</v>
      </c>
      <c r="D659" s="105">
        <v>1.75</v>
      </c>
      <c r="E659" s="127" t="str">
        <f>"*"&amp;Table1[[#This Row],[Frame]]&amp;"*"</f>
        <v>*F821D*</v>
      </c>
      <c r="F659" s="47" t="s">
        <v>1098</v>
      </c>
    </row>
    <row r="660" spans="1:6" ht="36.75" customHeight="1">
      <c r="A660" s="45" t="s">
        <v>756</v>
      </c>
      <c r="B660" s="45" t="s">
        <v>760</v>
      </c>
      <c r="C660" s="104">
        <v>3</v>
      </c>
      <c r="D660" s="105">
        <v>1.5</v>
      </c>
      <c r="E660" s="127" t="str">
        <f>"*"&amp;Table1[[#This Row],[Frame]]&amp;"*"</f>
        <v>*F821S*</v>
      </c>
      <c r="F660" s="47" t="s">
        <v>1098</v>
      </c>
    </row>
    <row r="661" spans="1:6" ht="36.75" customHeight="1">
      <c r="A661" s="45" t="s">
        <v>1536</v>
      </c>
      <c r="B661" s="45" t="s">
        <v>1002</v>
      </c>
      <c r="C661" s="104">
        <v>2.5</v>
      </c>
      <c r="D661" s="105">
        <v>2</v>
      </c>
      <c r="E661" s="127" t="str">
        <f>"*"&amp;Table1[[#This Row],[Frame]]&amp;"*"</f>
        <v>*F828-01L*</v>
      </c>
      <c r="F661" s="47" t="s">
        <v>1098</v>
      </c>
    </row>
    <row r="662" spans="1:6" ht="36.75" customHeight="1">
      <c r="A662" s="316" t="s">
        <v>1111</v>
      </c>
      <c r="B662" s="329" t="s">
        <v>1112</v>
      </c>
      <c r="C662" s="342">
        <v>1.6</v>
      </c>
      <c r="D662" s="348">
        <v>1</v>
      </c>
      <c r="E662" s="127" t="str">
        <f>"*"&amp;Table1[[#This Row],[Frame]]&amp;"*"</f>
        <v>*F828-31*</v>
      </c>
      <c r="F662" s="47" t="s">
        <v>1098</v>
      </c>
    </row>
    <row r="663" spans="1:6" ht="36.75" customHeight="1">
      <c r="A663" s="45" t="s">
        <v>837</v>
      </c>
      <c r="B663" s="45" t="s">
        <v>841</v>
      </c>
      <c r="C663" s="104">
        <v>2.6</v>
      </c>
      <c r="D663" s="105">
        <v>1.75</v>
      </c>
      <c r="E663" s="127" t="str">
        <f>"*"&amp;Table1[[#This Row],[Frame]]&amp;"*"</f>
        <v>*F828C*</v>
      </c>
      <c r="F663" s="47" t="s">
        <v>1098</v>
      </c>
    </row>
    <row r="664" spans="1:6" ht="36.75" customHeight="1">
      <c r="A664" s="45" t="s">
        <v>838</v>
      </c>
      <c r="B664" s="45" t="s">
        <v>840</v>
      </c>
      <c r="C664" s="104">
        <v>3.5</v>
      </c>
      <c r="D664" s="105">
        <v>1.75</v>
      </c>
      <c r="E664" s="127" t="str">
        <f>"*"&amp;Table1[[#This Row],[Frame]]&amp;"*"</f>
        <v>*F828CB*</v>
      </c>
      <c r="F664" s="47" t="s">
        <v>1098</v>
      </c>
    </row>
    <row r="665" spans="1:6" ht="36.75" customHeight="1">
      <c r="A665" s="215" t="s">
        <v>928</v>
      </c>
      <c r="B665" s="215" t="s">
        <v>929</v>
      </c>
      <c r="C665" s="216">
        <v>2.85</v>
      </c>
      <c r="D665" s="214">
        <v>1.75</v>
      </c>
      <c r="E665" s="217" t="str">
        <f>"*"&amp;Table1[[#This Row],[Frame]]&amp;"*"</f>
        <v>*F828CC*</v>
      </c>
      <c r="F665" s="47" t="s">
        <v>1098</v>
      </c>
    </row>
    <row r="666" spans="1:6" ht="36.75" customHeight="1">
      <c r="A666" s="45" t="s">
        <v>839</v>
      </c>
      <c r="B666" s="45" t="s">
        <v>840</v>
      </c>
      <c r="C666" s="104">
        <v>3.5</v>
      </c>
      <c r="D666" s="105">
        <v>1.75</v>
      </c>
      <c r="E666" s="127" t="str">
        <f>"*"&amp;Table1[[#This Row],[Frame]]&amp;"*"</f>
        <v>*F828CZ*</v>
      </c>
      <c r="F666" s="47" t="s">
        <v>1098</v>
      </c>
    </row>
    <row r="667" spans="1:6" ht="36.75" customHeight="1">
      <c r="A667" s="45" t="s">
        <v>964</v>
      </c>
      <c r="B667" s="45" t="s">
        <v>965</v>
      </c>
      <c r="C667" s="104">
        <v>2.5</v>
      </c>
      <c r="D667" s="105">
        <v>1.25</v>
      </c>
      <c r="E667" s="127" t="str">
        <f>"*"&amp;Table1[[#This Row],[Frame]]&amp;"*"</f>
        <v>*F828F*</v>
      </c>
      <c r="F667" s="47" t="s">
        <v>1098</v>
      </c>
    </row>
    <row r="668" spans="1:6" ht="36.75" customHeight="1">
      <c r="A668" s="45" t="s">
        <v>1450</v>
      </c>
      <c r="B668" s="45" t="s">
        <v>1451</v>
      </c>
      <c r="C668" s="104">
        <v>1</v>
      </c>
      <c r="D668" s="105">
        <v>0.5</v>
      </c>
      <c r="E668" s="127" t="str">
        <f>"*"&amp;Table1[[#This Row],[Frame]]&amp;"*"</f>
        <v>*F828JL*</v>
      </c>
    </row>
    <row r="669" spans="1:6" ht="36.75" customHeight="1">
      <c r="A669" s="45" t="s">
        <v>922</v>
      </c>
      <c r="B669" s="45" t="s">
        <v>925</v>
      </c>
      <c r="C669" s="104">
        <v>3</v>
      </c>
      <c r="D669" s="105">
        <v>2.25</v>
      </c>
      <c r="E669" s="127" t="str">
        <f>"*"&amp;Table1[[#This Row],[Frame]]&amp;"*"</f>
        <v>*F828LA*</v>
      </c>
      <c r="F669" s="47" t="s">
        <v>1098</v>
      </c>
    </row>
    <row r="670" spans="1:6" ht="36.75" customHeight="1">
      <c r="A670" s="45" t="s">
        <v>977</v>
      </c>
      <c r="B670" s="45" t="s">
        <v>984</v>
      </c>
      <c r="C670" s="104">
        <v>4</v>
      </c>
      <c r="D670" s="105">
        <v>2.5</v>
      </c>
      <c r="E670" s="127" t="str">
        <f>"*"&amp;Table1[[#This Row],[Frame]]&amp;"*"</f>
        <v>*F828P*</v>
      </c>
      <c r="F670" s="47" t="s">
        <v>1098</v>
      </c>
    </row>
    <row r="671" spans="1:6" ht="36.75" customHeight="1">
      <c r="A671" s="215" t="s">
        <v>1407</v>
      </c>
      <c r="B671" s="215" t="s">
        <v>925</v>
      </c>
      <c r="C671" s="216">
        <v>3</v>
      </c>
      <c r="D671" s="214">
        <v>2.25</v>
      </c>
      <c r="E671" s="217" t="s">
        <v>1408</v>
      </c>
      <c r="F671" s="47" t="s">
        <v>1098</v>
      </c>
    </row>
    <row r="672" spans="1:6" ht="36.75" customHeight="1">
      <c r="A672" s="45" t="s">
        <v>963</v>
      </c>
      <c r="B672" s="45" t="s">
        <v>966</v>
      </c>
      <c r="C672" s="104">
        <v>2.75</v>
      </c>
      <c r="D672" s="105">
        <v>2</v>
      </c>
      <c r="E672" s="127" t="str">
        <f>"*"&amp;Table1[[#This Row],[Frame]]&amp;"*"</f>
        <v>*F828U*</v>
      </c>
      <c r="F672" s="47" t="s">
        <v>1098</v>
      </c>
    </row>
    <row r="673" spans="1:6" ht="36.75" customHeight="1">
      <c r="A673" s="45" t="s">
        <v>842</v>
      </c>
      <c r="B673" s="45" t="s">
        <v>846</v>
      </c>
      <c r="C673" s="104">
        <v>4</v>
      </c>
      <c r="D673" s="105">
        <v>2.5</v>
      </c>
      <c r="E673" s="127" t="str">
        <f>"*"&amp;Table1[[#This Row],[Frame]]&amp;"*"</f>
        <v>*F828Y*</v>
      </c>
      <c r="F673" s="47" t="s">
        <v>1098</v>
      </c>
    </row>
    <row r="674" spans="1:6" ht="36.75" customHeight="1">
      <c r="A674" s="45" t="s">
        <v>1688</v>
      </c>
      <c r="B674" s="45" t="s">
        <v>1695</v>
      </c>
      <c r="C674" s="104">
        <v>2.5</v>
      </c>
      <c r="D674" s="105">
        <v>2</v>
      </c>
      <c r="E674" s="127" t="str">
        <f>"*"&amp;Table1[[#This Row],[Frame]]&amp;"*"</f>
        <v>*F833-01*</v>
      </c>
    </row>
    <row r="675" spans="1:6" ht="36.75" customHeight="1">
      <c r="A675" s="45" t="s">
        <v>1687</v>
      </c>
      <c r="B675" s="45" t="s">
        <v>1694</v>
      </c>
      <c r="C675" s="104">
        <v>3</v>
      </c>
      <c r="D675" s="105">
        <v>2.25</v>
      </c>
      <c r="E675" s="127" t="str">
        <f>"*"&amp;Table1[[#This Row],[Frame]]&amp;"*"</f>
        <v>*F833-02*</v>
      </c>
    </row>
    <row r="676" spans="1:6" ht="36.75" customHeight="1">
      <c r="A676" s="215" t="s">
        <v>1606</v>
      </c>
      <c r="B676" s="215" t="s">
        <v>1611</v>
      </c>
      <c r="C676" s="216">
        <v>3.5</v>
      </c>
      <c r="D676" s="214">
        <v>2.5</v>
      </c>
      <c r="E676" s="217" t="str">
        <f>"*"&amp;Table1[[#This Row],[Frame]]&amp;"*"</f>
        <v>*F833-03*</v>
      </c>
    </row>
    <row r="677" spans="1:6" ht="36.75" customHeight="1">
      <c r="A677" s="45" t="s">
        <v>1606</v>
      </c>
      <c r="B677" s="45" t="s">
        <v>1693</v>
      </c>
      <c r="C677" s="104">
        <v>3.5</v>
      </c>
      <c r="D677" s="105">
        <v>2.5</v>
      </c>
      <c r="E677" s="127" t="str">
        <f>"*"&amp;Table1[[#This Row],[Frame]]&amp;"*"</f>
        <v>*F833-03*</v>
      </c>
    </row>
    <row r="678" spans="1:6" ht="36.75" customHeight="1">
      <c r="A678" s="210" t="s">
        <v>887</v>
      </c>
      <c r="B678" s="45" t="s">
        <v>888</v>
      </c>
      <c r="C678" s="104">
        <v>3.5</v>
      </c>
      <c r="D678" s="105">
        <v>2.5</v>
      </c>
      <c r="E678" s="127" t="str">
        <f>"*"&amp;Table1[[#This Row],[Frame]]&amp;"*"</f>
        <v>*F835A*</v>
      </c>
      <c r="F678" s="47" t="s">
        <v>1098</v>
      </c>
    </row>
    <row r="679" spans="1:6" ht="36.75" customHeight="1">
      <c r="A679" s="210" t="s">
        <v>1055</v>
      </c>
      <c r="B679" s="45" t="s">
        <v>1056</v>
      </c>
      <c r="C679" s="104">
        <v>3</v>
      </c>
      <c r="D679" s="105">
        <v>2</v>
      </c>
      <c r="E679" s="127" t="str">
        <f>"*"&amp;Table1[[#This Row],[Frame]]&amp;"*"</f>
        <v>*F835D*</v>
      </c>
      <c r="F679" s="47" t="s">
        <v>1098</v>
      </c>
    </row>
    <row r="680" spans="1:6" ht="36.75" customHeight="1">
      <c r="A680" s="215" t="s">
        <v>1397</v>
      </c>
      <c r="B680" s="215" t="s">
        <v>1400</v>
      </c>
      <c r="C680" s="216">
        <v>0.75</v>
      </c>
      <c r="D680" s="214">
        <v>0.5</v>
      </c>
      <c r="E680" s="217" t="str">
        <f>"*"&amp;Table1[[#This Row],[Frame]]&amp;"*"</f>
        <v>*F835J*</v>
      </c>
    </row>
    <row r="681" spans="1:6" ht="36.75" customHeight="1">
      <c r="A681" s="45" t="s">
        <v>934</v>
      </c>
      <c r="B681" s="45" t="s">
        <v>936</v>
      </c>
      <c r="C681" s="104">
        <v>2.25</v>
      </c>
      <c r="D681" s="105">
        <v>1.25</v>
      </c>
      <c r="E681" s="127" t="str">
        <f>"*"&amp;Table1[[#This Row],[Frame]]&amp;"*"</f>
        <v>*F835S*</v>
      </c>
      <c r="F681" s="47" t="s">
        <v>1098</v>
      </c>
    </row>
    <row r="682" spans="1:6" ht="36.75" customHeight="1">
      <c r="A682" s="45" t="s">
        <v>868</v>
      </c>
      <c r="B682" s="45" t="s">
        <v>889</v>
      </c>
      <c r="C682" s="104">
        <v>3</v>
      </c>
      <c r="D682" s="105">
        <v>1.5</v>
      </c>
      <c r="E682" s="127" t="str">
        <f>"*"&amp;Table1[[#This Row],[Frame]]&amp;"*"</f>
        <v>*F836A*</v>
      </c>
      <c r="F682" s="47" t="s">
        <v>1098</v>
      </c>
    </row>
    <row r="683" spans="1:6" ht="36.75" customHeight="1">
      <c r="A683" s="210" t="s">
        <v>969</v>
      </c>
      <c r="B683" s="45" t="s">
        <v>972</v>
      </c>
      <c r="C683" s="104">
        <v>2.35</v>
      </c>
      <c r="D683" s="105">
        <v>1.5</v>
      </c>
      <c r="E683" s="127" t="str">
        <f>"*"&amp;Table1[[#This Row],[Frame]]&amp;"*"</f>
        <v>*F836C*</v>
      </c>
      <c r="F683" s="47" t="s">
        <v>1098</v>
      </c>
    </row>
    <row r="684" spans="1:6" ht="36.75" customHeight="1">
      <c r="A684" s="45" t="s">
        <v>886</v>
      </c>
      <c r="B684" s="45" t="s">
        <v>878</v>
      </c>
      <c r="C684" s="104">
        <v>2.25</v>
      </c>
      <c r="D684" s="105">
        <v>1.5</v>
      </c>
      <c r="E684" s="127" t="str">
        <f>"*"&amp;Table1[[#This Row],[Frame]]&amp;"*"</f>
        <v>*F836CB*</v>
      </c>
      <c r="F684" s="47" t="s">
        <v>1098</v>
      </c>
    </row>
    <row r="685" spans="1:6" ht="36.75" customHeight="1">
      <c r="A685" s="45" t="s">
        <v>1027</v>
      </c>
      <c r="B685" s="45" t="s">
        <v>1031</v>
      </c>
      <c r="C685" s="104">
        <v>3.35</v>
      </c>
      <c r="D685" s="105">
        <v>2.25</v>
      </c>
      <c r="E685" s="127" t="str">
        <f>"*"&amp;Table1[[#This Row],[Frame]]&amp;"*"</f>
        <v>*F836CC*</v>
      </c>
      <c r="F685" s="47" t="s">
        <v>1098</v>
      </c>
    </row>
    <row r="686" spans="1:6" ht="36.75" customHeight="1">
      <c r="A686" s="210" t="s">
        <v>1046</v>
      </c>
      <c r="B686" s="45" t="s">
        <v>1052</v>
      </c>
      <c r="C686" s="104">
        <v>2.35</v>
      </c>
      <c r="D686" s="105">
        <v>1</v>
      </c>
      <c r="E686" s="127" t="str">
        <f>"*"&amp;Table1[[#This Row],[Frame]]&amp;"*"</f>
        <v>*F836CQ*</v>
      </c>
      <c r="F686" s="47" t="s">
        <v>1098</v>
      </c>
    </row>
    <row r="687" spans="1:6" ht="36.75" customHeight="1">
      <c r="A687" s="45" t="s">
        <v>876</v>
      </c>
      <c r="B687" s="45" t="s">
        <v>878</v>
      </c>
      <c r="C687" s="104">
        <v>2.75</v>
      </c>
      <c r="D687" s="105">
        <v>1.5</v>
      </c>
      <c r="E687" s="127" t="str">
        <f>"*"&amp;Table1[[#This Row],[Frame]]&amp;"*"</f>
        <v>*F836CZ*</v>
      </c>
      <c r="F687" s="47" t="s">
        <v>1098</v>
      </c>
    </row>
    <row r="688" spans="1:6" ht="36.75" customHeight="1">
      <c r="A688" s="210" t="s">
        <v>926</v>
      </c>
      <c r="B688" s="45" t="s">
        <v>927</v>
      </c>
      <c r="C688" s="104">
        <v>2.75</v>
      </c>
      <c r="D688" s="105">
        <v>2.25</v>
      </c>
      <c r="E688" s="127" t="str">
        <f>"*"&amp;Table1[[#This Row],[Frame]]&amp;"*"</f>
        <v>*F836E*</v>
      </c>
      <c r="F688" s="47" t="s">
        <v>1098</v>
      </c>
    </row>
    <row r="689" spans="1:6" ht="36.75" customHeight="1">
      <c r="A689" s="210" t="s">
        <v>875</v>
      </c>
      <c r="B689" s="45" t="s">
        <v>877</v>
      </c>
      <c r="C689" s="104">
        <v>2.1</v>
      </c>
      <c r="D689" s="105">
        <v>1.25</v>
      </c>
      <c r="E689" s="127" t="str">
        <f>"*"&amp;Table1[[#This Row],[Frame]]&amp;"*"</f>
        <v>*F836F*</v>
      </c>
      <c r="F689" s="47" t="s">
        <v>1098</v>
      </c>
    </row>
    <row r="690" spans="1:6" ht="36.75" customHeight="1">
      <c r="A690" s="306" t="s">
        <v>898</v>
      </c>
      <c r="B690" s="215" t="s">
        <v>904</v>
      </c>
      <c r="C690" s="216">
        <v>1.6</v>
      </c>
      <c r="D690" s="214">
        <v>0.75</v>
      </c>
      <c r="E690" s="217" t="str">
        <f>"*"&amp;Table1[[#This Row],[Frame]]&amp;"*"</f>
        <v>*F836I*</v>
      </c>
      <c r="F690" s="47" t="s">
        <v>1098</v>
      </c>
    </row>
    <row r="691" spans="1:6" ht="36.75" customHeight="1">
      <c r="A691" s="45" t="s">
        <v>820</v>
      </c>
      <c r="B691" s="45" t="s">
        <v>810</v>
      </c>
      <c r="C691" s="104">
        <v>3</v>
      </c>
      <c r="D691" s="105">
        <v>2.25</v>
      </c>
      <c r="E691" s="127" t="str">
        <f>"*"&amp;Table1[[#This Row],[Frame]]&amp;"*"</f>
        <v>*F836LA*</v>
      </c>
      <c r="F691" s="47" t="s">
        <v>1098</v>
      </c>
    </row>
    <row r="692" spans="1:6" ht="36.75" customHeight="1">
      <c r="A692" s="45" t="s">
        <v>1064</v>
      </c>
      <c r="B692" s="45" t="s">
        <v>1070</v>
      </c>
      <c r="C692" s="104">
        <v>2.75</v>
      </c>
      <c r="D692" s="105">
        <v>2</v>
      </c>
      <c r="E692" s="127" t="str">
        <f>"*"&amp;Table1[[#This Row],[Frame]]&amp;"*"</f>
        <v>*F836LC*</v>
      </c>
      <c r="F692" s="47" t="s">
        <v>1098</v>
      </c>
    </row>
    <row r="693" spans="1:6" ht="36.75" customHeight="1">
      <c r="A693" s="306" t="s">
        <v>970</v>
      </c>
      <c r="B693" s="215" t="s">
        <v>973</v>
      </c>
      <c r="C693" s="216">
        <v>4.5</v>
      </c>
      <c r="D693" s="214">
        <v>4</v>
      </c>
      <c r="E693" s="217" t="str">
        <f>"*"&amp;Table1[[#This Row],[Frame]]&amp;"*"</f>
        <v>*F836LL*</v>
      </c>
      <c r="F693" s="47" t="s">
        <v>1098</v>
      </c>
    </row>
    <row r="694" spans="1:6" ht="36.75" customHeight="1">
      <c r="A694" s="210" t="s">
        <v>971</v>
      </c>
      <c r="B694" s="45" t="s">
        <v>973</v>
      </c>
      <c r="C694" s="104">
        <v>4.5</v>
      </c>
      <c r="D694" s="105">
        <v>4</v>
      </c>
      <c r="E694" s="127" t="str">
        <f>"*"&amp;Table1[[#This Row],[Frame]]&amp;"*"</f>
        <v>*F836OO*</v>
      </c>
      <c r="F694" s="47" t="s">
        <v>1098</v>
      </c>
    </row>
    <row r="695" spans="1:6" ht="36.75" customHeight="1">
      <c r="A695" s="215" t="s">
        <v>815</v>
      </c>
      <c r="B695" s="215" t="s">
        <v>816</v>
      </c>
      <c r="C695" s="216">
        <v>4</v>
      </c>
      <c r="D695" s="214">
        <v>2.5</v>
      </c>
      <c r="E695" s="217" t="str">
        <f>"*"&amp;Table1[[#This Row],[Frame]]&amp;"*"</f>
        <v>*F836P*</v>
      </c>
      <c r="F695" s="47" t="s">
        <v>1098</v>
      </c>
    </row>
    <row r="696" spans="1:6" ht="36.75" customHeight="1">
      <c r="A696" s="45" t="s">
        <v>809</v>
      </c>
      <c r="B696" s="45" t="s">
        <v>810</v>
      </c>
      <c r="C696" s="104">
        <v>3</v>
      </c>
      <c r="D696" s="105">
        <v>2.25</v>
      </c>
      <c r="E696" s="127" t="str">
        <f>"*"&amp;Table1[[#This Row],[Frame]]&amp;"*"</f>
        <v>*F836RA*</v>
      </c>
      <c r="F696" s="47" t="s">
        <v>1098</v>
      </c>
    </row>
    <row r="697" spans="1:6" ht="36.75" customHeight="1">
      <c r="A697" s="215" t="s">
        <v>1065</v>
      </c>
      <c r="B697" s="215" t="s">
        <v>1070</v>
      </c>
      <c r="C697" s="216">
        <v>2.5</v>
      </c>
      <c r="D697" s="214">
        <v>2</v>
      </c>
      <c r="E697" s="217" t="str">
        <f>"*"&amp;Table1[[#This Row],[Frame]]&amp;"*"</f>
        <v>*F836RC*</v>
      </c>
      <c r="F697" s="47" t="s">
        <v>1098</v>
      </c>
    </row>
    <row r="698" spans="1:6" ht="36.75" customHeight="1">
      <c r="A698" s="45" t="s">
        <v>923</v>
      </c>
      <c r="B698" s="45" t="s">
        <v>924</v>
      </c>
      <c r="C698" s="104">
        <v>3.1</v>
      </c>
      <c r="D698" s="105">
        <v>2.25</v>
      </c>
      <c r="E698" s="127" t="str">
        <f>"*"&amp;Table1[[#This Row],[Frame]]&amp;"*"</f>
        <v>*F836S*</v>
      </c>
      <c r="F698" s="47" t="s">
        <v>1098</v>
      </c>
    </row>
    <row r="699" spans="1:6" ht="36.75" customHeight="1">
      <c r="A699" s="210" t="s">
        <v>1007</v>
      </c>
      <c r="B699" s="45" t="s">
        <v>927</v>
      </c>
      <c r="C699" s="104">
        <v>2.75</v>
      </c>
      <c r="D699" s="105">
        <v>2.25</v>
      </c>
      <c r="E699" s="127" t="str">
        <f>"*"&amp;Table1[[#This Row],[Frame]]&amp;"*"</f>
        <v>*F836U*</v>
      </c>
      <c r="F699" s="47" t="s">
        <v>1098</v>
      </c>
    </row>
    <row r="700" spans="1:6" ht="36.75" customHeight="1">
      <c r="A700" s="45" t="s">
        <v>821</v>
      </c>
      <c r="B700" s="45" t="s">
        <v>816</v>
      </c>
      <c r="C700" s="104">
        <v>4</v>
      </c>
      <c r="D700" s="105">
        <v>2.5</v>
      </c>
      <c r="E700" s="127" t="str">
        <f>"*"&amp;Table1[[#This Row],[Frame]]&amp;"*"</f>
        <v>*F836Y*</v>
      </c>
      <c r="F700" s="47" t="s">
        <v>1098</v>
      </c>
    </row>
    <row r="701" spans="1:6" ht="36.75" customHeight="1">
      <c r="A701" s="45" t="s">
        <v>500</v>
      </c>
      <c r="B701" s="45" t="s">
        <v>131</v>
      </c>
      <c r="C701" s="104">
        <v>3.85</v>
      </c>
      <c r="D701" s="105">
        <v>2</v>
      </c>
      <c r="E701" s="127" t="str">
        <f>"*"&amp;Table1[[#This Row],[Frame]]&amp;"*"</f>
        <v>*F878A*</v>
      </c>
      <c r="F701" s="47" t="s">
        <v>1098</v>
      </c>
    </row>
    <row r="702" spans="1:6" ht="36.75" customHeight="1">
      <c r="A702" s="292" t="s">
        <v>1825</v>
      </c>
      <c r="B702" s="292" t="s">
        <v>1828</v>
      </c>
      <c r="C702" s="293">
        <v>2.5</v>
      </c>
      <c r="D702" s="294">
        <v>1.75</v>
      </c>
      <c r="E702" s="295" t="str">
        <f>"*"&amp;Table1[[#This Row],[Frame]]&amp;"*"</f>
        <v>*F902-01*</v>
      </c>
      <c r="F702" s="296"/>
    </row>
    <row r="703" spans="1:6" ht="36.75" customHeight="1">
      <c r="A703" s="271" t="s">
        <v>1800</v>
      </c>
      <c r="B703" s="271" t="s">
        <v>1804</v>
      </c>
      <c r="C703" s="272">
        <v>3</v>
      </c>
      <c r="D703" s="273">
        <v>2</v>
      </c>
      <c r="E703" s="274" t="str">
        <f>"*"&amp;Table1[[#This Row],[Frame]]&amp;"*"</f>
        <v>*F902-02*</v>
      </c>
      <c r="F703" s="275"/>
    </row>
    <row r="704" spans="1:6" ht="36.75" customHeight="1">
      <c r="A704" s="271" t="s">
        <v>1801</v>
      </c>
      <c r="B704" s="271" t="s">
        <v>1805</v>
      </c>
      <c r="C704" s="272">
        <v>3.75</v>
      </c>
      <c r="D704" s="273">
        <v>2.25</v>
      </c>
      <c r="E704" s="274" t="str">
        <f>"*"&amp;Table1[[#This Row],[Frame]]&amp;"*"</f>
        <v>*F902-03*</v>
      </c>
      <c r="F704" s="275"/>
    </row>
    <row r="705" spans="1:6" ht="36.75" customHeight="1">
      <c r="A705" s="282" t="s">
        <v>1808</v>
      </c>
      <c r="B705" s="282" t="s">
        <v>1810</v>
      </c>
      <c r="C705" s="283">
        <v>3.5</v>
      </c>
      <c r="D705" s="284">
        <v>2</v>
      </c>
      <c r="E705" s="285" t="str">
        <f>"*"&amp;Table1[[#This Row],[Frame]]&amp;"*"</f>
        <v>*F902-03L*</v>
      </c>
      <c r="F705" s="286"/>
    </row>
    <row r="706" spans="1:6" ht="36.75" customHeight="1">
      <c r="A706" s="282" t="s">
        <v>1809</v>
      </c>
      <c r="B706" s="282" t="s">
        <v>1810</v>
      </c>
      <c r="C706" s="283">
        <v>3.5</v>
      </c>
      <c r="D706" s="284">
        <v>2</v>
      </c>
      <c r="E706" s="285" t="str">
        <f>"*"&amp;Table1[[#This Row],[Frame]]&amp;"*"</f>
        <v>*F902-03R*</v>
      </c>
      <c r="F706" s="286"/>
    </row>
    <row r="707" spans="1:6" ht="36.75" customHeight="1">
      <c r="A707" s="314" t="s">
        <v>1826</v>
      </c>
      <c r="B707" s="314" t="s">
        <v>1829</v>
      </c>
      <c r="C707" s="340">
        <v>3.25</v>
      </c>
      <c r="D707" s="347">
        <v>2.25</v>
      </c>
      <c r="E707" s="356" t="str">
        <f>"*"&amp;Table1[[#This Row],[Frame]]&amp;"*"</f>
        <v>*F904-03*</v>
      </c>
      <c r="F707" s="296"/>
    </row>
    <row r="708" spans="1:6" ht="36.75" customHeight="1">
      <c r="A708" s="287" t="s">
        <v>1819</v>
      </c>
      <c r="B708" s="287" t="s">
        <v>1821</v>
      </c>
      <c r="C708" s="288">
        <v>4</v>
      </c>
      <c r="D708" s="289">
        <v>2.75</v>
      </c>
      <c r="E708" s="290" t="str">
        <f>"*"&amp;Table1[[#This Row],[Frame]]&amp;"*"</f>
        <v>*F904-03L*</v>
      </c>
      <c r="F708" s="291"/>
    </row>
    <row r="709" spans="1:6" ht="36.75" customHeight="1">
      <c r="A709" s="287" t="s">
        <v>1820</v>
      </c>
      <c r="B709" s="287" t="s">
        <v>1821</v>
      </c>
      <c r="C709" s="288">
        <v>4</v>
      </c>
      <c r="D709" s="289">
        <v>2.75</v>
      </c>
      <c r="E709" s="290" t="str">
        <f>"*"&amp;Table1[[#This Row],[Frame]]&amp;"*"</f>
        <v>*F904-03R*</v>
      </c>
      <c r="F709" s="291"/>
    </row>
    <row r="710" spans="1:6" ht="36.75" customHeight="1">
      <c r="A710" s="292" t="s">
        <v>1830</v>
      </c>
      <c r="B710" s="292" t="s">
        <v>1831</v>
      </c>
      <c r="C710" s="293">
        <v>3</v>
      </c>
      <c r="D710" s="294">
        <v>2.5</v>
      </c>
      <c r="E710" s="295" t="str">
        <f>"*"&amp;Table1[[#This Row],[Frame]]&amp;"*"</f>
        <v>*F906-03*</v>
      </c>
      <c r="F710" s="296"/>
    </row>
    <row r="711" spans="1:6" ht="36.75" customHeight="1">
      <c r="A711" s="45" t="s">
        <v>1047</v>
      </c>
      <c r="B711" s="45" t="s">
        <v>1051</v>
      </c>
      <c r="C711" s="104">
        <v>3</v>
      </c>
      <c r="D711" s="105">
        <v>1</v>
      </c>
      <c r="E711" s="127" t="str">
        <f>"*"&amp;Table1[[#This Row],[Frame]]&amp;"*"</f>
        <v>*Q18-0238*</v>
      </c>
      <c r="F711" s="47" t="s">
        <v>1099</v>
      </c>
    </row>
    <row r="712" spans="1:6" ht="36.75" customHeight="1">
      <c r="A712" s="45" t="s">
        <v>940</v>
      </c>
      <c r="B712" s="45" t="s">
        <v>946</v>
      </c>
      <c r="C712" s="104">
        <v>4.5</v>
      </c>
      <c r="D712" s="105">
        <v>3.5</v>
      </c>
      <c r="E712" s="127" t="str">
        <f>"*"&amp;Table1[[#This Row],[Frame]]&amp;"*"</f>
        <v>*Q18-0239*</v>
      </c>
      <c r="F712" s="47" t="s">
        <v>1099</v>
      </c>
    </row>
    <row r="713" spans="1:6" ht="36.75" customHeight="1">
      <c r="A713" s="215" t="s">
        <v>814</v>
      </c>
      <c r="B713" s="215" t="s">
        <v>947</v>
      </c>
      <c r="C713" s="216">
        <v>5</v>
      </c>
      <c r="D713" s="214">
        <v>4</v>
      </c>
      <c r="E713" s="217" t="str">
        <f>"*"&amp;Table1[[#This Row],[Frame]]&amp;"*"</f>
        <v>*Q18-0240*</v>
      </c>
      <c r="F713" s="47" t="s">
        <v>1099</v>
      </c>
    </row>
    <row r="714" spans="1:6" ht="36.75" customHeight="1">
      <c r="A714" s="45" t="s">
        <v>1249</v>
      </c>
      <c r="B714" s="45" t="s">
        <v>1250</v>
      </c>
      <c r="C714" s="104">
        <v>3</v>
      </c>
      <c r="D714" s="105">
        <v>2</v>
      </c>
      <c r="E714" s="127" t="str">
        <f>"*"&amp;Table1[[#This Row],[Frame]]&amp;"*"</f>
        <v>*Q18-0243*</v>
      </c>
    </row>
    <row r="715" spans="1:6" ht="36.75" customHeight="1">
      <c r="A715" s="45" t="s">
        <v>1035</v>
      </c>
      <c r="B715" s="45" t="s">
        <v>948</v>
      </c>
      <c r="C715" s="104">
        <v>4</v>
      </c>
      <c r="D715" s="105">
        <v>2</v>
      </c>
      <c r="E715" s="127" t="str">
        <f>"*"&amp;Table1[[#This Row],[Frame]]&amp;"*"</f>
        <v>*Q18-0244*</v>
      </c>
      <c r="F715" s="47" t="s">
        <v>1099</v>
      </c>
    </row>
    <row r="716" spans="1:6" ht="36.75" customHeight="1">
      <c r="A716" s="45" t="s">
        <v>811</v>
      </c>
      <c r="B716" s="45" t="s">
        <v>948</v>
      </c>
      <c r="C716" s="104">
        <v>4</v>
      </c>
      <c r="D716" s="105">
        <v>2</v>
      </c>
      <c r="E716" s="127" t="str">
        <f>"*"&amp;Table1[[#This Row],[Frame]]&amp;"*"</f>
        <v>*Q18-0245*</v>
      </c>
      <c r="F716" s="47" t="s">
        <v>1099</v>
      </c>
    </row>
    <row r="717" spans="1:6" ht="36.75" customHeight="1">
      <c r="A717" s="45" t="s">
        <v>943</v>
      </c>
      <c r="B717" s="45" t="s">
        <v>951</v>
      </c>
      <c r="C717" s="104">
        <v>4</v>
      </c>
      <c r="D717" s="105">
        <v>2</v>
      </c>
      <c r="E717" s="127" t="str">
        <f>"*"&amp;Table1[[#This Row],[Frame]]&amp;"*"</f>
        <v>*Q18-0246*</v>
      </c>
      <c r="F717" s="47" t="s">
        <v>1099</v>
      </c>
    </row>
    <row r="718" spans="1:6" ht="36.75" customHeight="1">
      <c r="A718" s="45" t="s">
        <v>1091</v>
      </c>
      <c r="B718" s="45" t="s">
        <v>951</v>
      </c>
      <c r="C718" s="104">
        <v>4</v>
      </c>
      <c r="D718" s="105">
        <v>2</v>
      </c>
      <c r="E718" s="127" t="str">
        <f>"*"&amp;Table1[[#This Row],[Frame]]&amp;"*"</f>
        <v>*Q18-0247*</v>
      </c>
      <c r="F718" s="47" t="s">
        <v>1099</v>
      </c>
    </row>
    <row r="719" spans="1:6" ht="36.75" customHeight="1">
      <c r="A719" s="215" t="s">
        <v>1090</v>
      </c>
      <c r="B719" s="215" t="s">
        <v>1092</v>
      </c>
      <c r="C719" s="216">
        <v>5</v>
      </c>
      <c r="D719" s="214">
        <v>3</v>
      </c>
      <c r="E719" s="217" t="str">
        <f>"*"&amp;Table1[[#This Row],[Frame]]&amp;"*"</f>
        <v>*Q18-0248*</v>
      </c>
      <c r="F719" s="47" t="s">
        <v>1099</v>
      </c>
    </row>
    <row r="720" spans="1:6" ht="36.75" customHeight="1">
      <c r="A720" s="45" t="s">
        <v>1084</v>
      </c>
      <c r="B720" s="45" t="s">
        <v>1085</v>
      </c>
      <c r="C720" s="104">
        <v>5</v>
      </c>
      <c r="D720" s="105">
        <v>3</v>
      </c>
      <c r="E720" s="127" t="str">
        <f>"*"&amp;Table1[[#This Row],[Frame]]&amp;"*"</f>
        <v>*Q18-0249*</v>
      </c>
      <c r="F720" s="47" t="s">
        <v>1099</v>
      </c>
    </row>
    <row r="721" spans="1:6" ht="36.75" customHeight="1">
      <c r="A721" s="215" t="s">
        <v>1026</v>
      </c>
      <c r="B721" s="215" t="s">
        <v>1033</v>
      </c>
      <c r="C721" s="216">
        <v>5</v>
      </c>
      <c r="D721" s="214">
        <v>3</v>
      </c>
      <c r="E721" s="217" t="str">
        <f>"*"&amp;Table1[[#This Row],[Frame]]&amp;"*"</f>
        <v>*Q18-0250*</v>
      </c>
      <c r="F721" s="47" t="s">
        <v>1099</v>
      </c>
    </row>
    <row r="722" spans="1:6" ht="36.75" customHeight="1">
      <c r="A722" s="45" t="s">
        <v>942</v>
      </c>
      <c r="B722" s="45" t="s">
        <v>950</v>
      </c>
      <c r="C722" s="104">
        <v>5</v>
      </c>
      <c r="D722" s="105">
        <v>3</v>
      </c>
      <c r="E722" s="127" t="str">
        <f>"*"&amp;Table1[[#This Row],[Frame]]&amp;"*"</f>
        <v>*Q18-0251*</v>
      </c>
      <c r="F722" s="47" t="s">
        <v>1099</v>
      </c>
    </row>
    <row r="723" spans="1:6" ht="36.75" customHeight="1">
      <c r="A723" s="215" t="s">
        <v>812</v>
      </c>
      <c r="B723" s="215" t="s">
        <v>945</v>
      </c>
      <c r="C723" s="216">
        <v>2</v>
      </c>
      <c r="D723" s="214"/>
      <c r="E723" s="217" t="str">
        <f>"*"&amp;Table1[[#This Row],[Frame]]&amp;"*"</f>
        <v>*Q18-0254*</v>
      </c>
      <c r="F723" s="47" t="s">
        <v>1099</v>
      </c>
    </row>
    <row r="724" spans="1:6" ht="36.75" customHeight="1">
      <c r="A724" s="319" t="s">
        <v>1089</v>
      </c>
      <c r="B724" s="45" t="s">
        <v>945</v>
      </c>
      <c r="C724" s="104">
        <v>2</v>
      </c>
      <c r="D724" s="105"/>
      <c r="E724" s="127" t="str">
        <f>"*"&amp;Table1[[#This Row],[Frame]]&amp;"*"</f>
        <v>*Q18-0255*</v>
      </c>
      <c r="F724" s="47" t="s">
        <v>1099</v>
      </c>
    </row>
    <row r="725" spans="1:6" ht="36.75" customHeight="1">
      <c r="A725" s="45" t="s">
        <v>953</v>
      </c>
      <c r="B725" s="45" t="s">
        <v>955</v>
      </c>
      <c r="C725" s="104">
        <v>2.5</v>
      </c>
      <c r="D725" s="105">
        <v>1</v>
      </c>
      <c r="E725" s="127" t="str">
        <f>"*"&amp;Table1[[#This Row],[Frame]]&amp;"*"</f>
        <v>*Q18-0264*</v>
      </c>
      <c r="F725" s="47" t="s">
        <v>1099</v>
      </c>
    </row>
    <row r="726" spans="1:6" ht="36.75" customHeight="1">
      <c r="A726" s="45" t="s">
        <v>939</v>
      </c>
      <c r="B726" s="45" t="s">
        <v>944</v>
      </c>
      <c r="C726" s="104">
        <v>3</v>
      </c>
      <c r="D726" s="105">
        <v>2</v>
      </c>
      <c r="E726" s="127" t="str">
        <f>"*"&amp;Table1[[#This Row],[Frame]]&amp;"*"</f>
        <v>*Q18-0271*</v>
      </c>
      <c r="F726" s="47" t="s">
        <v>1099</v>
      </c>
    </row>
    <row r="727" spans="1:6" ht="36.75" customHeight="1">
      <c r="A727" s="45" t="s">
        <v>941</v>
      </c>
      <c r="B727" s="45" t="s">
        <v>949</v>
      </c>
      <c r="C727" s="104">
        <v>4</v>
      </c>
      <c r="D727" s="105">
        <v>3</v>
      </c>
      <c r="E727" s="127" t="str">
        <f>"*"&amp;Table1[[#This Row],[Frame]]&amp;"*"</f>
        <v>*Q18-0272*</v>
      </c>
      <c r="F727" s="47" t="s">
        <v>1099</v>
      </c>
    </row>
    <row r="728" spans="1:6" ht="36.75" customHeight="1">
      <c r="A728" s="45" t="s">
        <v>1024</v>
      </c>
      <c r="B728" s="45" t="s">
        <v>944</v>
      </c>
      <c r="C728" s="104">
        <v>3</v>
      </c>
      <c r="D728" s="105">
        <v>2</v>
      </c>
      <c r="E728" s="127" t="str">
        <f>"*"&amp;Table1[[#This Row],[Frame]]&amp;"*"</f>
        <v>*Q18-0275*</v>
      </c>
      <c r="F728" s="47" t="s">
        <v>1099</v>
      </c>
    </row>
    <row r="729" spans="1:6" ht="36.75" customHeight="1">
      <c r="A729" s="225" t="s">
        <v>1743</v>
      </c>
      <c r="B729" s="225" t="s">
        <v>1736</v>
      </c>
      <c r="C729" s="226">
        <v>3.75</v>
      </c>
      <c r="D729" s="227">
        <v>4.5</v>
      </c>
      <c r="E729" s="228" t="str">
        <f>"*"&amp;Table1[[#This Row],[Frame]]&amp;"*"</f>
        <v>*S3180-06*</v>
      </c>
      <c r="F729" s="229"/>
    </row>
    <row r="730" spans="1:6" ht="36.75" customHeight="1">
      <c r="A730" s="231" t="s">
        <v>1743</v>
      </c>
      <c r="B730" s="231" t="s">
        <v>1736</v>
      </c>
      <c r="C730" s="232">
        <v>3.75</v>
      </c>
      <c r="D730" s="233">
        <v>4.5</v>
      </c>
      <c r="E730" s="234" t="str">
        <f>"*"&amp;Table1[[#This Row],[Frame]]&amp;"*"</f>
        <v>*S3180-06*</v>
      </c>
      <c r="F730" s="235"/>
    </row>
    <row r="731" spans="1:6" ht="36.75" customHeight="1">
      <c r="A731" s="225" t="s">
        <v>1735</v>
      </c>
      <c r="B731" s="225" t="s">
        <v>1736</v>
      </c>
      <c r="C731" s="226">
        <v>3.75</v>
      </c>
      <c r="D731" s="227">
        <v>4.5</v>
      </c>
      <c r="E731" s="228" t="str">
        <f>"*"&amp;Table1[[#This Row],[Frame]]&amp;"*"</f>
        <v>*S31806*</v>
      </c>
      <c r="F731" s="229"/>
    </row>
    <row r="732" spans="1:6" ht="36.75" customHeight="1">
      <c r="A732" s="45" t="s">
        <v>1356</v>
      </c>
      <c r="B732" s="45" t="s">
        <v>1357</v>
      </c>
      <c r="C732" s="104">
        <v>3</v>
      </c>
      <c r="D732" s="105">
        <v>0</v>
      </c>
      <c r="E732" s="127" t="str">
        <f>"*"&amp;Table1[[#This Row],[Frame]]&amp;"*"</f>
        <v>*S-58193*</v>
      </c>
    </row>
    <row r="733" spans="1:6" ht="36.75" customHeight="1">
      <c r="A733" s="225" t="s">
        <v>1742</v>
      </c>
      <c r="B733" s="225" t="s">
        <v>1736</v>
      </c>
      <c r="C733" s="226">
        <v>3.75</v>
      </c>
      <c r="D733" s="227">
        <v>4.5</v>
      </c>
      <c r="E733" s="228" t="str">
        <f>"*"&amp;Table1[[#This Row],[Frame]]&amp;"*"</f>
        <v>*S71906*</v>
      </c>
      <c r="F733" s="229"/>
    </row>
    <row r="734" spans="1:6" ht="36.75" customHeight="1">
      <c r="A734" s="45" t="s">
        <v>1355</v>
      </c>
      <c r="B734" s="45" t="s">
        <v>1357</v>
      </c>
      <c r="C734" s="104">
        <v>3.5</v>
      </c>
      <c r="D734" s="105">
        <v>0</v>
      </c>
      <c r="E734" s="127" t="str">
        <f>"*"&amp;Table1[[#This Row],[Frame]]&amp;"*"</f>
        <v>*S-89783*</v>
      </c>
    </row>
    <row r="735" spans="1:6" ht="36.75" customHeight="1">
      <c r="A735" s="210" t="s">
        <v>1182</v>
      </c>
      <c r="B735" s="45" t="s">
        <v>1183</v>
      </c>
      <c r="C735" s="104">
        <v>4.5</v>
      </c>
      <c r="D735" s="105">
        <v>4.2</v>
      </c>
      <c r="E735" s="127" t="str">
        <f>"*"&amp;Table1[[#This Row],[Frame]]&amp;"*"</f>
        <v>*SF25266*</v>
      </c>
      <c r="F735" s="47" t="s">
        <v>1107</v>
      </c>
    </row>
    <row r="736" spans="1:6" ht="36.75" customHeight="1">
      <c r="A736" s="45" t="s">
        <v>659</v>
      </c>
      <c r="B736" s="45" t="s">
        <v>1057</v>
      </c>
      <c r="C736" s="104">
        <v>4</v>
      </c>
      <c r="D736" s="105">
        <v>2</v>
      </c>
      <c r="E736" s="127" t="str">
        <f>"*"&amp;Table1[[#This Row],[Frame]]&amp;"*"</f>
        <v>*SS-0480*</v>
      </c>
      <c r="F736" s="47" t="s">
        <v>1100</v>
      </c>
    </row>
    <row r="737" spans="1:6" ht="36.75" customHeight="1">
      <c r="A737" s="45" t="s">
        <v>226</v>
      </c>
      <c r="B737" s="45" t="s">
        <v>227</v>
      </c>
      <c r="C737" s="104">
        <v>1.5</v>
      </c>
      <c r="D737" s="105">
        <v>1</v>
      </c>
      <c r="E737" s="127" t="str">
        <f>"*"&amp;Table1[[#This Row],[Frame]]&amp;"*"</f>
        <v>*SS-0987*</v>
      </c>
      <c r="F737" s="47" t="s">
        <v>1100</v>
      </c>
    </row>
    <row r="738" spans="1:6" ht="36.75" customHeight="1">
      <c r="A738" s="225" t="s">
        <v>1732</v>
      </c>
      <c r="B738" s="225" t="s">
        <v>1733</v>
      </c>
      <c r="C738" s="226">
        <v>2</v>
      </c>
      <c r="D738" s="227">
        <v>2</v>
      </c>
      <c r="E738" s="228" t="str">
        <f>"*"&amp;Table1[[#This Row],[Frame]]&amp;"*"</f>
        <v>*SS-1433*</v>
      </c>
      <c r="F738" s="229"/>
    </row>
    <row r="739" spans="1:6" ht="36.75" customHeight="1">
      <c r="A739" s="215" t="s">
        <v>457</v>
      </c>
      <c r="B739" s="215" t="s">
        <v>458</v>
      </c>
      <c r="C739" s="216">
        <v>3.6</v>
      </c>
      <c r="D739" s="214">
        <v>3.3</v>
      </c>
      <c r="E739" s="217" t="str">
        <f>"*"&amp;Table1[[#This Row],[Frame]]&amp;"*"</f>
        <v>*SS-1707*</v>
      </c>
      <c r="F739" s="47" t="s">
        <v>1100</v>
      </c>
    </row>
    <row r="740" spans="1:6" ht="36.75" customHeight="1">
      <c r="A740" s="45" t="s">
        <v>455</v>
      </c>
      <c r="B740" s="45" t="s">
        <v>456</v>
      </c>
      <c r="C740" s="104">
        <v>3.85</v>
      </c>
      <c r="D740" s="105">
        <v>3.8</v>
      </c>
      <c r="E740" s="127" t="str">
        <f>"*"&amp;Table1[[#This Row],[Frame]]&amp;"*"</f>
        <v>*SS-1708*</v>
      </c>
      <c r="F740" s="47" t="s">
        <v>1100</v>
      </c>
    </row>
    <row r="741" spans="1:6" ht="36.75" customHeight="1">
      <c r="A741" s="45" t="s">
        <v>489</v>
      </c>
      <c r="B741" s="45" t="s">
        <v>490</v>
      </c>
      <c r="C741" s="104">
        <v>1.35</v>
      </c>
      <c r="D741" s="105">
        <v>1</v>
      </c>
      <c r="E741" s="127" t="str">
        <f>"*"&amp;Table1[[#This Row],[Frame]]&amp;"*"</f>
        <v>*SS-1709*</v>
      </c>
      <c r="F741" s="47" t="s">
        <v>1100</v>
      </c>
    </row>
    <row r="742" spans="1:6" ht="36.75" customHeight="1">
      <c r="A742" s="45" t="s">
        <v>459</v>
      </c>
      <c r="B742" s="45" t="s">
        <v>460</v>
      </c>
      <c r="C742" s="104">
        <v>4.0999999999999996</v>
      </c>
      <c r="D742" s="105">
        <v>4.05</v>
      </c>
      <c r="E742" s="127" t="str">
        <f>"*"&amp;Table1[[#This Row],[Frame]]&amp;"*"</f>
        <v>*SS-1710*</v>
      </c>
      <c r="F742" s="47" t="s">
        <v>1100</v>
      </c>
    </row>
    <row r="743" spans="1:6" ht="36.75" customHeight="1">
      <c r="A743" s="45" t="s">
        <v>451</v>
      </c>
      <c r="B743" s="45" t="s">
        <v>452</v>
      </c>
      <c r="C743" s="104">
        <v>4.0999999999999996</v>
      </c>
      <c r="D743" s="105">
        <v>3.05</v>
      </c>
      <c r="E743" s="127" t="str">
        <f>"*"&amp;Table1[[#This Row],[Frame]]&amp;"*"</f>
        <v>*SS-1711*</v>
      </c>
      <c r="F743" s="47" t="s">
        <v>1100</v>
      </c>
    </row>
    <row r="744" spans="1:6" ht="36.75" customHeight="1">
      <c r="A744" s="45" t="s">
        <v>453</v>
      </c>
      <c r="B744" s="45" t="s">
        <v>454</v>
      </c>
      <c r="C744" s="104">
        <v>3.6</v>
      </c>
      <c r="D744" s="105">
        <v>2.0499999999999998</v>
      </c>
      <c r="E744" s="127" t="str">
        <f>"*"&amp;Table1[[#This Row],[Frame]]&amp;"*"</f>
        <v>*SS-1712*</v>
      </c>
      <c r="F744" s="47" t="s">
        <v>1100</v>
      </c>
    </row>
    <row r="745" spans="1:6" ht="36.75" customHeight="1">
      <c r="A745" s="45" t="s">
        <v>449</v>
      </c>
      <c r="B745" s="45" t="s">
        <v>450</v>
      </c>
      <c r="C745" s="104">
        <v>1.35</v>
      </c>
      <c r="D745" s="105">
        <v>0.5</v>
      </c>
      <c r="E745" s="127" t="str">
        <f>"*"&amp;Table1[[#This Row],[Frame]]&amp;"*"</f>
        <v>*SS-1713*</v>
      </c>
      <c r="F745" s="47" t="s">
        <v>1100</v>
      </c>
    </row>
    <row r="746" spans="1:6" ht="36.75" customHeight="1">
      <c r="A746" s="45" t="s">
        <v>499</v>
      </c>
      <c r="B746" s="45" t="s">
        <v>313</v>
      </c>
      <c r="C746" s="104">
        <v>1.35</v>
      </c>
      <c r="D746" s="105">
        <v>1</v>
      </c>
      <c r="E746" s="127" t="str">
        <f>"*"&amp;Table1[[#This Row],[Frame]]&amp;"*"</f>
        <v>*SS-1714*</v>
      </c>
      <c r="F746" s="47" t="s">
        <v>1100</v>
      </c>
    </row>
    <row r="747" spans="1:6" ht="36.75" customHeight="1">
      <c r="A747" s="45" t="s">
        <v>491</v>
      </c>
      <c r="B747" s="45" t="s">
        <v>492</v>
      </c>
      <c r="C747" s="104">
        <v>2.35</v>
      </c>
      <c r="D747" s="105">
        <v>2.0499999999999998</v>
      </c>
      <c r="E747" s="127" t="str">
        <f>"*"&amp;Table1[[#This Row],[Frame]]&amp;"*"</f>
        <v>*SS-1715*</v>
      </c>
      <c r="F747" s="47" t="s">
        <v>1100</v>
      </c>
    </row>
    <row r="748" spans="1:6" ht="36.75" customHeight="1">
      <c r="A748" s="45" t="s">
        <v>463</v>
      </c>
      <c r="B748" s="45" t="s">
        <v>464</v>
      </c>
      <c r="C748" s="104">
        <v>3.6</v>
      </c>
      <c r="D748" s="105">
        <v>3.05</v>
      </c>
      <c r="E748" s="127" t="str">
        <f>"*"&amp;Table1[[#This Row],[Frame]]&amp;"*"</f>
        <v>*SS-1716*</v>
      </c>
      <c r="F748" s="47" t="s">
        <v>1100</v>
      </c>
    </row>
    <row r="749" spans="1:6" ht="36.75" customHeight="1">
      <c r="A749" s="45" t="s">
        <v>1226</v>
      </c>
      <c r="B749" s="45" t="s">
        <v>217</v>
      </c>
      <c r="C749" s="104">
        <v>2.85</v>
      </c>
      <c r="D749" s="105">
        <v>2.2999999999999998</v>
      </c>
      <c r="E749" s="127" t="str">
        <f>"*"&amp;Table1[[#This Row],[Frame]]&amp;"*"</f>
        <v>*SS-1717*</v>
      </c>
    </row>
    <row r="750" spans="1:6" ht="36.75" customHeight="1">
      <c r="A750" s="45" t="s">
        <v>1228</v>
      </c>
      <c r="B750" s="45" t="s">
        <v>215</v>
      </c>
      <c r="C750" s="104">
        <v>2.85</v>
      </c>
      <c r="D750" s="105">
        <v>2.0499999999999998</v>
      </c>
      <c r="E750" s="127" t="str">
        <f>"*"&amp;Table1[[#This Row],[Frame]]&amp;"*"</f>
        <v>*SS-1718*</v>
      </c>
    </row>
    <row r="751" spans="1:6" ht="36.75" customHeight="1">
      <c r="A751" s="45" t="s">
        <v>467</v>
      </c>
      <c r="B751" s="45" t="s">
        <v>468</v>
      </c>
      <c r="C751" s="104">
        <v>3.6</v>
      </c>
      <c r="D751" s="105">
        <v>3.8</v>
      </c>
      <c r="E751" s="127" t="str">
        <f>"*"&amp;Table1[[#This Row],[Frame]]&amp;"*"</f>
        <v>*SS-1719*</v>
      </c>
      <c r="F751" s="47" t="s">
        <v>1100</v>
      </c>
    </row>
    <row r="752" spans="1:6" ht="36.75" customHeight="1">
      <c r="A752" s="45" t="s">
        <v>1224</v>
      </c>
      <c r="B752" s="45" t="s">
        <v>477</v>
      </c>
      <c r="C752" s="104">
        <v>2.85</v>
      </c>
      <c r="D752" s="105">
        <v>2.5499999999999998</v>
      </c>
      <c r="E752" s="127" t="str">
        <f>"*"&amp;Table1[[#This Row],[Frame]]&amp;"*"</f>
        <v>*SS-1721*</v>
      </c>
    </row>
    <row r="753" spans="1:6" ht="36.75" customHeight="1">
      <c r="A753" s="45" t="s">
        <v>1377</v>
      </c>
      <c r="B753" s="45" t="s">
        <v>1379</v>
      </c>
      <c r="C753" s="104">
        <v>2.75</v>
      </c>
      <c r="D753" s="105">
        <v>2.5</v>
      </c>
      <c r="E753" s="127" t="str">
        <f>"*"&amp;Table1[[#This Row],[Frame]]&amp;"*"</f>
        <v>*SS-1722*</v>
      </c>
    </row>
    <row r="754" spans="1:6" ht="36.75" customHeight="1">
      <c r="A754" s="45" t="s">
        <v>1278</v>
      </c>
      <c r="B754" s="45" t="s">
        <v>1279</v>
      </c>
      <c r="C754" s="104">
        <v>2.5</v>
      </c>
      <c r="D754" s="105">
        <v>2.25</v>
      </c>
      <c r="E754" s="127" t="str">
        <f>"*"&amp;Table1[[#This Row],[Frame]]&amp;"*"</f>
        <v>*SS-1723*</v>
      </c>
    </row>
    <row r="755" spans="1:6" ht="36.75" customHeight="1">
      <c r="A755" s="45" t="s">
        <v>465</v>
      </c>
      <c r="B755" s="45" t="s">
        <v>466</v>
      </c>
      <c r="C755" s="104">
        <v>1.35</v>
      </c>
      <c r="D755" s="105">
        <v>1</v>
      </c>
      <c r="E755" s="127" t="str">
        <f>"*"&amp;Table1[[#This Row],[Frame]]&amp;"*"</f>
        <v>*SS-1724*</v>
      </c>
      <c r="F755" s="47" t="s">
        <v>1100</v>
      </c>
    </row>
    <row r="756" spans="1:6" ht="36.75" customHeight="1">
      <c r="A756" s="45" t="s">
        <v>481</v>
      </c>
      <c r="B756" s="45" t="s">
        <v>482</v>
      </c>
      <c r="C756" s="104">
        <v>4.0999999999999996</v>
      </c>
      <c r="D756" s="105">
        <v>3.8</v>
      </c>
      <c r="E756" s="127" t="str">
        <f>"*"&amp;Table1[[#This Row],[Frame]]&amp;"*"</f>
        <v>*SS-1725*</v>
      </c>
      <c r="F756" s="47" t="s">
        <v>1100</v>
      </c>
    </row>
    <row r="757" spans="1:6" ht="36.75" customHeight="1">
      <c r="A757" s="45" t="s">
        <v>1225</v>
      </c>
      <c r="B757" s="45" t="s">
        <v>211</v>
      </c>
      <c r="C757" s="104">
        <v>2.85</v>
      </c>
      <c r="D757" s="105">
        <v>2.5499999999999998</v>
      </c>
      <c r="E757" s="127" t="str">
        <f>"*"&amp;Table1[[#This Row],[Frame]]&amp;"*"</f>
        <v>*SS-1727*</v>
      </c>
    </row>
    <row r="758" spans="1:6" ht="36.75" customHeight="1">
      <c r="A758" s="45" t="s">
        <v>1376</v>
      </c>
      <c r="B758" s="45" t="s">
        <v>1378</v>
      </c>
      <c r="C758" s="104">
        <v>2.75</v>
      </c>
      <c r="D758" s="105">
        <v>2.5</v>
      </c>
      <c r="E758" s="127" t="str">
        <f>"*"&amp;Table1[[#This Row],[Frame]]&amp;"*"</f>
        <v>*SS-1728*</v>
      </c>
    </row>
    <row r="759" spans="1:6" ht="36.75" customHeight="1">
      <c r="A759" s="45" t="s">
        <v>1360</v>
      </c>
      <c r="B759" s="45" t="s">
        <v>1279</v>
      </c>
      <c r="C759" s="104">
        <v>2.5</v>
      </c>
      <c r="D759" s="105">
        <v>2.25</v>
      </c>
      <c r="E759" s="127" t="str">
        <f>"*"&amp;Table1[[#This Row],[Frame]]&amp;"*"</f>
        <v>*SS-1729*</v>
      </c>
    </row>
    <row r="760" spans="1:6" ht="36.75" customHeight="1">
      <c r="A760" s="45" t="s">
        <v>469</v>
      </c>
      <c r="B760" s="45" t="s">
        <v>470</v>
      </c>
      <c r="C760" s="104">
        <v>3.1</v>
      </c>
      <c r="D760" s="105">
        <v>2.8</v>
      </c>
      <c r="E760" s="127" t="str">
        <f>"*"&amp;Table1[[#This Row],[Frame]]&amp;"*"</f>
        <v>*SS-1730*</v>
      </c>
      <c r="F760" s="47" t="s">
        <v>1100</v>
      </c>
    </row>
    <row r="761" spans="1:6" ht="36.75" customHeight="1">
      <c r="A761" s="45" t="s">
        <v>1383</v>
      </c>
      <c r="B761" s="45" t="s">
        <v>1384</v>
      </c>
      <c r="C761" s="104">
        <v>2</v>
      </c>
      <c r="D761" s="105">
        <v>1.25</v>
      </c>
      <c r="E761" s="127" t="str">
        <f>"*"&amp;Table1[[#This Row],[Frame]]&amp;"*"</f>
        <v>*SS-1731*</v>
      </c>
    </row>
    <row r="762" spans="1:6" ht="36.75" customHeight="1">
      <c r="A762" s="45" t="s">
        <v>1374</v>
      </c>
      <c r="B762" s="45" t="s">
        <v>1375</v>
      </c>
      <c r="C762" s="104">
        <v>1.75</v>
      </c>
      <c r="D762" s="105">
        <v>1</v>
      </c>
      <c r="E762" s="127" t="str">
        <f>"*"&amp;Table1[[#This Row],[Frame]]&amp;"*"</f>
        <v>*SS-1732*</v>
      </c>
    </row>
    <row r="763" spans="1:6" ht="36.75" customHeight="1">
      <c r="A763" s="45" t="s">
        <v>461</v>
      </c>
      <c r="B763" s="45" t="s">
        <v>462</v>
      </c>
      <c r="C763" s="104">
        <v>2.35</v>
      </c>
      <c r="D763" s="105">
        <v>1.75</v>
      </c>
      <c r="E763" s="127" t="str">
        <f>"*"&amp;Table1[[#This Row],[Frame]]&amp;"*"</f>
        <v>*SS-1736*</v>
      </c>
      <c r="F763" s="47" t="s">
        <v>1100</v>
      </c>
    </row>
    <row r="764" spans="1:6" ht="36.75" customHeight="1">
      <c r="A764" s="45" t="s">
        <v>571</v>
      </c>
      <c r="B764" s="45" t="s">
        <v>219</v>
      </c>
      <c r="C764" s="104">
        <v>4.0999999999999996</v>
      </c>
      <c r="D764" s="105">
        <v>4.05</v>
      </c>
      <c r="E764" s="127" t="str">
        <f>"*"&amp;Table1[[#This Row],[Frame]]&amp;"*"</f>
        <v>*SS-1768*</v>
      </c>
      <c r="F764" s="47" t="s">
        <v>1100</v>
      </c>
    </row>
    <row r="765" spans="1:6" ht="36.75" customHeight="1">
      <c r="A765" s="45" t="s">
        <v>570</v>
      </c>
      <c r="B765" s="45" t="s">
        <v>159</v>
      </c>
      <c r="C765" s="104">
        <v>2.85</v>
      </c>
      <c r="D765" s="105">
        <v>3.3</v>
      </c>
      <c r="E765" s="127" t="str">
        <f>"*"&amp;Table1[[#This Row],[Frame]]&amp;"*"</f>
        <v>*SS-1769*</v>
      </c>
      <c r="F765" s="47" t="s">
        <v>1100</v>
      </c>
    </row>
    <row r="766" spans="1:6" ht="36.75" customHeight="1">
      <c r="A766" s="45" t="s">
        <v>573</v>
      </c>
      <c r="B766" s="45" t="s">
        <v>385</v>
      </c>
      <c r="C766" s="104">
        <v>1.1000000000000001</v>
      </c>
      <c r="D766" s="105">
        <v>0.5</v>
      </c>
      <c r="E766" s="127" t="str">
        <f>"*"&amp;Table1[[#This Row],[Frame]]&amp;"*"</f>
        <v>*SS-1770*</v>
      </c>
      <c r="F766" s="47" t="s">
        <v>1100</v>
      </c>
    </row>
    <row r="767" spans="1:6" ht="36.75" customHeight="1">
      <c r="A767" s="45" t="s">
        <v>576</v>
      </c>
      <c r="B767" s="45" t="s">
        <v>161</v>
      </c>
      <c r="C767" s="104">
        <v>4.5</v>
      </c>
      <c r="D767" s="105">
        <v>4.05</v>
      </c>
      <c r="E767" s="127" t="str">
        <f>"*"&amp;Table1[[#This Row],[Frame]]&amp;"*"</f>
        <v>*SS-1771*</v>
      </c>
      <c r="F767" s="47" t="s">
        <v>1100</v>
      </c>
    </row>
    <row r="768" spans="1:6" ht="36.75" customHeight="1">
      <c r="A768" s="45" t="s">
        <v>594</v>
      </c>
      <c r="B768" s="45" t="s">
        <v>443</v>
      </c>
      <c r="C768" s="104">
        <v>3.35</v>
      </c>
      <c r="D768" s="105">
        <v>2.5499999999999998</v>
      </c>
      <c r="E768" s="127" t="str">
        <f>"*"&amp;Table1[[#This Row],[Frame]]&amp;"*"</f>
        <v>*SS-1772*</v>
      </c>
      <c r="F768" s="47" t="s">
        <v>1100</v>
      </c>
    </row>
    <row r="769" spans="1:6" ht="36.75" customHeight="1">
      <c r="A769" s="45" t="s">
        <v>604</v>
      </c>
      <c r="B769" s="45" t="s">
        <v>613</v>
      </c>
      <c r="C769" s="104">
        <v>2.9</v>
      </c>
      <c r="D769" s="105">
        <v>3.25</v>
      </c>
      <c r="E769" s="127" t="str">
        <f>"*"&amp;Table1[[#This Row],[Frame]]&amp;"*"</f>
        <v>*SS-1773*</v>
      </c>
      <c r="F769" s="47" t="s">
        <v>1100</v>
      </c>
    </row>
    <row r="770" spans="1:6" ht="36.75" customHeight="1">
      <c r="A770" s="45" t="s">
        <v>578</v>
      </c>
      <c r="B770" s="45" t="s">
        <v>293</v>
      </c>
      <c r="C770" s="104">
        <v>1.1000000000000001</v>
      </c>
      <c r="D770" s="105">
        <v>0.5</v>
      </c>
      <c r="E770" s="127" t="str">
        <f>"*"&amp;Table1[[#This Row],[Frame]]&amp;"*"</f>
        <v>*SS-1774*</v>
      </c>
      <c r="F770" s="47" t="s">
        <v>1100</v>
      </c>
    </row>
    <row r="771" spans="1:6" ht="36.75" customHeight="1">
      <c r="A771" s="45" t="s">
        <v>603</v>
      </c>
      <c r="B771" s="45" t="s">
        <v>614</v>
      </c>
      <c r="C771" s="104">
        <v>3.35</v>
      </c>
      <c r="D771" s="105">
        <v>2.5499999999999998</v>
      </c>
      <c r="E771" s="127" t="str">
        <f>"*"&amp;Table1[[#This Row],[Frame]]&amp;"*"</f>
        <v>*SS-1775*</v>
      </c>
      <c r="F771" s="47" t="s">
        <v>1100</v>
      </c>
    </row>
    <row r="772" spans="1:6" ht="36.75" customHeight="1">
      <c r="A772" s="45" t="s">
        <v>593</v>
      </c>
      <c r="B772" s="45" t="s">
        <v>486</v>
      </c>
      <c r="C772" s="104">
        <v>2.9</v>
      </c>
      <c r="D772" s="105">
        <v>3.25</v>
      </c>
      <c r="E772" s="127" t="str">
        <f>"*"&amp;Table1[[#This Row],[Frame]]&amp;"*"</f>
        <v>*SS-1776*</v>
      </c>
      <c r="F772" s="47" t="s">
        <v>1100</v>
      </c>
    </row>
    <row r="773" spans="1:6" ht="36.75" customHeight="1">
      <c r="A773" s="45" t="s">
        <v>598</v>
      </c>
      <c r="B773" s="45" t="s">
        <v>615</v>
      </c>
      <c r="C773" s="104">
        <v>1.85</v>
      </c>
      <c r="D773" s="105">
        <v>1.55</v>
      </c>
      <c r="E773" s="127" t="str">
        <f>"*"&amp;Table1[[#This Row],[Frame]]&amp;"*"</f>
        <v>*SS-1777*</v>
      </c>
      <c r="F773" s="47" t="s">
        <v>1100</v>
      </c>
    </row>
    <row r="774" spans="1:6" ht="36.75" customHeight="1">
      <c r="A774" s="45" t="s">
        <v>619</v>
      </c>
      <c r="B774" s="45" t="s">
        <v>421</v>
      </c>
      <c r="C774" s="104">
        <v>2.85</v>
      </c>
      <c r="D774" s="105">
        <v>1.8</v>
      </c>
      <c r="E774" s="127" t="str">
        <f>"*"&amp;Table1[[#This Row],[Frame]]&amp;"*"</f>
        <v>*SS-1778*</v>
      </c>
      <c r="F774" s="47" t="s">
        <v>1100</v>
      </c>
    </row>
    <row r="775" spans="1:6" ht="36.75" customHeight="1">
      <c r="A775" s="45" t="s">
        <v>585</v>
      </c>
      <c r="B775" s="45" t="s">
        <v>484</v>
      </c>
      <c r="C775" s="104">
        <v>3</v>
      </c>
      <c r="D775" s="105">
        <v>2</v>
      </c>
      <c r="E775" s="127" t="str">
        <f>"*"&amp;Table1[[#This Row],[Frame]]&amp;"*"</f>
        <v>*SS-1779*</v>
      </c>
      <c r="F775" s="47" t="s">
        <v>1100</v>
      </c>
    </row>
    <row r="776" spans="1:6" ht="36.75" customHeight="1">
      <c r="A776" s="45" t="s">
        <v>592</v>
      </c>
      <c r="B776" s="45" t="s">
        <v>423</v>
      </c>
      <c r="C776" s="104">
        <v>3</v>
      </c>
      <c r="D776" s="105">
        <v>1.75</v>
      </c>
      <c r="E776" s="127" t="str">
        <f>"*"&amp;Table1[[#This Row],[Frame]]&amp;"*"</f>
        <v>*SS-1780*</v>
      </c>
      <c r="F776" s="47" t="s">
        <v>1100</v>
      </c>
    </row>
    <row r="777" spans="1:6" ht="36.75" customHeight="1">
      <c r="A777" s="215" t="s">
        <v>574</v>
      </c>
      <c r="B777" s="215" t="s">
        <v>579</v>
      </c>
      <c r="C777" s="216">
        <v>3</v>
      </c>
      <c r="D777" s="214">
        <v>2.0499999999999998</v>
      </c>
      <c r="E777" s="217" t="str">
        <f>"*"&amp;Table1[[#This Row],[Frame]]&amp;"*"</f>
        <v>*SS-1781*</v>
      </c>
      <c r="F777" s="47" t="s">
        <v>1100</v>
      </c>
    </row>
    <row r="778" spans="1:6" ht="36.75" customHeight="1">
      <c r="A778" s="45" t="s">
        <v>577</v>
      </c>
      <c r="B778" s="45" t="s">
        <v>580</v>
      </c>
      <c r="C778" s="104">
        <v>3.85</v>
      </c>
      <c r="D778" s="105">
        <v>2.5499999999999998</v>
      </c>
      <c r="E778" s="127" t="str">
        <f>"*"&amp;Table1[[#This Row],[Frame]]&amp;"*"</f>
        <v>*SS-1782*</v>
      </c>
      <c r="F778" s="47" t="s">
        <v>1100</v>
      </c>
    </row>
    <row r="779" spans="1:6" ht="36.75" customHeight="1">
      <c r="A779" s="45" t="s">
        <v>587</v>
      </c>
      <c r="B779" s="45" t="s">
        <v>425</v>
      </c>
      <c r="C779" s="104">
        <v>2.5</v>
      </c>
      <c r="D779" s="105">
        <v>1.55</v>
      </c>
      <c r="E779" s="127" t="str">
        <f>"*"&amp;Table1[[#This Row],[Frame]]&amp;"*"</f>
        <v>*SS-1783*</v>
      </c>
      <c r="F779" s="47" t="s">
        <v>1100</v>
      </c>
    </row>
    <row r="780" spans="1:6" ht="36.75" customHeight="1">
      <c r="A780" s="45" t="s">
        <v>588</v>
      </c>
      <c r="B780" s="45" t="s">
        <v>488</v>
      </c>
      <c r="C780" s="104">
        <v>3</v>
      </c>
      <c r="D780" s="105">
        <v>2.5499999999999998</v>
      </c>
      <c r="E780" s="127" t="str">
        <f>"*"&amp;Table1[[#This Row],[Frame]]&amp;"*"</f>
        <v>*SS-1784*</v>
      </c>
      <c r="F780" s="47" t="s">
        <v>1100</v>
      </c>
    </row>
    <row r="781" spans="1:6" ht="36.75" customHeight="1">
      <c r="A781" s="45" t="s">
        <v>591</v>
      </c>
      <c r="B781" s="45" t="s">
        <v>427</v>
      </c>
      <c r="C781" s="104">
        <v>3.05</v>
      </c>
      <c r="D781" s="105">
        <v>2</v>
      </c>
      <c r="E781" s="127" t="str">
        <f>"*"&amp;Table1[[#This Row],[Frame]]&amp;"*"</f>
        <v>*SS-1785*</v>
      </c>
      <c r="F781" s="47" t="s">
        <v>1100</v>
      </c>
    </row>
    <row r="782" spans="1:6" ht="36.75" customHeight="1">
      <c r="A782" s="45" t="s">
        <v>583</v>
      </c>
      <c r="B782" s="45" t="s">
        <v>415</v>
      </c>
      <c r="C782" s="104">
        <v>3.25</v>
      </c>
      <c r="D782" s="105">
        <v>2.2999999999999998</v>
      </c>
      <c r="E782" s="127" t="str">
        <f>"*"&amp;Table1[[#This Row],[Frame]]&amp;"*"</f>
        <v>*SS-1786*</v>
      </c>
      <c r="F782" s="47" t="s">
        <v>1100</v>
      </c>
    </row>
    <row r="783" spans="1:6" ht="36.75" customHeight="1">
      <c r="A783" s="215" t="s">
        <v>586</v>
      </c>
      <c r="B783" s="215" t="s">
        <v>429</v>
      </c>
      <c r="C783" s="216">
        <v>2.5</v>
      </c>
      <c r="D783" s="214">
        <v>1.55</v>
      </c>
      <c r="E783" s="217" t="str">
        <f>"*"&amp;Table1[[#This Row],[Frame]]&amp;"*"</f>
        <v>*SS-1787*</v>
      </c>
      <c r="F783" s="47" t="s">
        <v>1100</v>
      </c>
    </row>
    <row r="784" spans="1:6" ht="36.75" customHeight="1">
      <c r="A784" s="45" t="s">
        <v>590</v>
      </c>
      <c r="B784" s="45" t="s">
        <v>431</v>
      </c>
      <c r="C784" s="104">
        <v>3</v>
      </c>
      <c r="D784" s="105">
        <v>2.5499999999999998</v>
      </c>
      <c r="E784" s="127" t="str">
        <f>"*"&amp;Table1[[#This Row],[Frame]]&amp;"*"</f>
        <v>*SS-1788*</v>
      </c>
      <c r="F784" s="47" t="s">
        <v>1100</v>
      </c>
    </row>
    <row r="785" spans="1:6" ht="36.75" customHeight="1">
      <c r="A785" s="45" t="s">
        <v>589</v>
      </c>
      <c r="B785" s="45" t="s">
        <v>427</v>
      </c>
      <c r="C785" s="104">
        <v>3.05</v>
      </c>
      <c r="D785" s="105">
        <v>2</v>
      </c>
      <c r="E785" s="127" t="str">
        <f>"*"&amp;Table1[[#This Row],[Frame]]&amp;"*"</f>
        <v>*SS-1789*</v>
      </c>
      <c r="F785" s="47" t="s">
        <v>1100</v>
      </c>
    </row>
    <row r="786" spans="1:6" ht="36.75" customHeight="1">
      <c r="A786" s="45" t="s">
        <v>575</v>
      </c>
      <c r="B786" s="45" t="s">
        <v>581</v>
      </c>
      <c r="C786" s="104">
        <v>3</v>
      </c>
      <c r="D786" s="105">
        <v>1.55</v>
      </c>
      <c r="E786" s="127" t="str">
        <f>"*"&amp;Table1[[#This Row],[Frame]]&amp;"*"</f>
        <v>*SS-1790*</v>
      </c>
      <c r="F786" s="47" t="s">
        <v>1100</v>
      </c>
    </row>
    <row r="787" spans="1:6" ht="36.75" customHeight="1">
      <c r="A787" s="215" t="s">
        <v>584</v>
      </c>
      <c r="B787" s="215" t="s">
        <v>417</v>
      </c>
      <c r="C787" s="216">
        <v>3.6</v>
      </c>
      <c r="D787" s="214">
        <v>2.5499999999999998</v>
      </c>
      <c r="E787" s="217" t="str">
        <f>"*"&amp;Table1[[#This Row],[Frame]]&amp;"*"</f>
        <v>*SS-1791*</v>
      </c>
      <c r="F787" s="47" t="s">
        <v>1100</v>
      </c>
    </row>
    <row r="788" spans="1:6" ht="36.75" customHeight="1">
      <c r="A788" s="45" t="s">
        <v>688</v>
      </c>
      <c r="B788" s="45" t="s">
        <v>626</v>
      </c>
      <c r="C788" s="104">
        <v>1.5</v>
      </c>
      <c r="D788" s="105">
        <v>1</v>
      </c>
      <c r="E788" s="127" t="str">
        <f>"*"&amp;Table1[[#This Row],[Frame]]&amp;"*"</f>
        <v>*SS-1831*</v>
      </c>
      <c r="F788" s="47" t="s">
        <v>1100</v>
      </c>
    </row>
    <row r="789" spans="1:6" ht="36.75" customHeight="1">
      <c r="A789" s="45" t="s">
        <v>671</v>
      </c>
      <c r="B789" s="45" t="s">
        <v>628</v>
      </c>
      <c r="C789" s="104">
        <v>1.75</v>
      </c>
      <c r="D789" s="105">
        <v>1.3</v>
      </c>
      <c r="E789" s="127" t="str">
        <f>"*"&amp;Table1[[#This Row],[Frame]]&amp;"*"</f>
        <v>*SS-1832*</v>
      </c>
      <c r="F789" s="47" t="s">
        <v>1100</v>
      </c>
    </row>
    <row r="790" spans="1:6" ht="36.75" customHeight="1">
      <c r="A790" s="45" t="s">
        <v>670</v>
      </c>
      <c r="B790" s="45" t="s">
        <v>625</v>
      </c>
      <c r="C790" s="104">
        <v>2</v>
      </c>
      <c r="D790" s="105">
        <v>1.3</v>
      </c>
      <c r="E790" s="127" t="str">
        <f>"*"&amp;Table1[[#This Row],[Frame]]&amp;"*"</f>
        <v>*SS-1833*</v>
      </c>
      <c r="F790" s="47" t="s">
        <v>1100</v>
      </c>
    </row>
    <row r="791" spans="1:6" ht="36.75" customHeight="1">
      <c r="A791" s="45" t="s">
        <v>676</v>
      </c>
      <c r="B791" s="45" t="s">
        <v>627</v>
      </c>
      <c r="C791" s="104">
        <v>2</v>
      </c>
      <c r="D791" s="105">
        <v>1.4</v>
      </c>
      <c r="E791" s="127" t="str">
        <f>"*"&amp;Table1[[#This Row],[Frame]]&amp;"*"</f>
        <v>*SS-1834*</v>
      </c>
      <c r="F791" s="47" t="s">
        <v>1100</v>
      </c>
    </row>
    <row r="792" spans="1:6" ht="36.75" customHeight="1">
      <c r="A792" s="45" t="s">
        <v>829</v>
      </c>
      <c r="B792" s="45" t="s">
        <v>830</v>
      </c>
      <c r="C792" s="104">
        <v>2.35</v>
      </c>
      <c r="D792" s="105">
        <v>2.2999999999999998</v>
      </c>
      <c r="E792" s="127" t="str">
        <f>"*"&amp;Table1[[#This Row],[Frame]]&amp;"*"</f>
        <v>*SS-1991*</v>
      </c>
      <c r="F792" s="47" t="s">
        <v>1100</v>
      </c>
    </row>
    <row r="793" spans="1:6" ht="36.75" customHeight="1">
      <c r="A793" s="45" t="s">
        <v>956</v>
      </c>
      <c r="B793" s="45" t="s">
        <v>960</v>
      </c>
      <c r="C793" s="104">
        <v>4</v>
      </c>
      <c r="D793" s="105">
        <v>4.05</v>
      </c>
      <c r="E793" s="127" t="str">
        <f>"*"&amp;Table1[[#This Row],[Frame]]&amp;"*"</f>
        <v>*SS-2138*</v>
      </c>
      <c r="F793" s="47" t="s">
        <v>1100</v>
      </c>
    </row>
    <row r="794" spans="1:6" ht="36.75" customHeight="1">
      <c r="A794" s="45" t="s">
        <v>976</v>
      </c>
      <c r="B794" s="45" t="s">
        <v>983</v>
      </c>
      <c r="C794" s="104">
        <v>4</v>
      </c>
      <c r="D794" s="105">
        <v>4.05</v>
      </c>
      <c r="E794" s="127" t="str">
        <f>"*"&amp;Table1[[#This Row],[Frame]]&amp;"*"</f>
        <v>*SS-2145*</v>
      </c>
      <c r="F794" s="47" t="s">
        <v>1100</v>
      </c>
    </row>
    <row r="795" spans="1:6" ht="36.75" customHeight="1">
      <c r="A795" s="45" t="s">
        <v>1038</v>
      </c>
      <c r="B795" s="45" t="s">
        <v>1039</v>
      </c>
      <c r="C795" s="104">
        <v>2.5</v>
      </c>
      <c r="D795" s="105">
        <v>3</v>
      </c>
      <c r="E795" s="127" t="str">
        <f>"*"&amp;Table1[[#This Row],[Frame]]&amp;"*"</f>
        <v>*SS-2169*</v>
      </c>
      <c r="F795" s="47" t="s">
        <v>1100</v>
      </c>
    </row>
    <row r="796" spans="1:6" ht="36.75" customHeight="1">
      <c r="A796" s="45" t="s">
        <v>1016</v>
      </c>
      <c r="B796" s="45" t="s">
        <v>1017</v>
      </c>
      <c r="C796" s="104">
        <v>3</v>
      </c>
      <c r="D796" s="105">
        <v>2</v>
      </c>
      <c r="E796" s="127" t="str">
        <f>"*"&amp;Table1[[#This Row],[Frame]]&amp;"*"</f>
        <v>*SS-2170*</v>
      </c>
      <c r="F796" s="47" t="s">
        <v>1100</v>
      </c>
    </row>
    <row r="797" spans="1:6" ht="36.75" customHeight="1">
      <c r="A797" s="45" t="s">
        <v>1015</v>
      </c>
      <c r="B797" s="45" t="s">
        <v>1018</v>
      </c>
      <c r="C797" s="104">
        <v>3</v>
      </c>
      <c r="D797" s="105">
        <v>1.75</v>
      </c>
      <c r="E797" s="127" t="str">
        <f>"*"&amp;Table1[[#This Row],[Frame]]&amp;"*"</f>
        <v>*SS-2173*</v>
      </c>
      <c r="F797" s="47" t="s">
        <v>1100</v>
      </c>
    </row>
    <row r="798" spans="1:6" ht="36.75" customHeight="1">
      <c r="A798" s="45" t="s">
        <v>995</v>
      </c>
      <c r="B798" s="45" t="s">
        <v>1006</v>
      </c>
      <c r="C798" s="104">
        <v>1.75</v>
      </c>
      <c r="D798" s="105">
        <v>1</v>
      </c>
      <c r="E798" s="127" t="str">
        <f>"*"&amp;Table1[[#This Row],[Frame]]&amp;"*"</f>
        <v>*SS-2180*</v>
      </c>
      <c r="F798" s="47" t="s">
        <v>1100</v>
      </c>
    </row>
    <row r="799" spans="1:6" ht="36.75" customHeight="1">
      <c r="A799" s="45" t="s">
        <v>1003</v>
      </c>
      <c r="B799" s="45" t="s">
        <v>1394</v>
      </c>
      <c r="C799" s="104">
        <v>2.25</v>
      </c>
      <c r="D799" s="105">
        <v>1.5</v>
      </c>
      <c r="E799" s="127" t="str">
        <f>"*"&amp;Table1[[#This Row],[Frame]]&amp;"*"</f>
        <v>*SS-2183*</v>
      </c>
      <c r="F799" s="47" t="s">
        <v>1100</v>
      </c>
    </row>
    <row r="800" spans="1:6" ht="36.75" customHeight="1">
      <c r="A800" s="45" t="s">
        <v>1257</v>
      </c>
      <c r="B800" s="45" t="s">
        <v>1262</v>
      </c>
      <c r="C800" s="104">
        <v>4.0999999999999996</v>
      </c>
      <c r="D800" s="105">
        <v>4.05</v>
      </c>
      <c r="E800" s="127" t="str">
        <f>"*"&amp;Table1[[#This Row],[Frame]]&amp;"*"</f>
        <v>*SS-2636*</v>
      </c>
    </row>
    <row r="801" spans="1:5" ht="36.75" customHeight="1">
      <c r="A801" s="45" t="s">
        <v>1276</v>
      </c>
      <c r="B801" s="45" t="s">
        <v>1083</v>
      </c>
      <c r="C801" s="104">
        <v>3.15</v>
      </c>
      <c r="D801" s="105">
        <v>2.75</v>
      </c>
      <c r="E801" s="127" t="str">
        <f>"*"&amp;Table1[[#This Row],[Frame]]&amp;"*"</f>
        <v>*SS-2699*</v>
      </c>
    </row>
    <row r="802" spans="1:5" ht="36.75" customHeight="1">
      <c r="A802" s="45" t="s">
        <v>1270</v>
      </c>
      <c r="B802" s="45" t="s">
        <v>1274</v>
      </c>
      <c r="C802" s="104">
        <v>3.85</v>
      </c>
      <c r="D802" s="105">
        <v>2.25</v>
      </c>
      <c r="E802" s="127" t="str">
        <f>"*"&amp;Table1[[#This Row],[Frame]]&amp;"*"</f>
        <v>*SS-2705*</v>
      </c>
    </row>
    <row r="803" spans="1:5" ht="36.75" customHeight="1">
      <c r="A803" s="45" t="s">
        <v>1277</v>
      </c>
      <c r="B803" s="45" t="s">
        <v>1280</v>
      </c>
      <c r="C803" s="104">
        <v>3.1</v>
      </c>
      <c r="D803" s="105">
        <v>2.75</v>
      </c>
      <c r="E803" s="127" t="str">
        <f>"*"&amp;Table1[[#This Row],[Frame]]&amp;"*"</f>
        <v>*SS-2709*</v>
      </c>
    </row>
    <row r="804" spans="1:5" ht="36.75" customHeight="1">
      <c r="A804" s="45" t="s">
        <v>1303</v>
      </c>
      <c r="B804" s="45" t="s">
        <v>1307</v>
      </c>
      <c r="C804" s="104">
        <v>4.3499999999999996</v>
      </c>
      <c r="D804" s="105">
        <v>4.55</v>
      </c>
      <c r="E804" s="127" t="str">
        <f>"*"&amp;Table1[[#This Row],[Frame]]&amp;"*"</f>
        <v>*SS-2723*</v>
      </c>
    </row>
    <row r="805" spans="1:5" ht="36.75" customHeight="1">
      <c r="A805" s="45" t="s">
        <v>1388</v>
      </c>
      <c r="B805" s="45" t="s">
        <v>1389</v>
      </c>
      <c r="C805" s="104">
        <v>2.85</v>
      </c>
      <c r="D805" s="105">
        <v>3.3</v>
      </c>
      <c r="E805" s="127" t="str">
        <f>"*"&amp;Table1[[#This Row],[Frame]]&amp;"*"</f>
        <v>*SS-3429*</v>
      </c>
    </row>
    <row r="806" spans="1:5" ht="36.75" customHeight="1">
      <c r="A806" s="45" t="s">
        <v>1395</v>
      </c>
      <c r="B806" s="45" t="s">
        <v>1398</v>
      </c>
      <c r="C806" s="104">
        <v>3</v>
      </c>
      <c r="D806" s="105">
        <v>2</v>
      </c>
      <c r="E806" s="127" t="str">
        <f>"*"&amp;Table1[[#This Row],[Frame]]&amp;"*"</f>
        <v>*SS-3434*</v>
      </c>
    </row>
    <row r="807" spans="1:5" ht="36.75" customHeight="1">
      <c r="A807" s="45" t="s">
        <v>1533</v>
      </c>
      <c r="B807" s="45" t="s">
        <v>1534</v>
      </c>
      <c r="C807" s="104">
        <v>2.1</v>
      </c>
      <c r="D807" s="105">
        <v>3.3</v>
      </c>
      <c r="E807" s="127" t="str">
        <f>"*"&amp;Table1[[#This Row],[Frame]]&amp;"*"</f>
        <v>*SS-3439*</v>
      </c>
    </row>
    <row r="808" spans="1:5" ht="36.75" customHeight="1">
      <c r="A808" s="45" t="s">
        <v>1396</v>
      </c>
      <c r="B808" s="45" t="s">
        <v>1399</v>
      </c>
      <c r="C808" s="104">
        <v>3</v>
      </c>
      <c r="D808" s="105">
        <v>3.5</v>
      </c>
      <c r="E808" s="127" t="str">
        <f>"*"&amp;Table1[[#This Row],[Frame]]&amp;"*"</f>
        <v>*SS-3568*</v>
      </c>
    </row>
    <row r="809" spans="1:5" ht="36.75" customHeight="1">
      <c r="A809" s="45" t="s">
        <v>1504</v>
      </c>
      <c r="B809" s="45" t="s">
        <v>1505</v>
      </c>
      <c r="C809" s="104">
        <v>0.5</v>
      </c>
      <c r="D809" s="105">
        <v>0</v>
      </c>
      <c r="E809" s="127" t="str">
        <f>"*"&amp;Table1[[#This Row],[Frame]]&amp;"*"</f>
        <v>*SS-3876*</v>
      </c>
    </row>
    <row r="810" spans="1:5" ht="36.75" customHeight="1">
      <c r="A810" s="45" t="s">
        <v>1496</v>
      </c>
      <c r="B810" s="45" t="s">
        <v>1503</v>
      </c>
      <c r="C810" s="104">
        <v>0.5</v>
      </c>
      <c r="D810" s="105">
        <v>0</v>
      </c>
      <c r="E810" s="127" t="str">
        <f>"*"&amp;Table1[[#This Row],[Frame]]&amp;"*"</f>
        <v>*SS-3877*</v>
      </c>
    </row>
    <row r="811" spans="1:5" ht="36.75" customHeight="1">
      <c r="A811" s="45" t="s">
        <v>1499</v>
      </c>
      <c r="B811" s="45" t="s">
        <v>1510</v>
      </c>
      <c r="C811" s="104">
        <v>2.5</v>
      </c>
      <c r="D811" s="105">
        <v>1.75</v>
      </c>
      <c r="E811" s="127" t="str">
        <f>"*"&amp;Table1[[#This Row],[Frame]]&amp;"*"</f>
        <v>*SS-3878*</v>
      </c>
    </row>
    <row r="812" spans="1:5" ht="36.75" customHeight="1">
      <c r="A812" s="45" t="s">
        <v>1500</v>
      </c>
      <c r="B812" s="45" t="s">
        <v>1511</v>
      </c>
      <c r="C812" s="104">
        <v>2</v>
      </c>
      <c r="D812" s="105">
        <v>1.5</v>
      </c>
      <c r="E812" s="127" t="str">
        <f>"*"&amp;Table1[[#This Row],[Frame]]&amp;"*"</f>
        <v>*SS-3879*</v>
      </c>
    </row>
    <row r="813" spans="1:5" ht="36.75" customHeight="1">
      <c r="A813" s="45" t="s">
        <v>1497</v>
      </c>
      <c r="B813" s="45" t="s">
        <v>1509</v>
      </c>
      <c r="C813" s="104">
        <v>2.5</v>
      </c>
      <c r="D813" s="105">
        <v>1.75</v>
      </c>
      <c r="E813" s="127" t="str">
        <f>"*"&amp;Table1[[#This Row],[Frame]]&amp;"*"</f>
        <v>*SS-3880*</v>
      </c>
    </row>
    <row r="814" spans="1:5" ht="36.75" customHeight="1">
      <c r="A814" s="45" t="s">
        <v>1498</v>
      </c>
      <c r="B814" s="45" t="s">
        <v>1508</v>
      </c>
      <c r="C814" s="104">
        <v>2</v>
      </c>
      <c r="D814" s="105">
        <v>1.5</v>
      </c>
      <c r="E814" s="127" t="str">
        <f>"*"&amp;Table1[[#This Row],[Frame]]&amp;"*"</f>
        <v>*SS-3881*</v>
      </c>
    </row>
    <row r="815" spans="1:5" ht="36.75" customHeight="1">
      <c r="A815" s="45" t="s">
        <v>1501</v>
      </c>
      <c r="B815" s="45" t="s">
        <v>1507</v>
      </c>
      <c r="C815" s="104">
        <v>2.5</v>
      </c>
      <c r="D815" s="105">
        <v>1.75</v>
      </c>
      <c r="E815" s="127" t="str">
        <f>"*"&amp;Table1[[#This Row],[Frame]]&amp;"*"</f>
        <v>*SS-3882*</v>
      </c>
    </row>
    <row r="816" spans="1:5" ht="36.75" customHeight="1">
      <c r="A816" s="45" t="s">
        <v>1502</v>
      </c>
      <c r="B816" s="45" t="s">
        <v>1506</v>
      </c>
      <c r="C816" s="104">
        <v>2</v>
      </c>
      <c r="D816" s="105">
        <v>1.5</v>
      </c>
      <c r="E816" s="127" t="str">
        <f>"*"&amp;Table1[[#This Row],[Frame]]&amp;"*"</f>
        <v>*SS-3883*</v>
      </c>
    </row>
    <row r="817" spans="1:6" ht="36.75" customHeight="1">
      <c r="A817" s="45" t="s">
        <v>1535</v>
      </c>
      <c r="B817" s="45" t="s">
        <v>1537</v>
      </c>
      <c r="C817" s="104">
        <v>2.1</v>
      </c>
      <c r="D817" s="105">
        <v>3.3</v>
      </c>
      <c r="E817" s="127" t="str">
        <f>"*"&amp;Table1[[#This Row],[Frame]]&amp;"*"</f>
        <v>*SS-3934*</v>
      </c>
    </row>
    <row r="818" spans="1:6" ht="36.75" customHeight="1">
      <c r="A818" s="45" t="s">
        <v>357</v>
      </c>
      <c r="B818" s="45" t="s">
        <v>358</v>
      </c>
      <c r="C818" s="104">
        <v>2.1</v>
      </c>
      <c r="D818" s="105">
        <v>1</v>
      </c>
      <c r="E818" s="127" t="str">
        <f>"*"&amp;Table1[[#This Row],[Frame]]&amp;"*"</f>
        <v>*SS-4860*</v>
      </c>
      <c r="F818" s="47" t="s">
        <v>1100</v>
      </c>
    </row>
    <row r="819" spans="1:6" ht="36.75" customHeight="1">
      <c r="A819" s="45" t="s">
        <v>1512</v>
      </c>
      <c r="B819" s="45" t="s">
        <v>1481</v>
      </c>
      <c r="C819" s="104">
        <v>4.5</v>
      </c>
      <c r="D819" s="105">
        <v>0</v>
      </c>
      <c r="E819" s="127" t="str">
        <f>"*"&amp;Table1[[#This Row],[Frame]]&amp;"*"</f>
        <v>*ST3175A43A*</v>
      </c>
    </row>
    <row r="820" spans="1:6" ht="36.75" customHeight="1">
      <c r="A820" s="45" t="s">
        <v>324</v>
      </c>
      <c r="B820" s="45" t="s">
        <v>325</v>
      </c>
      <c r="C820" s="104">
        <v>3.25</v>
      </c>
      <c r="D820" s="105">
        <v>11.5</v>
      </c>
      <c r="E820" s="127" t="str">
        <f>"*"&amp;Table1[[#This Row],[Frame]]&amp;"*"</f>
        <v>*V-100*</v>
      </c>
      <c r="F820" s="47" t="s">
        <v>1101</v>
      </c>
    </row>
    <row r="821" spans="1:6" ht="36.75" customHeight="1">
      <c r="A821" s="45" t="s">
        <v>326</v>
      </c>
      <c r="B821" s="45" t="s">
        <v>327</v>
      </c>
      <c r="C821" s="104">
        <v>2.75</v>
      </c>
      <c r="D821" s="105">
        <v>8.5</v>
      </c>
      <c r="E821" s="127" t="str">
        <f>"*"&amp;Table1[[#This Row],[Frame]]&amp;"*"</f>
        <v>*V-101*</v>
      </c>
      <c r="F821" s="47" t="s">
        <v>1101</v>
      </c>
    </row>
    <row r="822" spans="1:6" ht="36.75" customHeight="1">
      <c r="A822" s="45" t="s">
        <v>328</v>
      </c>
      <c r="B822" s="45" t="s">
        <v>329</v>
      </c>
      <c r="C822" s="104">
        <v>3</v>
      </c>
      <c r="D822" s="105">
        <v>11.5</v>
      </c>
      <c r="E822" s="127" t="str">
        <f>"*"&amp;Table1[[#This Row],[Frame]]&amp;"*"</f>
        <v>*V-200*</v>
      </c>
      <c r="F822" s="47" t="s">
        <v>1101</v>
      </c>
    </row>
    <row r="823" spans="1:6" ht="36.75" customHeight="1">
      <c r="A823" s="45" t="s">
        <v>330</v>
      </c>
      <c r="B823" s="45" t="s">
        <v>331</v>
      </c>
      <c r="C823" s="104">
        <v>2.5</v>
      </c>
      <c r="D823" s="105">
        <v>8</v>
      </c>
      <c r="E823" s="127" t="str">
        <f>"*"&amp;Table1[[#This Row],[Frame]]&amp;"*"</f>
        <v>*V-201*</v>
      </c>
      <c r="F823" s="47" t="s">
        <v>1101</v>
      </c>
    </row>
    <row r="824" spans="1:6" ht="36.75" customHeight="1">
      <c r="A824" s="45" t="s">
        <v>332</v>
      </c>
      <c r="B824" s="45" t="s">
        <v>333</v>
      </c>
      <c r="C824" s="104">
        <v>2.75</v>
      </c>
      <c r="D824" s="105">
        <v>8.5</v>
      </c>
      <c r="E824" s="127" t="str">
        <f>"*"&amp;Table1[[#This Row],[Frame]]&amp;"*"</f>
        <v>*V-202*</v>
      </c>
      <c r="F824" s="47" t="s">
        <v>1101</v>
      </c>
    </row>
    <row r="825" spans="1:6" ht="36.75" customHeight="1">
      <c r="A825" s="45" t="s">
        <v>334</v>
      </c>
      <c r="B825" s="45" t="s">
        <v>335</v>
      </c>
      <c r="C825" s="104">
        <v>1.5</v>
      </c>
      <c r="D825" s="105">
        <v>1.75</v>
      </c>
      <c r="E825" s="127" t="str">
        <f>"*"&amp;Table1[[#This Row],[Frame]]&amp;"*"</f>
        <v>*V-203*</v>
      </c>
      <c r="F825" s="47" t="s">
        <v>1101</v>
      </c>
    </row>
    <row r="826" spans="1:6" ht="36.75" customHeight="1">
      <c r="A826" s="45" t="s">
        <v>336</v>
      </c>
      <c r="B826" s="45" t="s">
        <v>337</v>
      </c>
      <c r="C826" s="104">
        <v>3.5</v>
      </c>
      <c r="D826" s="105">
        <v>11.5</v>
      </c>
      <c r="E826" s="127" t="str">
        <f>"*"&amp;Table1[[#This Row],[Frame]]&amp;"*"</f>
        <v>*V-300*</v>
      </c>
      <c r="F826" s="47" t="s">
        <v>1101</v>
      </c>
    </row>
    <row r="827" spans="1:6" ht="36.75" customHeight="1">
      <c r="A827" s="45" t="s">
        <v>338</v>
      </c>
      <c r="B827" s="45" t="s">
        <v>339</v>
      </c>
      <c r="C827" s="104">
        <v>4</v>
      </c>
      <c r="D827" s="105">
        <v>17.5</v>
      </c>
      <c r="E827" s="127" t="str">
        <f>"*"&amp;Table1[[#This Row],[Frame]]&amp;"*"</f>
        <v>*V-304*</v>
      </c>
      <c r="F827" s="47" t="s">
        <v>1101</v>
      </c>
    </row>
    <row r="828" spans="1:6" ht="36.75" customHeight="1">
      <c r="A828" s="45" t="s">
        <v>340</v>
      </c>
      <c r="B828" s="45" t="s">
        <v>341</v>
      </c>
      <c r="C828" s="104">
        <v>3</v>
      </c>
      <c r="D828" s="105">
        <v>8.5</v>
      </c>
      <c r="E828" s="127" t="str">
        <f>"*"&amp;Table1[[#This Row],[Frame]]&amp;"*"</f>
        <v>*V-307*</v>
      </c>
      <c r="F828" s="47" t="s">
        <v>1101</v>
      </c>
    </row>
    <row r="829" spans="1:6" ht="36.75" customHeight="1">
      <c r="A829" s="45" t="s">
        <v>695</v>
      </c>
      <c r="B829" s="45" t="s">
        <v>696</v>
      </c>
      <c r="C829" s="104">
        <v>3.5</v>
      </c>
      <c r="D829" s="105"/>
      <c r="E829" s="127" t="str">
        <f>"*"&amp;Table1[[#This Row],[Frame]]&amp;"*"</f>
        <v>*V601D*</v>
      </c>
      <c r="F829" s="47" t="s">
        <v>1101</v>
      </c>
    </row>
    <row r="830" spans="1:6" ht="36.75" customHeight="1">
      <c r="A830" s="45" t="s">
        <v>1838</v>
      </c>
      <c r="B830" s="45" t="s">
        <v>1839</v>
      </c>
      <c r="C830" s="104">
        <v>3</v>
      </c>
      <c r="D830" s="105">
        <v>2.15</v>
      </c>
      <c r="E830" s="127" t="str">
        <f>"*"&amp;Table1[[#This Row],[Frame]]&amp;"*"</f>
        <v>*F639-02*</v>
      </c>
    </row>
    <row r="831" spans="1:6" ht="36.75" customHeight="1">
      <c r="A831" s="363" t="s">
        <v>1840</v>
      </c>
      <c r="B831" s="363" t="s">
        <v>1831</v>
      </c>
      <c r="C831" s="364">
        <v>4</v>
      </c>
      <c r="D831" s="365">
        <v>2</v>
      </c>
      <c r="E831" s="366" t="str">
        <f>"*"&amp;Table1[[#This Row],[Frame]]&amp;"*"</f>
        <v>*F903-03*</v>
      </c>
      <c r="F831" s="367"/>
    </row>
    <row r="832" spans="1:6" ht="36.75" customHeight="1">
      <c r="A832" s="363" t="s">
        <v>1841</v>
      </c>
      <c r="B832" s="363" t="s">
        <v>1811</v>
      </c>
      <c r="C832" s="364">
        <v>1</v>
      </c>
      <c r="D832" s="365">
        <v>0.5</v>
      </c>
      <c r="E832" s="366" t="str">
        <f>"*"&amp;Table1[[#This Row],[Frame]]&amp;"*"</f>
        <v>*F903-23*</v>
      </c>
      <c r="F832" s="367"/>
    </row>
    <row r="833" spans="1:6" ht="36.75" customHeight="1">
      <c r="A833" s="363" t="s">
        <v>1848</v>
      </c>
      <c r="B833" s="363" t="s">
        <v>1850</v>
      </c>
      <c r="C833" s="364">
        <v>2.5</v>
      </c>
      <c r="D833" s="365">
        <v>1</v>
      </c>
      <c r="E833" s="366" t="str">
        <f>"*"&amp;Table1[[#This Row],[Frame]]&amp;"*"</f>
        <v>*F641-33R*</v>
      </c>
      <c r="F833" s="367"/>
    </row>
    <row r="834" spans="1:6" ht="36.75" customHeight="1">
      <c r="A834" s="363" t="s">
        <v>1849</v>
      </c>
      <c r="B834" s="363" t="s">
        <v>1851</v>
      </c>
      <c r="C834" s="364">
        <v>2.5</v>
      </c>
      <c r="D834" s="365">
        <v>1</v>
      </c>
      <c r="E834" s="366" t="str">
        <f>"*"&amp;Table1[[#This Row],[Frame]]&amp;"*"</f>
        <v>*F641-33L*</v>
      </c>
      <c r="F834" s="367"/>
    </row>
    <row r="835" spans="1:6" ht="36.75" customHeight="1">
      <c r="A835" s="363" t="s">
        <v>1852</v>
      </c>
      <c r="B835" s="363" t="s">
        <v>1853</v>
      </c>
      <c r="C835" s="364">
        <v>3</v>
      </c>
      <c r="D835" s="365">
        <v>2.5</v>
      </c>
      <c r="E835" s="366" t="str">
        <f>"*"&amp;Table1[[#This Row],[Frame]]&amp;"*"</f>
        <v>*F533-03*</v>
      </c>
      <c r="F835" s="367"/>
    </row>
    <row r="836" spans="1:6" ht="36.75" customHeight="1">
      <c r="A836" s="363" t="s">
        <v>1855</v>
      </c>
      <c r="B836" s="363" t="s">
        <v>1857</v>
      </c>
      <c r="C836" s="364">
        <v>2.75</v>
      </c>
      <c r="D836" s="365">
        <v>1.75</v>
      </c>
      <c r="E836" s="366" t="str">
        <f>"*"&amp;Table1[[#This Row],[Frame]]&amp;"*"</f>
        <v>*F842-01*</v>
      </c>
      <c r="F836" s="367"/>
    </row>
    <row r="837" spans="1:6" ht="36.75" customHeight="1">
      <c r="A837" s="363" t="s">
        <v>1856</v>
      </c>
      <c r="B837" s="363" t="s">
        <v>1858</v>
      </c>
      <c r="C837" s="364">
        <v>3</v>
      </c>
      <c r="D837" s="365">
        <v>2</v>
      </c>
      <c r="E837" s="366" t="str">
        <f>"*"&amp;Table1[[#This Row],[Frame]]&amp;"*"</f>
        <v>*F842-02*</v>
      </c>
      <c r="F837" s="367"/>
    </row>
    <row r="838" spans="1:6" ht="36.75" customHeight="1">
      <c r="A838" s="363" t="s">
        <v>1854</v>
      </c>
      <c r="B838" s="363" t="s">
        <v>1859</v>
      </c>
      <c r="C838" s="364">
        <v>3.5</v>
      </c>
      <c r="D838" s="365">
        <v>2.25</v>
      </c>
      <c r="E838" s="366" t="str">
        <f>"*"&amp;Table1[[#This Row],[Frame]]&amp;"*"</f>
        <v>*F842-03*</v>
      </c>
      <c r="F838" s="367"/>
    </row>
    <row r="839" spans="1:6" ht="36.75" customHeight="1">
      <c r="A839" s="215" t="s">
        <v>1860</v>
      </c>
      <c r="B839" s="215" t="s">
        <v>1863</v>
      </c>
      <c r="C839" s="216">
        <v>3.85</v>
      </c>
      <c r="D839" s="214">
        <v>2.75</v>
      </c>
      <c r="E839" s="217" t="str">
        <f>"*"&amp;Table1[[#This Row],[Frame]]&amp;"*"</f>
        <v>*F841-13R*</v>
      </c>
    </row>
    <row r="840" spans="1:6" ht="36.75" customHeight="1">
      <c r="A840" s="45" t="s">
        <v>1861</v>
      </c>
      <c r="B840" s="45" t="s">
        <v>1862</v>
      </c>
      <c r="C840" s="104">
        <v>3</v>
      </c>
      <c r="D840" s="105">
        <v>2.5</v>
      </c>
      <c r="E840" s="127" t="str">
        <f>"*"&amp;Table1[[#This Row],[Frame]]&amp;"*"</f>
        <v>*F841-03L*</v>
      </c>
    </row>
    <row r="841" spans="1:6" ht="36.75" customHeight="1">
      <c r="A841" s="372" t="s">
        <v>1864</v>
      </c>
      <c r="B841" s="372" t="s">
        <v>1865</v>
      </c>
      <c r="C841" s="373">
        <v>1</v>
      </c>
      <c r="D841" s="374">
        <v>0.5</v>
      </c>
      <c r="E841" s="375" t="str">
        <f>"*"&amp;Table1[[#This Row],[Frame]]&amp;"*"</f>
        <v>*F842-09*</v>
      </c>
      <c r="F841" s="376"/>
    </row>
    <row r="842" spans="1:6" ht="36.75" customHeight="1">
      <c r="A842" s="377" t="s">
        <v>1868</v>
      </c>
      <c r="B842" s="377" t="s">
        <v>1869</v>
      </c>
      <c r="C842" s="378">
        <v>3</v>
      </c>
      <c r="D842" s="379">
        <v>2</v>
      </c>
      <c r="E842" s="380" t="str">
        <f>"*"&amp;Table1[[#This Row],[Frame]]&amp;"*"</f>
        <v>*F842-03R*</v>
      </c>
      <c r="F842" s="381"/>
    </row>
    <row r="843" spans="1:6" ht="36.75" customHeight="1">
      <c r="A843" s="377" t="s">
        <v>1866</v>
      </c>
      <c r="B843" s="377" t="s">
        <v>1869</v>
      </c>
      <c r="C843" s="378">
        <v>3</v>
      </c>
      <c r="D843" s="379">
        <v>2</v>
      </c>
      <c r="E843" s="380" t="str">
        <f>"*"&amp;Table1[[#This Row],[Frame]]&amp;"*"</f>
        <v>*F842-03L*</v>
      </c>
      <c r="F843" s="381"/>
    </row>
    <row r="844" spans="1:6" ht="36.75" customHeight="1">
      <c r="A844" s="377" t="s">
        <v>1870</v>
      </c>
      <c r="B844" s="377" t="s">
        <v>1871</v>
      </c>
      <c r="C844" s="378">
        <v>2</v>
      </c>
      <c r="D844" s="379">
        <v>1.5</v>
      </c>
      <c r="E844" s="380" t="str">
        <f>"*"&amp;Table1[[#This Row],[Frame]]&amp;"*"</f>
        <v>*F842-01R*</v>
      </c>
      <c r="F844" s="381"/>
    </row>
    <row r="845" spans="1:6" ht="36.75" customHeight="1">
      <c r="A845" s="377" t="s">
        <v>1872</v>
      </c>
      <c r="B845" s="377" t="s">
        <v>1873</v>
      </c>
      <c r="C845" s="378">
        <v>2</v>
      </c>
      <c r="D845" s="379">
        <v>1.5</v>
      </c>
      <c r="E845" s="380" t="str">
        <f>"*"&amp;Table1[[#This Row],[Frame]]&amp;"*"</f>
        <v>*F842-01L*</v>
      </c>
      <c r="F845" s="381"/>
    </row>
    <row r="846" spans="1:6" ht="36.75" customHeight="1">
      <c r="A846" s="377" t="s">
        <v>1874</v>
      </c>
      <c r="B846" s="377" t="s">
        <v>1875</v>
      </c>
      <c r="C846" s="378">
        <v>2.6</v>
      </c>
      <c r="D846" s="379">
        <v>1.6</v>
      </c>
      <c r="E846" s="380" t="str">
        <f>"*"&amp;Table1[[#This Row],[Frame]]&amp;"*"</f>
        <v>*F842-33*</v>
      </c>
      <c r="F846" s="381"/>
    </row>
    <row r="847" spans="1:6" ht="36.75" customHeight="1">
      <c r="A847" s="377" t="s">
        <v>1876</v>
      </c>
      <c r="B847" s="377" t="s">
        <v>1877</v>
      </c>
      <c r="C847" s="378">
        <v>1.5</v>
      </c>
      <c r="D847" s="379">
        <v>1</v>
      </c>
      <c r="E847" s="380" t="str">
        <f>"*"&amp;Table1[[#This Row],[Frame]]&amp;"*"</f>
        <v>*F842-31*</v>
      </c>
      <c r="F847" s="381"/>
    </row>
    <row r="848" spans="1:6" ht="36.75" customHeight="1">
      <c r="A848" s="377" t="s">
        <v>1878</v>
      </c>
      <c r="B848" s="377" t="s">
        <v>1879</v>
      </c>
      <c r="C848" s="378">
        <v>3.25</v>
      </c>
      <c r="D848" s="379">
        <v>2</v>
      </c>
      <c r="E848" s="380" t="str">
        <f>"*"&amp;Table1[[#This Row],[Frame]]&amp;"*"</f>
        <v>*F842-08*</v>
      </c>
      <c r="F848" s="381"/>
    </row>
    <row r="849" spans="1:6" ht="36.75" customHeight="1">
      <c r="A849" s="377" t="s">
        <v>1880</v>
      </c>
      <c r="B849" s="377" t="s">
        <v>1881</v>
      </c>
      <c r="C849" s="378">
        <v>3</v>
      </c>
      <c r="D849" s="379">
        <v>2</v>
      </c>
      <c r="E849" s="380" t="str">
        <f>"*"&amp;Table1[[#This Row],[Frame]]&amp;"*"</f>
        <v>*F842-05R*</v>
      </c>
      <c r="F849" s="381"/>
    </row>
    <row r="850" spans="1:6" ht="36.75" customHeight="1">
      <c r="A850" s="377" t="s">
        <v>1882</v>
      </c>
      <c r="B850" s="377" t="s">
        <v>1881</v>
      </c>
      <c r="C850" s="378">
        <v>3</v>
      </c>
      <c r="D850" s="379">
        <v>2</v>
      </c>
      <c r="E850" s="380" t="str">
        <f>"*"&amp;Table1[[#This Row],[Frame]]&amp;"*"</f>
        <v>*F842-05L*</v>
      </c>
      <c r="F850" s="381"/>
    </row>
    <row r="851" spans="1:6" ht="36.75" customHeight="1">
      <c r="A851" s="382" t="s">
        <v>1883</v>
      </c>
      <c r="B851" s="382"/>
      <c r="C851" s="383">
        <v>1</v>
      </c>
      <c r="D851" s="384">
        <v>0.5</v>
      </c>
      <c r="E851" s="385" t="str">
        <f>"*"&amp;Table1[[#This Row],[Frame]]&amp;"*"</f>
        <v>*F763-09*</v>
      </c>
      <c r="F851" s="381"/>
    </row>
    <row r="852" spans="1:6" ht="36.75" customHeight="1">
      <c r="A852" s="382" t="s">
        <v>1860</v>
      </c>
      <c r="B852" s="382" t="s">
        <v>1884</v>
      </c>
      <c r="C852" s="383">
        <v>3.85</v>
      </c>
      <c r="D852" s="384">
        <v>2.75</v>
      </c>
      <c r="E852" s="385" t="str">
        <f>"*"&amp;Table1[[#This Row],[Frame]]&amp;"*"</f>
        <v>*F841-13R*</v>
      </c>
      <c r="F852" s="381"/>
    </row>
    <row r="853" spans="1:6" ht="36.75" customHeight="1">
      <c r="A853" s="382" t="s">
        <v>1867</v>
      </c>
      <c r="B853" s="382" t="s">
        <v>1885</v>
      </c>
      <c r="C853" s="383">
        <v>3.85</v>
      </c>
      <c r="D853" s="384">
        <v>2.75</v>
      </c>
      <c r="E853" s="385" t="str">
        <f>"*"&amp;Table1[[#This Row],[Frame]]&amp;"*"</f>
        <v>*F841-13L*</v>
      </c>
      <c r="F853" s="381"/>
    </row>
    <row r="854" spans="1:6" ht="36.75" customHeight="1">
      <c r="A854" s="386" t="s">
        <v>1886</v>
      </c>
      <c r="B854" s="386" t="s">
        <v>1887</v>
      </c>
      <c r="C854" s="387">
        <v>4</v>
      </c>
      <c r="D854" s="388">
        <v>3</v>
      </c>
      <c r="E854" s="389" t="str">
        <f>"*"&amp;Table1[[#This Row],[Frame]]&amp;"*"</f>
        <v>*F841-03*</v>
      </c>
      <c r="F854" s="390"/>
    </row>
    <row r="855" spans="1:6" ht="36.75" customHeight="1">
      <c r="A855" s="386" t="s">
        <v>1888</v>
      </c>
      <c r="B855" s="386" t="s">
        <v>1881</v>
      </c>
      <c r="C855" s="387">
        <v>3</v>
      </c>
      <c r="D855" s="388">
        <v>2</v>
      </c>
      <c r="E855" s="389" t="str">
        <f>"*"&amp;Table1[[#This Row],[Frame]]&amp;"*"</f>
        <v>*F842-35R*</v>
      </c>
      <c r="F855" s="390"/>
    </row>
    <row r="856" spans="1:6" ht="36.75" customHeight="1">
      <c r="A856" s="391" t="s">
        <v>1889</v>
      </c>
      <c r="B856" s="391" t="s">
        <v>1890</v>
      </c>
      <c r="C856" s="392">
        <v>3</v>
      </c>
      <c r="D856" s="393">
        <v>2</v>
      </c>
      <c r="E856" s="394" t="str">
        <f>"*"&amp;Table1[[#This Row],[Frame]]&amp;"*"</f>
        <v>*F841-02*</v>
      </c>
      <c r="F856" s="395"/>
    </row>
    <row r="857" spans="1:6" ht="36.75" customHeight="1">
      <c r="A857" s="396" t="s">
        <v>1892</v>
      </c>
      <c r="B857" s="396"/>
      <c r="C857" s="397">
        <v>1</v>
      </c>
      <c r="D857" s="398">
        <v>0.5</v>
      </c>
      <c r="E857" s="399" t="str">
        <f>"*"&amp;Table1[[#This Row],[Frame]]&amp;"*"</f>
        <v>*F766-09*</v>
      </c>
      <c r="F857" s="400"/>
    </row>
    <row r="858" spans="1:6" ht="36.75" customHeight="1">
      <c r="A858" s="396" t="s">
        <v>1891</v>
      </c>
      <c r="B858" s="396" t="s">
        <v>1894</v>
      </c>
      <c r="C858" s="397">
        <v>2</v>
      </c>
      <c r="D858" s="398">
        <v>1.5</v>
      </c>
      <c r="E858" s="399" t="str">
        <f>"*"&amp;Table1[[#This Row],[Frame]]&amp;"*"</f>
        <v>*F829-08*</v>
      </c>
      <c r="F858" s="400"/>
    </row>
    <row r="859" spans="1:6" ht="36.75" customHeight="1">
      <c r="A859" s="396" t="s">
        <v>1893</v>
      </c>
      <c r="B859" s="396" t="s">
        <v>1895</v>
      </c>
      <c r="C859" s="397">
        <v>1.5</v>
      </c>
      <c r="D859" s="398">
        <v>1</v>
      </c>
      <c r="E859" s="399" t="str">
        <f>"*"&amp;Table1[[#This Row],[Frame]]&amp;"*"</f>
        <v>*F829-31*</v>
      </c>
      <c r="F859" s="400"/>
    </row>
    <row r="860" spans="1:6" ht="36.75" customHeight="1">
      <c r="A860" s="396" t="s">
        <v>1901</v>
      </c>
      <c r="B860" s="396" t="s">
        <v>1902</v>
      </c>
      <c r="C860" s="397">
        <v>3</v>
      </c>
      <c r="D860" s="398">
        <v>2</v>
      </c>
      <c r="E860" s="399" t="str">
        <f>"*"&amp;Table1[[#This Row],[Frame]]&amp;"*"</f>
        <v>*F829-03R*</v>
      </c>
      <c r="F860" s="400"/>
    </row>
    <row r="861" spans="1:6" ht="36.75" customHeight="1">
      <c r="A861" s="396" t="s">
        <v>1896</v>
      </c>
      <c r="B861" s="396" t="s">
        <v>1902</v>
      </c>
      <c r="C861" s="397">
        <v>3</v>
      </c>
      <c r="D861" s="398">
        <v>2</v>
      </c>
      <c r="E861" s="399" t="str">
        <f>"*"&amp;Table1[[#This Row],[Frame]]&amp;"*"</f>
        <v>*F829-03L*</v>
      </c>
      <c r="F861" s="400"/>
    </row>
    <row r="862" spans="1:6" ht="36.75" customHeight="1">
      <c r="A862" s="396" t="s">
        <v>1898</v>
      </c>
      <c r="B862" s="396"/>
      <c r="C862" s="397">
        <v>2</v>
      </c>
      <c r="D862" s="398">
        <v>1.5</v>
      </c>
      <c r="E862" s="399" t="str">
        <f>"*"&amp;Table1[[#This Row],[Frame]]&amp;"*"</f>
        <v>*F829-01*</v>
      </c>
      <c r="F862" s="400"/>
    </row>
    <row r="863" spans="1:6" ht="36.75" customHeight="1">
      <c r="A863" s="396" t="s">
        <v>1897</v>
      </c>
      <c r="B863" s="396"/>
      <c r="C863" s="397">
        <v>2.5</v>
      </c>
      <c r="D863" s="398">
        <v>1.75</v>
      </c>
      <c r="E863" s="399" t="str">
        <f>"*"&amp;Table1[[#This Row],[Frame]]&amp;"*"</f>
        <v>*F829-02*</v>
      </c>
      <c r="F863" s="400"/>
    </row>
    <row r="864" spans="1:6" ht="36.75" customHeight="1">
      <c r="A864" s="396" t="s">
        <v>1900</v>
      </c>
      <c r="B864" s="396"/>
      <c r="C864" s="397">
        <v>3.25</v>
      </c>
      <c r="D864" s="398">
        <v>2.25</v>
      </c>
      <c r="E864" s="399" t="str">
        <f>"*"&amp;Table1[[#This Row],[Frame]]&amp;"*"</f>
        <v>*F829-03*</v>
      </c>
      <c r="F864" s="400"/>
    </row>
    <row r="865" spans="1:6" ht="36.75" customHeight="1">
      <c r="A865" s="396" t="s">
        <v>1899</v>
      </c>
      <c r="B865" s="396" t="s">
        <v>1903</v>
      </c>
      <c r="C865" s="397">
        <v>2</v>
      </c>
      <c r="D865" s="398">
        <v>1</v>
      </c>
      <c r="E865" s="399" t="str">
        <f>"*"&amp;Table1[[#This Row],[Frame]]&amp;"*"</f>
        <v>*F829-09*</v>
      </c>
      <c r="F865" s="400"/>
    </row>
    <row r="866" spans="1:6" ht="36.75" customHeight="1">
      <c r="A866" s="396" t="s">
        <v>1904</v>
      </c>
      <c r="B866" s="396" t="s">
        <v>1905</v>
      </c>
      <c r="C866" s="397">
        <v>2.5</v>
      </c>
      <c r="D866" s="398">
        <v>2</v>
      </c>
      <c r="E866" s="399" t="str">
        <f>"*"&amp;Table1[[#This Row],[Frame]]&amp;"*"</f>
        <v>*F841-02r*</v>
      </c>
      <c r="F866" s="400"/>
    </row>
    <row r="867" spans="1:6" ht="36.75" customHeight="1">
      <c r="A867" s="401" t="s">
        <v>1906</v>
      </c>
      <c r="B867" s="401" t="s">
        <v>1907</v>
      </c>
      <c r="C867" s="402">
        <v>4</v>
      </c>
      <c r="D867" s="403">
        <v>2.25</v>
      </c>
      <c r="E867" s="404" t="str">
        <f>"*"&amp;Table1[[#This Row],[Frame]]&amp;"*"</f>
        <v>*F639-13R*</v>
      </c>
      <c r="F867" s="400"/>
    </row>
    <row r="868" spans="1:6" ht="36.75" customHeight="1">
      <c r="A868" s="396" t="s">
        <v>1908</v>
      </c>
      <c r="B868" s="396" t="s">
        <v>1909</v>
      </c>
      <c r="C868" s="397">
        <v>4</v>
      </c>
      <c r="D868" s="398">
        <v>2.25</v>
      </c>
      <c r="E868" s="399" t="str">
        <f>"*"&amp;Table1[[#This Row],[Frame]]&amp;"*"</f>
        <v>*F639-13L*</v>
      </c>
      <c r="F868" s="400"/>
    </row>
    <row r="869" spans="1:6" ht="36.75" customHeight="1">
      <c r="A869" s="396" t="s">
        <v>1911</v>
      </c>
      <c r="B869" s="396"/>
      <c r="C869" s="397"/>
      <c r="D869" s="398"/>
      <c r="E869" s="399" t="str">
        <f>"*"&amp;Table1[[#This Row],[Frame]]&amp;"*"</f>
        <v>*F839LA*</v>
      </c>
      <c r="F869" s="400"/>
    </row>
    <row r="870" spans="1:6" ht="36.75" customHeight="1">
      <c r="A870" s="396" t="s">
        <v>1910</v>
      </c>
      <c r="B870" s="396"/>
      <c r="C870" s="397"/>
      <c r="D870" s="398"/>
      <c r="E870" s="399" t="str">
        <f>"*"&amp;Table1[[#This Row],[Frame]]&amp;"*"</f>
        <v>*F839RA*</v>
      </c>
      <c r="F870" s="400"/>
    </row>
  </sheetData>
  <sortState xmlns:xlrd2="http://schemas.microsoft.com/office/spreadsheetml/2017/richdata2" ref="A4:D276">
    <sortCondition ref="A4:A276"/>
    <sortCondition ref="B4:B276"/>
  </sortState>
  <printOptions gridLines="1"/>
  <pageMargins left="0.25" right="0.25" top="0.75" bottom="0.75" header="0.3" footer="0.3"/>
  <pageSetup scale="47" fitToHeight="0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BKJ41"/>
  <sheetViews>
    <sheetView zoomScale="80" zoomScaleNormal="80" zoomScalePageLayoutView="80" workbookViewId="0">
      <selection activeCell="B7" sqref="B7:B25"/>
    </sheetView>
  </sheetViews>
  <sheetFormatPr defaultColWidth="8.85546875" defaultRowHeight="15"/>
  <cols>
    <col min="1" max="1" width="18.42578125" style="107" bestFit="1" customWidth="1"/>
    <col min="2" max="2" width="28.85546875" bestFit="1" customWidth="1"/>
    <col min="3" max="3" width="22.42578125" bestFit="1" customWidth="1"/>
    <col min="4" max="4" width="12.140625" bestFit="1" customWidth="1"/>
    <col min="5" max="5" width="10.7109375" bestFit="1" customWidth="1"/>
    <col min="6" max="6" width="15.85546875" style="108" bestFit="1" customWidth="1"/>
    <col min="7" max="7" width="13.7109375" style="108" bestFit="1" customWidth="1"/>
    <col min="8" max="8" width="14.28515625" style="108" bestFit="1" customWidth="1"/>
    <col min="9" max="9" width="18" bestFit="1" customWidth="1"/>
    <col min="10" max="10" width="12.42578125" bestFit="1" customWidth="1"/>
    <col min="11" max="11" width="8.85546875" bestFit="1" customWidth="1"/>
    <col min="12" max="12" width="9.140625" bestFit="1" customWidth="1"/>
    <col min="13" max="13" width="6.7109375" bestFit="1" customWidth="1"/>
    <col min="14" max="15" width="8.85546875" bestFit="1" customWidth="1"/>
  </cols>
  <sheetData>
    <row r="2" spans="1:1648" ht="18.75">
      <c r="D2" s="405" t="s">
        <v>544</v>
      </c>
      <c r="E2" s="405"/>
      <c r="F2" s="405"/>
    </row>
    <row r="3" spans="1:1648">
      <c r="D3" s="406" t="s">
        <v>545</v>
      </c>
      <c r="E3" s="406"/>
      <c r="F3" s="406"/>
    </row>
    <row r="4" spans="1:1648">
      <c r="D4" s="407" t="s">
        <v>546</v>
      </c>
      <c r="E4" s="407"/>
      <c r="F4" s="124">
        <v>43093</v>
      </c>
    </row>
    <row r="5" spans="1:1648">
      <c r="A5" s="109"/>
      <c r="B5" s="3"/>
      <c r="C5" s="3"/>
      <c r="D5" s="3"/>
      <c r="E5" s="110"/>
      <c r="F5" s="111"/>
      <c r="G5" s="111"/>
      <c r="H5" s="111"/>
      <c r="I5" s="408" t="s">
        <v>541</v>
      </c>
      <c r="J5" s="409"/>
      <c r="K5" s="410"/>
      <c r="L5" s="408" t="s">
        <v>540</v>
      </c>
      <c r="M5" s="409"/>
      <c r="N5" s="410"/>
    </row>
    <row r="6" spans="1:1648">
      <c r="A6" s="112" t="s">
        <v>539</v>
      </c>
      <c r="B6" s="3" t="s">
        <v>538</v>
      </c>
      <c r="C6" s="3" t="s">
        <v>537</v>
      </c>
      <c r="D6" s="3" t="s">
        <v>536</v>
      </c>
      <c r="E6" s="3" t="s">
        <v>529</v>
      </c>
      <c r="F6" s="111" t="s">
        <v>535</v>
      </c>
      <c r="G6" s="111" t="s">
        <v>534</v>
      </c>
      <c r="H6" s="111" t="s">
        <v>533</v>
      </c>
      <c r="I6" s="113" t="s">
        <v>531</v>
      </c>
      <c r="J6" s="3" t="s">
        <v>532</v>
      </c>
      <c r="K6" s="114" t="s">
        <v>547</v>
      </c>
      <c r="L6" s="113" t="s">
        <v>548</v>
      </c>
      <c r="M6" s="3" t="s">
        <v>530</v>
      </c>
      <c r="N6" s="114" t="s">
        <v>549</v>
      </c>
      <c r="O6" s="3" t="s">
        <v>727</v>
      </c>
    </row>
    <row r="7" spans="1:1648" ht="15.75">
      <c r="A7" s="123" t="s">
        <v>1079</v>
      </c>
      <c r="B7" s="60" t="s">
        <v>1916</v>
      </c>
      <c r="C7" s="60" t="s">
        <v>507</v>
      </c>
      <c r="D7" s="60" t="s">
        <v>506</v>
      </c>
      <c r="E7" s="61">
        <v>10.75</v>
      </c>
      <c r="F7" s="62">
        <f>IF('REDI FRAME PAYROLL'!I17&gt;40,40,'REDI FRAME PAYROLL'!I17)</f>
        <v>0</v>
      </c>
      <c r="G7" s="63">
        <f>(Table26[[#This Row],[Reg Hr]]*Table26[[#This Row],[Rate]])+((Table26[[#This Row],[Ovt Hrs]]*1.5)*Table26[[#This Row],[Rate]])</f>
        <v>0</v>
      </c>
      <c r="H7" s="62">
        <f>IF('REDI FRAME PAYROLL'!I17&gt;40,'REDI FRAME PAYROLL'!I17-40,0)</f>
        <v>0</v>
      </c>
      <c r="I7" s="60"/>
      <c r="J7" s="60"/>
      <c r="K7" s="60"/>
      <c r="L7" s="60"/>
      <c r="M7" s="60"/>
      <c r="N7" s="60"/>
      <c r="O7" s="60">
        <v>1</v>
      </c>
    </row>
    <row r="8" spans="1:1648" s="106" customFormat="1" ht="15.75">
      <c r="A8" s="123" t="s">
        <v>528</v>
      </c>
      <c r="B8" s="60" t="s">
        <v>1917</v>
      </c>
      <c r="C8" s="60" t="s">
        <v>507</v>
      </c>
      <c r="D8" s="60" t="s">
        <v>506</v>
      </c>
      <c r="E8" s="61">
        <v>11.5</v>
      </c>
      <c r="F8" s="62">
        <f>IF('REDI FRAME PAYROLL'!I5&gt;40,40,'REDI FRAME PAYROLL'!I5)</f>
        <v>0</v>
      </c>
      <c r="G8" s="63">
        <f>(Table26[[#This Row],[Reg Hr]]*Table26[[#This Row],[Rate]])+((Table26[[#This Row],[Ovt Hrs]]*1.5)*Table26[[#This Row],[Rate]])</f>
        <v>0</v>
      </c>
      <c r="H8" s="62">
        <f>IF('REDI FRAME PAYROLL'!I5&gt;40,'REDI FRAME PAYROLL'!I5-40,0)</f>
        <v>0</v>
      </c>
      <c r="I8" s="60"/>
      <c r="J8" s="61"/>
      <c r="K8" s="60"/>
      <c r="L8" s="60"/>
      <c r="M8" s="60"/>
      <c r="N8" s="60"/>
      <c r="O8" s="60">
        <v>3</v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  <c r="AMK8"/>
      <c r="AML8"/>
      <c r="AMM8"/>
      <c r="AMN8"/>
      <c r="AMO8"/>
      <c r="AMP8"/>
      <c r="AMQ8"/>
      <c r="AMR8"/>
      <c r="AMS8"/>
      <c r="AMT8"/>
      <c r="AMU8"/>
      <c r="AMV8"/>
      <c r="AMW8"/>
      <c r="AMX8"/>
      <c r="AMY8"/>
      <c r="AMZ8"/>
      <c r="ANA8"/>
      <c r="ANB8"/>
      <c r="ANC8"/>
      <c r="AND8"/>
      <c r="ANE8"/>
      <c r="ANF8"/>
      <c r="ANG8"/>
      <c r="ANH8"/>
      <c r="ANI8"/>
      <c r="ANJ8"/>
      <c r="ANK8"/>
      <c r="ANL8"/>
      <c r="ANM8"/>
      <c r="ANN8"/>
      <c r="ANO8"/>
      <c r="ANP8"/>
      <c r="ANQ8"/>
      <c r="ANR8"/>
      <c r="ANS8"/>
      <c r="ANT8"/>
      <c r="ANU8"/>
      <c r="ANV8"/>
      <c r="ANW8"/>
      <c r="ANX8"/>
      <c r="ANY8"/>
      <c r="ANZ8"/>
      <c r="AOA8"/>
      <c r="AOB8"/>
      <c r="AOC8"/>
      <c r="AOD8"/>
      <c r="AOE8"/>
      <c r="AOF8"/>
      <c r="AOG8"/>
      <c r="AOH8"/>
      <c r="AOI8"/>
      <c r="AOJ8"/>
      <c r="AOK8"/>
      <c r="AOL8"/>
      <c r="AOM8"/>
      <c r="AON8"/>
      <c r="AOO8"/>
      <c r="AOP8"/>
      <c r="AOQ8"/>
      <c r="AOR8"/>
      <c r="AOS8"/>
      <c r="AOT8"/>
      <c r="AOU8"/>
      <c r="AOV8"/>
      <c r="AOW8"/>
      <c r="AOX8"/>
      <c r="AOY8"/>
      <c r="AOZ8"/>
      <c r="APA8"/>
      <c r="APB8"/>
      <c r="APC8"/>
      <c r="APD8"/>
      <c r="APE8"/>
      <c r="APF8"/>
      <c r="APG8"/>
      <c r="APH8"/>
      <c r="API8"/>
      <c r="APJ8"/>
      <c r="APK8"/>
      <c r="APL8"/>
      <c r="APM8"/>
      <c r="APN8"/>
      <c r="APO8"/>
      <c r="APP8"/>
      <c r="APQ8"/>
      <c r="APR8"/>
      <c r="APS8"/>
      <c r="APT8"/>
      <c r="APU8"/>
      <c r="APV8"/>
      <c r="APW8"/>
      <c r="APX8"/>
      <c r="APY8"/>
      <c r="APZ8"/>
      <c r="AQA8"/>
      <c r="AQB8"/>
      <c r="AQC8"/>
      <c r="AQD8"/>
      <c r="AQE8"/>
      <c r="AQF8"/>
      <c r="AQG8"/>
      <c r="AQH8"/>
      <c r="AQI8"/>
      <c r="AQJ8"/>
      <c r="AQK8"/>
      <c r="AQL8"/>
      <c r="AQM8"/>
      <c r="AQN8"/>
      <c r="AQO8"/>
      <c r="AQP8"/>
      <c r="AQQ8"/>
      <c r="AQR8"/>
      <c r="AQS8"/>
      <c r="AQT8"/>
      <c r="AQU8"/>
      <c r="AQV8"/>
      <c r="AQW8"/>
      <c r="AQX8"/>
      <c r="AQY8"/>
      <c r="AQZ8"/>
      <c r="ARA8"/>
      <c r="ARB8"/>
      <c r="ARC8"/>
      <c r="ARD8"/>
      <c r="ARE8"/>
      <c r="ARF8"/>
      <c r="ARG8"/>
      <c r="ARH8"/>
      <c r="ARI8"/>
      <c r="ARJ8"/>
      <c r="ARK8"/>
      <c r="ARL8"/>
      <c r="ARM8"/>
      <c r="ARN8"/>
      <c r="ARO8"/>
      <c r="ARP8"/>
      <c r="ARQ8"/>
      <c r="ARR8"/>
      <c r="ARS8"/>
      <c r="ART8"/>
      <c r="ARU8"/>
      <c r="ARV8"/>
      <c r="ARW8"/>
      <c r="ARX8"/>
      <c r="ARY8"/>
      <c r="ARZ8"/>
      <c r="ASA8"/>
      <c r="ASB8"/>
      <c r="ASC8"/>
      <c r="ASD8"/>
      <c r="ASE8"/>
      <c r="ASF8"/>
      <c r="ASG8"/>
      <c r="ASH8"/>
      <c r="ASI8"/>
      <c r="ASJ8"/>
      <c r="ASK8"/>
      <c r="ASL8"/>
      <c r="ASM8"/>
      <c r="ASN8"/>
      <c r="ASO8"/>
      <c r="ASP8"/>
      <c r="ASQ8"/>
      <c r="ASR8"/>
      <c r="ASS8"/>
      <c r="AST8"/>
      <c r="ASU8"/>
      <c r="ASV8"/>
      <c r="ASW8"/>
      <c r="ASX8"/>
      <c r="ASY8"/>
      <c r="ASZ8"/>
      <c r="ATA8"/>
      <c r="ATB8"/>
      <c r="ATC8"/>
      <c r="ATD8"/>
      <c r="ATE8"/>
      <c r="ATF8"/>
      <c r="ATG8"/>
      <c r="ATH8"/>
      <c r="ATI8"/>
      <c r="ATJ8"/>
      <c r="ATK8"/>
      <c r="ATL8"/>
      <c r="ATM8"/>
      <c r="ATN8"/>
      <c r="ATO8"/>
      <c r="ATP8"/>
      <c r="ATQ8"/>
      <c r="ATR8"/>
      <c r="ATS8"/>
      <c r="ATT8"/>
      <c r="ATU8"/>
      <c r="ATV8"/>
      <c r="ATW8"/>
      <c r="ATX8"/>
      <c r="ATY8"/>
      <c r="ATZ8"/>
      <c r="AUA8"/>
      <c r="AUB8"/>
      <c r="AUC8"/>
      <c r="AUD8"/>
      <c r="AUE8"/>
      <c r="AUF8"/>
      <c r="AUG8"/>
      <c r="AUH8"/>
      <c r="AUI8"/>
      <c r="AUJ8"/>
      <c r="AUK8"/>
      <c r="AUL8"/>
      <c r="AUM8"/>
      <c r="AUN8"/>
      <c r="AUO8"/>
      <c r="AUP8"/>
      <c r="AUQ8"/>
      <c r="AUR8"/>
      <c r="AUS8"/>
      <c r="AUT8"/>
      <c r="AUU8"/>
      <c r="AUV8"/>
      <c r="AUW8"/>
      <c r="AUX8"/>
      <c r="AUY8"/>
      <c r="AUZ8"/>
      <c r="AVA8"/>
      <c r="AVB8"/>
      <c r="AVC8"/>
      <c r="AVD8"/>
      <c r="AVE8"/>
      <c r="AVF8"/>
      <c r="AVG8"/>
      <c r="AVH8"/>
      <c r="AVI8"/>
      <c r="AVJ8"/>
      <c r="AVK8"/>
      <c r="AVL8"/>
      <c r="AVM8"/>
      <c r="AVN8"/>
      <c r="AVO8"/>
      <c r="AVP8"/>
      <c r="AVQ8"/>
      <c r="AVR8"/>
      <c r="AVS8"/>
      <c r="AVT8"/>
      <c r="AVU8"/>
      <c r="AVV8"/>
      <c r="AVW8"/>
      <c r="AVX8"/>
      <c r="AVY8"/>
      <c r="AVZ8"/>
      <c r="AWA8"/>
      <c r="AWB8"/>
      <c r="AWC8"/>
      <c r="AWD8"/>
      <c r="AWE8"/>
      <c r="AWF8"/>
      <c r="AWG8"/>
      <c r="AWH8"/>
      <c r="AWI8"/>
      <c r="AWJ8"/>
      <c r="AWK8"/>
      <c r="AWL8"/>
      <c r="AWM8"/>
      <c r="AWN8"/>
      <c r="AWO8"/>
      <c r="AWP8"/>
      <c r="AWQ8"/>
      <c r="AWR8"/>
      <c r="AWS8"/>
      <c r="AWT8"/>
      <c r="AWU8"/>
      <c r="AWV8"/>
      <c r="AWW8"/>
      <c r="AWX8"/>
      <c r="AWY8"/>
      <c r="AWZ8"/>
      <c r="AXA8"/>
      <c r="AXB8"/>
      <c r="AXC8"/>
      <c r="AXD8"/>
      <c r="AXE8"/>
      <c r="AXF8"/>
      <c r="AXG8"/>
      <c r="AXH8"/>
      <c r="AXI8"/>
      <c r="AXJ8"/>
      <c r="AXK8"/>
      <c r="AXL8"/>
      <c r="AXM8"/>
      <c r="AXN8"/>
      <c r="AXO8"/>
      <c r="AXP8"/>
      <c r="AXQ8"/>
      <c r="AXR8"/>
      <c r="AXS8"/>
      <c r="AXT8"/>
      <c r="AXU8"/>
      <c r="AXV8"/>
      <c r="AXW8"/>
      <c r="AXX8"/>
      <c r="AXY8"/>
      <c r="AXZ8"/>
      <c r="AYA8"/>
      <c r="AYB8"/>
      <c r="AYC8"/>
      <c r="AYD8"/>
      <c r="AYE8"/>
      <c r="AYF8"/>
      <c r="AYG8"/>
      <c r="AYH8"/>
      <c r="AYI8"/>
      <c r="AYJ8"/>
      <c r="AYK8"/>
      <c r="AYL8"/>
      <c r="AYM8"/>
      <c r="AYN8"/>
      <c r="AYO8"/>
      <c r="AYP8"/>
      <c r="AYQ8"/>
      <c r="AYR8"/>
      <c r="AYS8"/>
      <c r="AYT8"/>
      <c r="AYU8"/>
      <c r="AYV8"/>
      <c r="AYW8"/>
      <c r="AYX8"/>
      <c r="AYY8"/>
      <c r="AYZ8"/>
      <c r="AZA8"/>
      <c r="AZB8"/>
      <c r="AZC8"/>
      <c r="AZD8"/>
      <c r="AZE8"/>
      <c r="AZF8"/>
      <c r="AZG8"/>
      <c r="AZH8"/>
      <c r="AZI8"/>
      <c r="AZJ8"/>
      <c r="AZK8"/>
      <c r="AZL8"/>
      <c r="AZM8"/>
      <c r="AZN8"/>
      <c r="AZO8"/>
      <c r="AZP8"/>
      <c r="AZQ8"/>
      <c r="AZR8"/>
      <c r="AZS8"/>
      <c r="AZT8"/>
      <c r="AZU8"/>
      <c r="AZV8"/>
      <c r="AZW8"/>
      <c r="AZX8"/>
      <c r="AZY8"/>
      <c r="AZZ8"/>
      <c r="BAA8"/>
      <c r="BAB8"/>
      <c r="BAC8"/>
      <c r="BAD8"/>
      <c r="BAE8"/>
      <c r="BAF8"/>
      <c r="BAG8"/>
      <c r="BAH8"/>
      <c r="BAI8"/>
      <c r="BAJ8"/>
      <c r="BAK8"/>
      <c r="BAL8"/>
      <c r="BAM8"/>
      <c r="BAN8"/>
      <c r="BAO8"/>
      <c r="BAP8"/>
      <c r="BAQ8"/>
      <c r="BAR8"/>
      <c r="BAS8"/>
      <c r="BAT8"/>
      <c r="BAU8"/>
      <c r="BAV8"/>
      <c r="BAW8"/>
      <c r="BAX8"/>
      <c r="BAY8"/>
      <c r="BAZ8"/>
      <c r="BBA8"/>
      <c r="BBB8"/>
      <c r="BBC8"/>
      <c r="BBD8"/>
      <c r="BBE8"/>
      <c r="BBF8"/>
      <c r="BBG8"/>
      <c r="BBH8"/>
      <c r="BBI8"/>
      <c r="BBJ8"/>
      <c r="BBK8"/>
      <c r="BBL8"/>
      <c r="BBM8"/>
      <c r="BBN8"/>
      <c r="BBO8"/>
      <c r="BBP8"/>
      <c r="BBQ8"/>
      <c r="BBR8"/>
      <c r="BBS8"/>
      <c r="BBT8"/>
      <c r="BBU8"/>
      <c r="BBV8"/>
      <c r="BBW8"/>
      <c r="BBX8"/>
      <c r="BBY8"/>
      <c r="BBZ8"/>
      <c r="BCA8"/>
      <c r="BCB8"/>
      <c r="BCC8"/>
      <c r="BCD8"/>
      <c r="BCE8"/>
      <c r="BCF8"/>
      <c r="BCG8"/>
      <c r="BCH8"/>
      <c r="BCI8"/>
      <c r="BCJ8"/>
      <c r="BCK8"/>
      <c r="BCL8"/>
      <c r="BCM8"/>
      <c r="BCN8"/>
      <c r="BCO8"/>
      <c r="BCP8"/>
      <c r="BCQ8"/>
      <c r="BCR8"/>
      <c r="BCS8"/>
      <c r="BCT8"/>
      <c r="BCU8"/>
      <c r="BCV8"/>
      <c r="BCW8"/>
      <c r="BCX8"/>
      <c r="BCY8"/>
      <c r="BCZ8"/>
      <c r="BDA8"/>
      <c r="BDB8"/>
      <c r="BDC8"/>
      <c r="BDD8"/>
      <c r="BDE8"/>
      <c r="BDF8"/>
      <c r="BDG8"/>
      <c r="BDH8"/>
      <c r="BDI8"/>
      <c r="BDJ8"/>
      <c r="BDK8"/>
      <c r="BDL8"/>
      <c r="BDM8"/>
      <c r="BDN8"/>
      <c r="BDO8"/>
      <c r="BDP8"/>
      <c r="BDQ8"/>
      <c r="BDR8"/>
      <c r="BDS8"/>
      <c r="BDT8"/>
      <c r="BDU8"/>
      <c r="BDV8"/>
      <c r="BDW8"/>
      <c r="BDX8"/>
      <c r="BDY8"/>
      <c r="BDZ8"/>
      <c r="BEA8"/>
      <c r="BEB8"/>
      <c r="BEC8"/>
      <c r="BED8"/>
      <c r="BEE8"/>
      <c r="BEF8"/>
      <c r="BEG8"/>
      <c r="BEH8"/>
      <c r="BEI8"/>
      <c r="BEJ8"/>
      <c r="BEK8"/>
      <c r="BEL8"/>
      <c r="BEM8"/>
      <c r="BEN8"/>
      <c r="BEO8"/>
      <c r="BEP8"/>
      <c r="BEQ8"/>
      <c r="BER8"/>
      <c r="BES8"/>
      <c r="BET8"/>
      <c r="BEU8"/>
      <c r="BEV8"/>
      <c r="BEW8"/>
      <c r="BEX8"/>
      <c r="BEY8"/>
      <c r="BEZ8"/>
      <c r="BFA8"/>
      <c r="BFB8"/>
      <c r="BFC8"/>
      <c r="BFD8"/>
      <c r="BFE8"/>
      <c r="BFF8"/>
      <c r="BFG8"/>
      <c r="BFH8"/>
      <c r="BFI8"/>
      <c r="BFJ8"/>
      <c r="BFK8"/>
      <c r="BFL8"/>
      <c r="BFM8"/>
      <c r="BFN8"/>
      <c r="BFO8"/>
      <c r="BFP8"/>
      <c r="BFQ8"/>
      <c r="BFR8"/>
      <c r="BFS8"/>
      <c r="BFT8"/>
      <c r="BFU8"/>
      <c r="BFV8"/>
      <c r="BFW8"/>
      <c r="BFX8"/>
      <c r="BFY8"/>
      <c r="BFZ8"/>
      <c r="BGA8"/>
      <c r="BGB8"/>
      <c r="BGC8"/>
      <c r="BGD8"/>
      <c r="BGE8"/>
      <c r="BGF8"/>
      <c r="BGG8"/>
      <c r="BGH8"/>
      <c r="BGI8"/>
      <c r="BGJ8"/>
      <c r="BGK8"/>
      <c r="BGL8"/>
      <c r="BGM8"/>
      <c r="BGN8"/>
      <c r="BGO8"/>
      <c r="BGP8"/>
      <c r="BGQ8"/>
      <c r="BGR8"/>
      <c r="BGS8"/>
      <c r="BGT8"/>
      <c r="BGU8"/>
      <c r="BGV8"/>
      <c r="BGW8"/>
      <c r="BGX8"/>
      <c r="BGY8"/>
      <c r="BGZ8"/>
      <c r="BHA8"/>
      <c r="BHB8"/>
      <c r="BHC8"/>
      <c r="BHD8"/>
      <c r="BHE8"/>
      <c r="BHF8"/>
      <c r="BHG8"/>
      <c r="BHH8"/>
      <c r="BHI8"/>
      <c r="BHJ8"/>
      <c r="BHK8"/>
      <c r="BHL8"/>
      <c r="BHM8"/>
      <c r="BHN8"/>
      <c r="BHO8"/>
      <c r="BHP8"/>
      <c r="BHQ8"/>
      <c r="BHR8"/>
      <c r="BHS8"/>
      <c r="BHT8"/>
      <c r="BHU8"/>
      <c r="BHV8"/>
      <c r="BHW8"/>
      <c r="BHX8"/>
      <c r="BHY8"/>
      <c r="BHZ8"/>
      <c r="BIA8"/>
      <c r="BIB8"/>
      <c r="BIC8"/>
      <c r="BID8"/>
      <c r="BIE8"/>
      <c r="BIF8"/>
      <c r="BIG8"/>
      <c r="BIH8"/>
      <c r="BII8"/>
      <c r="BIJ8"/>
      <c r="BIK8"/>
      <c r="BIL8"/>
      <c r="BIM8"/>
      <c r="BIN8"/>
      <c r="BIO8"/>
      <c r="BIP8"/>
      <c r="BIQ8"/>
      <c r="BIR8"/>
      <c r="BIS8"/>
      <c r="BIT8"/>
      <c r="BIU8"/>
      <c r="BIV8"/>
      <c r="BIW8"/>
      <c r="BIX8"/>
      <c r="BIY8"/>
      <c r="BIZ8"/>
      <c r="BJA8"/>
      <c r="BJB8"/>
      <c r="BJC8"/>
      <c r="BJD8"/>
      <c r="BJE8"/>
      <c r="BJF8"/>
      <c r="BJG8"/>
      <c r="BJH8"/>
      <c r="BJI8"/>
      <c r="BJJ8"/>
      <c r="BJK8"/>
      <c r="BJL8"/>
      <c r="BJM8"/>
      <c r="BJN8"/>
      <c r="BJO8"/>
      <c r="BJP8"/>
      <c r="BJQ8"/>
      <c r="BJR8"/>
      <c r="BJS8"/>
      <c r="BJT8"/>
      <c r="BJU8"/>
      <c r="BJV8"/>
      <c r="BJW8"/>
      <c r="BJX8"/>
      <c r="BJY8"/>
      <c r="BJZ8"/>
      <c r="BKA8"/>
      <c r="BKB8"/>
      <c r="BKC8"/>
      <c r="BKD8"/>
      <c r="BKE8"/>
      <c r="BKF8"/>
      <c r="BKG8"/>
      <c r="BKH8"/>
      <c r="BKI8"/>
      <c r="BKJ8"/>
    </row>
    <row r="9" spans="1:1648" s="106" customFormat="1" ht="15.75">
      <c r="A9" s="123" t="s">
        <v>1842</v>
      </c>
      <c r="B9" s="60" t="s">
        <v>1918</v>
      </c>
      <c r="C9" s="60" t="s">
        <v>512</v>
      </c>
      <c r="D9" s="60" t="s">
        <v>506</v>
      </c>
      <c r="E9" s="61">
        <v>12.5</v>
      </c>
      <c r="F9" s="62">
        <f>IF('REDI FRAME PAYROLL'!I18&gt;40,40,'REDI FRAME PAYROLL'!I18)</f>
        <v>0</v>
      </c>
      <c r="G9" s="63">
        <f>(Table26[[#This Row],[Reg Hr]]*Table26[[#This Row],[Rate]])+((Table26[[#This Row],[Ovt Hrs]]*1.5)*Table26[[#This Row],[Rate]])</f>
        <v>0</v>
      </c>
      <c r="H9" s="62">
        <f>IF('REDI FRAME PAYROLL'!I18&gt;40,'REDI FRAME PAYROLL'!I18-40,0)</f>
        <v>0</v>
      </c>
      <c r="I9" s="60"/>
      <c r="J9" s="60"/>
      <c r="K9" s="60"/>
      <c r="L9" s="60"/>
      <c r="M9" s="60"/>
      <c r="N9" s="60"/>
      <c r="O9" s="60">
        <v>4</v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  <c r="AMK9"/>
      <c r="AML9"/>
      <c r="AMM9"/>
      <c r="AMN9"/>
      <c r="AMO9"/>
      <c r="AMP9"/>
      <c r="AMQ9"/>
      <c r="AMR9"/>
      <c r="AMS9"/>
      <c r="AMT9"/>
      <c r="AMU9"/>
      <c r="AMV9"/>
      <c r="AMW9"/>
      <c r="AMX9"/>
      <c r="AMY9"/>
      <c r="AMZ9"/>
      <c r="ANA9"/>
      <c r="ANB9"/>
      <c r="ANC9"/>
      <c r="AND9"/>
      <c r="ANE9"/>
      <c r="ANF9"/>
      <c r="ANG9"/>
      <c r="ANH9"/>
      <c r="ANI9"/>
      <c r="ANJ9"/>
      <c r="ANK9"/>
      <c r="ANL9"/>
      <c r="ANM9"/>
      <c r="ANN9"/>
      <c r="ANO9"/>
      <c r="ANP9"/>
      <c r="ANQ9"/>
      <c r="ANR9"/>
      <c r="ANS9"/>
      <c r="ANT9"/>
      <c r="ANU9"/>
      <c r="ANV9"/>
      <c r="ANW9"/>
      <c r="ANX9"/>
      <c r="ANY9"/>
      <c r="ANZ9"/>
      <c r="AOA9"/>
      <c r="AOB9"/>
      <c r="AOC9"/>
      <c r="AOD9"/>
      <c r="AOE9"/>
      <c r="AOF9"/>
      <c r="AOG9"/>
      <c r="AOH9"/>
      <c r="AOI9"/>
      <c r="AOJ9"/>
      <c r="AOK9"/>
      <c r="AOL9"/>
      <c r="AOM9"/>
      <c r="AON9"/>
      <c r="AOO9"/>
      <c r="AOP9"/>
      <c r="AOQ9"/>
      <c r="AOR9"/>
      <c r="AOS9"/>
      <c r="AOT9"/>
      <c r="AOU9"/>
      <c r="AOV9"/>
      <c r="AOW9"/>
      <c r="AOX9"/>
      <c r="AOY9"/>
      <c r="AOZ9"/>
      <c r="APA9"/>
      <c r="APB9"/>
      <c r="APC9"/>
      <c r="APD9"/>
      <c r="APE9"/>
      <c r="APF9"/>
      <c r="APG9"/>
      <c r="APH9"/>
      <c r="API9"/>
      <c r="APJ9"/>
      <c r="APK9"/>
      <c r="APL9"/>
      <c r="APM9"/>
      <c r="APN9"/>
      <c r="APO9"/>
      <c r="APP9"/>
      <c r="APQ9"/>
      <c r="APR9"/>
      <c r="APS9"/>
      <c r="APT9"/>
      <c r="APU9"/>
      <c r="APV9"/>
      <c r="APW9"/>
      <c r="APX9"/>
      <c r="APY9"/>
      <c r="APZ9"/>
      <c r="AQA9"/>
      <c r="AQB9"/>
      <c r="AQC9"/>
      <c r="AQD9"/>
      <c r="AQE9"/>
      <c r="AQF9"/>
      <c r="AQG9"/>
      <c r="AQH9"/>
      <c r="AQI9"/>
      <c r="AQJ9"/>
      <c r="AQK9"/>
      <c r="AQL9"/>
      <c r="AQM9"/>
      <c r="AQN9"/>
      <c r="AQO9"/>
      <c r="AQP9"/>
      <c r="AQQ9"/>
      <c r="AQR9"/>
      <c r="AQS9"/>
      <c r="AQT9"/>
      <c r="AQU9"/>
      <c r="AQV9"/>
      <c r="AQW9"/>
      <c r="AQX9"/>
      <c r="AQY9"/>
      <c r="AQZ9"/>
      <c r="ARA9"/>
      <c r="ARB9"/>
      <c r="ARC9"/>
      <c r="ARD9"/>
      <c r="ARE9"/>
      <c r="ARF9"/>
      <c r="ARG9"/>
      <c r="ARH9"/>
      <c r="ARI9"/>
      <c r="ARJ9"/>
      <c r="ARK9"/>
      <c r="ARL9"/>
      <c r="ARM9"/>
      <c r="ARN9"/>
      <c r="ARO9"/>
      <c r="ARP9"/>
      <c r="ARQ9"/>
      <c r="ARR9"/>
      <c r="ARS9"/>
      <c r="ART9"/>
      <c r="ARU9"/>
      <c r="ARV9"/>
      <c r="ARW9"/>
      <c r="ARX9"/>
      <c r="ARY9"/>
      <c r="ARZ9"/>
      <c r="ASA9"/>
      <c r="ASB9"/>
      <c r="ASC9"/>
      <c r="ASD9"/>
      <c r="ASE9"/>
      <c r="ASF9"/>
      <c r="ASG9"/>
      <c r="ASH9"/>
      <c r="ASI9"/>
      <c r="ASJ9"/>
      <c r="ASK9"/>
      <c r="ASL9"/>
      <c r="ASM9"/>
      <c r="ASN9"/>
      <c r="ASO9"/>
      <c r="ASP9"/>
      <c r="ASQ9"/>
      <c r="ASR9"/>
      <c r="ASS9"/>
      <c r="AST9"/>
      <c r="ASU9"/>
      <c r="ASV9"/>
      <c r="ASW9"/>
      <c r="ASX9"/>
      <c r="ASY9"/>
      <c r="ASZ9"/>
      <c r="ATA9"/>
      <c r="ATB9"/>
      <c r="ATC9"/>
      <c r="ATD9"/>
      <c r="ATE9"/>
      <c r="ATF9"/>
      <c r="ATG9"/>
      <c r="ATH9"/>
      <c r="ATI9"/>
      <c r="ATJ9"/>
      <c r="ATK9"/>
      <c r="ATL9"/>
      <c r="ATM9"/>
      <c r="ATN9"/>
      <c r="ATO9"/>
      <c r="ATP9"/>
      <c r="ATQ9"/>
      <c r="ATR9"/>
      <c r="ATS9"/>
      <c r="ATT9"/>
      <c r="ATU9"/>
      <c r="ATV9"/>
      <c r="ATW9"/>
      <c r="ATX9"/>
      <c r="ATY9"/>
      <c r="ATZ9"/>
      <c r="AUA9"/>
      <c r="AUB9"/>
      <c r="AUC9"/>
      <c r="AUD9"/>
      <c r="AUE9"/>
      <c r="AUF9"/>
      <c r="AUG9"/>
      <c r="AUH9"/>
      <c r="AUI9"/>
      <c r="AUJ9"/>
      <c r="AUK9"/>
      <c r="AUL9"/>
      <c r="AUM9"/>
      <c r="AUN9"/>
      <c r="AUO9"/>
      <c r="AUP9"/>
      <c r="AUQ9"/>
      <c r="AUR9"/>
      <c r="AUS9"/>
      <c r="AUT9"/>
      <c r="AUU9"/>
      <c r="AUV9"/>
      <c r="AUW9"/>
      <c r="AUX9"/>
      <c r="AUY9"/>
      <c r="AUZ9"/>
      <c r="AVA9"/>
      <c r="AVB9"/>
      <c r="AVC9"/>
      <c r="AVD9"/>
      <c r="AVE9"/>
      <c r="AVF9"/>
      <c r="AVG9"/>
      <c r="AVH9"/>
      <c r="AVI9"/>
      <c r="AVJ9"/>
      <c r="AVK9"/>
      <c r="AVL9"/>
      <c r="AVM9"/>
      <c r="AVN9"/>
      <c r="AVO9"/>
      <c r="AVP9"/>
      <c r="AVQ9"/>
      <c r="AVR9"/>
      <c r="AVS9"/>
      <c r="AVT9"/>
      <c r="AVU9"/>
      <c r="AVV9"/>
      <c r="AVW9"/>
      <c r="AVX9"/>
      <c r="AVY9"/>
      <c r="AVZ9"/>
      <c r="AWA9"/>
      <c r="AWB9"/>
      <c r="AWC9"/>
      <c r="AWD9"/>
      <c r="AWE9"/>
      <c r="AWF9"/>
      <c r="AWG9"/>
      <c r="AWH9"/>
      <c r="AWI9"/>
      <c r="AWJ9"/>
      <c r="AWK9"/>
      <c r="AWL9"/>
      <c r="AWM9"/>
      <c r="AWN9"/>
      <c r="AWO9"/>
      <c r="AWP9"/>
      <c r="AWQ9"/>
      <c r="AWR9"/>
      <c r="AWS9"/>
      <c r="AWT9"/>
      <c r="AWU9"/>
      <c r="AWV9"/>
      <c r="AWW9"/>
      <c r="AWX9"/>
      <c r="AWY9"/>
      <c r="AWZ9"/>
      <c r="AXA9"/>
      <c r="AXB9"/>
      <c r="AXC9"/>
      <c r="AXD9"/>
      <c r="AXE9"/>
      <c r="AXF9"/>
      <c r="AXG9"/>
      <c r="AXH9"/>
      <c r="AXI9"/>
      <c r="AXJ9"/>
      <c r="AXK9"/>
      <c r="AXL9"/>
      <c r="AXM9"/>
      <c r="AXN9"/>
      <c r="AXO9"/>
      <c r="AXP9"/>
      <c r="AXQ9"/>
      <c r="AXR9"/>
      <c r="AXS9"/>
      <c r="AXT9"/>
      <c r="AXU9"/>
      <c r="AXV9"/>
      <c r="AXW9"/>
      <c r="AXX9"/>
      <c r="AXY9"/>
      <c r="AXZ9"/>
      <c r="AYA9"/>
      <c r="AYB9"/>
      <c r="AYC9"/>
      <c r="AYD9"/>
      <c r="AYE9"/>
      <c r="AYF9"/>
      <c r="AYG9"/>
      <c r="AYH9"/>
      <c r="AYI9"/>
      <c r="AYJ9"/>
      <c r="AYK9"/>
      <c r="AYL9"/>
      <c r="AYM9"/>
      <c r="AYN9"/>
      <c r="AYO9"/>
      <c r="AYP9"/>
      <c r="AYQ9"/>
      <c r="AYR9"/>
      <c r="AYS9"/>
      <c r="AYT9"/>
      <c r="AYU9"/>
      <c r="AYV9"/>
      <c r="AYW9"/>
      <c r="AYX9"/>
      <c r="AYY9"/>
      <c r="AYZ9"/>
      <c r="AZA9"/>
      <c r="AZB9"/>
      <c r="AZC9"/>
      <c r="AZD9"/>
      <c r="AZE9"/>
      <c r="AZF9"/>
      <c r="AZG9"/>
      <c r="AZH9"/>
      <c r="AZI9"/>
      <c r="AZJ9"/>
      <c r="AZK9"/>
      <c r="AZL9"/>
      <c r="AZM9"/>
      <c r="AZN9"/>
      <c r="AZO9"/>
      <c r="AZP9"/>
      <c r="AZQ9"/>
      <c r="AZR9"/>
      <c r="AZS9"/>
      <c r="AZT9"/>
      <c r="AZU9"/>
      <c r="AZV9"/>
      <c r="AZW9"/>
      <c r="AZX9"/>
      <c r="AZY9"/>
      <c r="AZZ9"/>
      <c r="BAA9"/>
      <c r="BAB9"/>
      <c r="BAC9"/>
      <c r="BAD9"/>
      <c r="BAE9"/>
      <c r="BAF9"/>
      <c r="BAG9"/>
      <c r="BAH9"/>
      <c r="BAI9"/>
      <c r="BAJ9"/>
      <c r="BAK9"/>
      <c r="BAL9"/>
      <c r="BAM9"/>
      <c r="BAN9"/>
      <c r="BAO9"/>
      <c r="BAP9"/>
      <c r="BAQ9"/>
      <c r="BAR9"/>
      <c r="BAS9"/>
      <c r="BAT9"/>
      <c r="BAU9"/>
      <c r="BAV9"/>
      <c r="BAW9"/>
      <c r="BAX9"/>
      <c r="BAY9"/>
      <c r="BAZ9"/>
      <c r="BBA9"/>
      <c r="BBB9"/>
      <c r="BBC9"/>
      <c r="BBD9"/>
      <c r="BBE9"/>
      <c r="BBF9"/>
      <c r="BBG9"/>
      <c r="BBH9"/>
      <c r="BBI9"/>
      <c r="BBJ9"/>
      <c r="BBK9"/>
      <c r="BBL9"/>
      <c r="BBM9"/>
      <c r="BBN9"/>
      <c r="BBO9"/>
      <c r="BBP9"/>
      <c r="BBQ9"/>
      <c r="BBR9"/>
      <c r="BBS9"/>
      <c r="BBT9"/>
      <c r="BBU9"/>
      <c r="BBV9"/>
      <c r="BBW9"/>
      <c r="BBX9"/>
      <c r="BBY9"/>
      <c r="BBZ9"/>
      <c r="BCA9"/>
      <c r="BCB9"/>
      <c r="BCC9"/>
      <c r="BCD9"/>
      <c r="BCE9"/>
      <c r="BCF9"/>
      <c r="BCG9"/>
      <c r="BCH9"/>
      <c r="BCI9"/>
      <c r="BCJ9"/>
      <c r="BCK9"/>
      <c r="BCL9"/>
      <c r="BCM9"/>
      <c r="BCN9"/>
      <c r="BCO9"/>
      <c r="BCP9"/>
      <c r="BCQ9"/>
      <c r="BCR9"/>
      <c r="BCS9"/>
      <c r="BCT9"/>
      <c r="BCU9"/>
      <c r="BCV9"/>
      <c r="BCW9"/>
      <c r="BCX9"/>
      <c r="BCY9"/>
      <c r="BCZ9"/>
      <c r="BDA9"/>
      <c r="BDB9"/>
      <c r="BDC9"/>
      <c r="BDD9"/>
      <c r="BDE9"/>
      <c r="BDF9"/>
      <c r="BDG9"/>
      <c r="BDH9"/>
      <c r="BDI9"/>
      <c r="BDJ9"/>
      <c r="BDK9"/>
      <c r="BDL9"/>
      <c r="BDM9"/>
      <c r="BDN9"/>
      <c r="BDO9"/>
      <c r="BDP9"/>
      <c r="BDQ9"/>
      <c r="BDR9"/>
      <c r="BDS9"/>
      <c r="BDT9"/>
      <c r="BDU9"/>
      <c r="BDV9"/>
      <c r="BDW9"/>
      <c r="BDX9"/>
      <c r="BDY9"/>
      <c r="BDZ9"/>
      <c r="BEA9"/>
      <c r="BEB9"/>
      <c r="BEC9"/>
      <c r="BED9"/>
      <c r="BEE9"/>
      <c r="BEF9"/>
      <c r="BEG9"/>
      <c r="BEH9"/>
      <c r="BEI9"/>
      <c r="BEJ9"/>
      <c r="BEK9"/>
      <c r="BEL9"/>
      <c r="BEM9"/>
      <c r="BEN9"/>
      <c r="BEO9"/>
      <c r="BEP9"/>
      <c r="BEQ9"/>
      <c r="BER9"/>
      <c r="BES9"/>
      <c r="BET9"/>
      <c r="BEU9"/>
      <c r="BEV9"/>
      <c r="BEW9"/>
      <c r="BEX9"/>
      <c r="BEY9"/>
      <c r="BEZ9"/>
      <c r="BFA9"/>
      <c r="BFB9"/>
      <c r="BFC9"/>
      <c r="BFD9"/>
      <c r="BFE9"/>
      <c r="BFF9"/>
      <c r="BFG9"/>
      <c r="BFH9"/>
      <c r="BFI9"/>
      <c r="BFJ9"/>
      <c r="BFK9"/>
      <c r="BFL9"/>
      <c r="BFM9"/>
      <c r="BFN9"/>
      <c r="BFO9"/>
      <c r="BFP9"/>
      <c r="BFQ9"/>
      <c r="BFR9"/>
      <c r="BFS9"/>
      <c r="BFT9"/>
      <c r="BFU9"/>
      <c r="BFV9"/>
      <c r="BFW9"/>
      <c r="BFX9"/>
      <c r="BFY9"/>
      <c r="BFZ9"/>
      <c r="BGA9"/>
      <c r="BGB9"/>
      <c r="BGC9"/>
      <c r="BGD9"/>
      <c r="BGE9"/>
      <c r="BGF9"/>
      <c r="BGG9"/>
      <c r="BGH9"/>
      <c r="BGI9"/>
      <c r="BGJ9"/>
      <c r="BGK9"/>
      <c r="BGL9"/>
      <c r="BGM9"/>
      <c r="BGN9"/>
      <c r="BGO9"/>
      <c r="BGP9"/>
      <c r="BGQ9"/>
      <c r="BGR9"/>
      <c r="BGS9"/>
      <c r="BGT9"/>
      <c r="BGU9"/>
      <c r="BGV9"/>
      <c r="BGW9"/>
      <c r="BGX9"/>
      <c r="BGY9"/>
      <c r="BGZ9"/>
      <c r="BHA9"/>
      <c r="BHB9"/>
      <c r="BHC9"/>
      <c r="BHD9"/>
      <c r="BHE9"/>
      <c r="BHF9"/>
      <c r="BHG9"/>
      <c r="BHH9"/>
      <c r="BHI9"/>
      <c r="BHJ9"/>
      <c r="BHK9"/>
      <c r="BHL9"/>
      <c r="BHM9"/>
      <c r="BHN9"/>
      <c r="BHO9"/>
      <c r="BHP9"/>
      <c r="BHQ9"/>
      <c r="BHR9"/>
      <c r="BHS9"/>
      <c r="BHT9"/>
      <c r="BHU9"/>
      <c r="BHV9"/>
      <c r="BHW9"/>
      <c r="BHX9"/>
      <c r="BHY9"/>
      <c r="BHZ9"/>
      <c r="BIA9"/>
      <c r="BIB9"/>
      <c r="BIC9"/>
      <c r="BID9"/>
      <c r="BIE9"/>
      <c r="BIF9"/>
      <c r="BIG9"/>
      <c r="BIH9"/>
      <c r="BII9"/>
      <c r="BIJ9"/>
      <c r="BIK9"/>
      <c r="BIL9"/>
      <c r="BIM9"/>
      <c r="BIN9"/>
      <c r="BIO9"/>
      <c r="BIP9"/>
      <c r="BIQ9"/>
      <c r="BIR9"/>
      <c r="BIS9"/>
      <c r="BIT9"/>
      <c r="BIU9"/>
      <c r="BIV9"/>
      <c r="BIW9"/>
      <c r="BIX9"/>
      <c r="BIY9"/>
      <c r="BIZ9"/>
      <c r="BJA9"/>
      <c r="BJB9"/>
      <c r="BJC9"/>
      <c r="BJD9"/>
      <c r="BJE9"/>
      <c r="BJF9"/>
      <c r="BJG9"/>
      <c r="BJH9"/>
      <c r="BJI9"/>
      <c r="BJJ9"/>
      <c r="BJK9"/>
      <c r="BJL9"/>
      <c r="BJM9"/>
      <c r="BJN9"/>
      <c r="BJO9"/>
      <c r="BJP9"/>
      <c r="BJQ9"/>
      <c r="BJR9"/>
      <c r="BJS9"/>
      <c r="BJT9"/>
      <c r="BJU9"/>
      <c r="BJV9"/>
      <c r="BJW9"/>
      <c r="BJX9"/>
      <c r="BJY9"/>
      <c r="BJZ9"/>
      <c r="BKA9"/>
      <c r="BKB9"/>
      <c r="BKC9"/>
      <c r="BKD9"/>
      <c r="BKE9"/>
      <c r="BKF9"/>
      <c r="BKG9"/>
      <c r="BKH9"/>
      <c r="BKI9"/>
      <c r="BKJ9"/>
    </row>
    <row r="10" spans="1:1648" s="106" customFormat="1" ht="15.75">
      <c r="A10" s="123" t="s">
        <v>527</v>
      </c>
      <c r="B10" s="60" t="s">
        <v>1919</v>
      </c>
      <c r="C10" s="60" t="s">
        <v>512</v>
      </c>
      <c r="D10" s="60" t="s">
        <v>506</v>
      </c>
      <c r="E10" s="61">
        <v>13</v>
      </c>
      <c r="F10" s="62">
        <f>IF('REDI FRAME PAYROLL'!I6&gt;40,40,'REDI FRAME PAYROLL'!I6)</f>
        <v>0</v>
      </c>
      <c r="G10" s="63">
        <f>(Table26[[#This Row],[Reg Hr]]*Table26[[#This Row],[Rate]])+((Table26[[#This Row],[Ovt Hrs]]*1.5)*Table26[[#This Row],[Rate]])</f>
        <v>0</v>
      </c>
      <c r="H10" s="62">
        <f>IF('REDI FRAME PAYROLL'!I6&gt;40,'REDI FRAME PAYROLL'!I6-40,0)</f>
        <v>0</v>
      </c>
      <c r="I10" s="60"/>
      <c r="J10" s="61"/>
      <c r="K10" s="60"/>
      <c r="L10" s="60"/>
      <c r="M10" s="60"/>
      <c r="N10" s="60"/>
      <c r="O10" s="60">
        <v>5</v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  <c r="AMK10"/>
      <c r="AML10"/>
      <c r="AMM10"/>
      <c r="AMN10"/>
      <c r="AMO10"/>
      <c r="AMP10"/>
      <c r="AMQ10"/>
      <c r="AMR10"/>
      <c r="AMS10"/>
      <c r="AMT10"/>
      <c r="AMU10"/>
      <c r="AMV10"/>
      <c r="AMW10"/>
      <c r="AMX10"/>
      <c r="AMY10"/>
      <c r="AMZ10"/>
      <c r="ANA10"/>
      <c r="ANB10"/>
      <c r="ANC10"/>
      <c r="AND10"/>
      <c r="ANE10"/>
      <c r="ANF10"/>
      <c r="ANG10"/>
      <c r="ANH10"/>
      <c r="ANI10"/>
      <c r="ANJ10"/>
      <c r="ANK10"/>
      <c r="ANL10"/>
      <c r="ANM10"/>
      <c r="ANN10"/>
      <c r="ANO10"/>
      <c r="ANP10"/>
      <c r="ANQ10"/>
      <c r="ANR10"/>
      <c r="ANS10"/>
      <c r="ANT10"/>
      <c r="ANU10"/>
      <c r="ANV10"/>
      <c r="ANW10"/>
      <c r="ANX10"/>
      <c r="ANY10"/>
      <c r="ANZ10"/>
      <c r="AOA10"/>
      <c r="AOB10"/>
      <c r="AOC10"/>
      <c r="AOD10"/>
      <c r="AOE10"/>
      <c r="AOF10"/>
      <c r="AOG10"/>
      <c r="AOH10"/>
      <c r="AOI10"/>
      <c r="AOJ10"/>
      <c r="AOK10"/>
      <c r="AOL10"/>
      <c r="AOM10"/>
      <c r="AON10"/>
      <c r="AOO10"/>
      <c r="AOP10"/>
      <c r="AOQ10"/>
      <c r="AOR10"/>
      <c r="AOS10"/>
      <c r="AOT10"/>
      <c r="AOU10"/>
      <c r="AOV10"/>
      <c r="AOW10"/>
      <c r="AOX10"/>
      <c r="AOY10"/>
      <c r="AOZ10"/>
      <c r="APA10"/>
      <c r="APB10"/>
      <c r="APC10"/>
      <c r="APD10"/>
      <c r="APE10"/>
      <c r="APF10"/>
      <c r="APG10"/>
      <c r="APH10"/>
      <c r="API10"/>
      <c r="APJ10"/>
      <c r="APK10"/>
      <c r="APL10"/>
      <c r="APM10"/>
      <c r="APN10"/>
      <c r="APO10"/>
      <c r="APP10"/>
      <c r="APQ10"/>
      <c r="APR10"/>
      <c r="APS10"/>
      <c r="APT10"/>
      <c r="APU10"/>
      <c r="APV10"/>
      <c r="APW10"/>
      <c r="APX10"/>
      <c r="APY10"/>
      <c r="APZ10"/>
      <c r="AQA10"/>
      <c r="AQB10"/>
      <c r="AQC10"/>
      <c r="AQD10"/>
      <c r="AQE10"/>
      <c r="AQF10"/>
      <c r="AQG10"/>
      <c r="AQH10"/>
      <c r="AQI10"/>
      <c r="AQJ10"/>
      <c r="AQK10"/>
      <c r="AQL10"/>
      <c r="AQM10"/>
      <c r="AQN10"/>
      <c r="AQO10"/>
      <c r="AQP10"/>
      <c r="AQQ10"/>
      <c r="AQR10"/>
      <c r="AQS10"/>
      <c r="AQT10"/>
      <c r="AQU10"/>
      <c r="AQV10"/>
      <c r="AQW10"/>
      <c r="AQX10"/>
      <c r="AQY10"/>
      <c r="AQZ10"/>
      <c r="ARA10"/>
      <c r="ARB10"/>
      <c r="ARC10"/>
      <c r="ARD10"/>
      <c r="ARE10"/>
      <c r="ARF10"/>
      <c r="ARG10"/>
      <c r="ARH10"/>
      <c r="ARI10"/>
      <c r="ARJ10"/>
      <c r="ARK10"/>
      <c r="ARL10"/>
      <c r="ARM10"/>
      <c r="ARN10"/>
      <c r="ARO10"/>
      <c r="ARP10"/>
      <c r="ARQ10"/>
      <c r="ARR10"/>
      <c r="ARS10"/>
      <c r="ART10"/>
      <c r="ARU10"/>
      <c r="ARV10"/>
      <c r="ARW10"/>
      <c r="ARX10"/>
      <c r="ARY10"/>
      <c r="ARZ10"/>
      <c r="ASA10"/>
      <c r="ASB10"/>
      <c r="ASC10"/>
      <c r="ASD10"/>
      <c r="ASE10"/>
      <c r="ASF10"/>
      <c r="ASG10"/>
      <c r="ASH10"/>
      <c r="ASI10"/>
      <c r="ASJ10"/>
      <c r="ASK10"/>
      <c r="ASL10"/>
      <c r="ASM10"/>
      <c r="ASN10"/>
      <c r="ASO10"/>
      <c r="ASP10"/>
      <c r="ASQ10"/>
      <c r="ASR10"/>
      <c r="ASS10"/>
      <c r="AST10"/>
      <c r="ASU10"/>
      <c r="ASV10"/>
      <c r="ASW10"/>
      <c r="ASX10"/>
      <c r="ASY10"/>
      <c r="ASZ10"/>
      <c r="ATA10"/>
      <c r="ATB10"/>
      <c r="ATC10"/>
      <c r="ATD10"/>
      <c r="ATE10"/>
      <c r="ATF10"/>
      <c r="ATG10"/>
      <c r="ATH10"/>
      <c r="ATI10"/>
      <c r="ATJ10"/>
      <c r="ATK10"/>
      <c r="ATL10"/>
      <c r="ATM10"/>
      <c r="ATN10"/>
      <c r="ATO10"/>
      <c r="ATP10"/>
      <c r="ATQ10"/>
      <c r="ATR10"/>
      <c r="ATS10"/>
      <c r="ATT10"/>
      <c r="ATU10"/>
      <c r="ATV10"/>
      <c r="ATW10"/>
      <c r="ATX10"/>
      <c r="ATY10"/>
      <c r="ATZ10"/>
      <c r="AUA10"/>
      <c r="AUB10"/>
      <c r="AUC10"/>
      <c r="AUD10"/>
      <c r="AUE10"/>
      <c r="AUF10"/>
      <c r="AUG10"/>
      <c r="AUH10"/>
      <c r="AUI10"/>
      <c r="AUJ10"/>
      <c r="AUK10"/>
      <c r="AUL10"/>
      <c r="AUM10"/>
      <c r="AUN10"/>
      <c r="AUO10"/>
      <c r="AUP10"/>
      <c r="AUQ10"/>
      <c r="AUR10"/>
      <c r="AUS10"/>
      <c r="AUT10"/>
      <c r="AUU10"/>
      <c r="AUV10"/>
      <c r="AUW10"/>
      <c r="AUX10"/>
      <c r="AUY10"/>
      <c r="AUZ10"/>
      <c r="AVA10"/>
      <c r="AVB10"/>
      <c r="AVC10"/>
      <c r="AVD10"/>
      <c r="AVE10"/>
      <c r="AVF10"/>
      <c r="AVG10"/>
      <c r="AVH10"/>
      <c r="AVI10"/>
      <c r="AVJ10"/>
      <c r="AVK10"/>
      <c r="AVL10"/>
      <c r="AVM10"/>
      <c r="AVN10"/>
      <c r="AVO10"/>
      <c r="AVP10"/>
      <c r="AVQ10"/>
      <c r="AVR10"/>
      <c r="AVS10"/>
      <c r="AVT10"/>
      <c r="AVU10"/>
      <c r="AVV10"/>
      <c r="AVW10"/>
      <c r="AVX10"/>
      <c r="AVY10"/>
      <c r="AVZ10"/>
      <c r="AWA10"/>
      <c r="AWB10"/>
      <c r="AWC10"/>
      <c r="AWD10"/>
      <c r="AWE10"/>
      <c r="AWF10"/>
      <c r="AWG10"/>
      <c r="AWH10"/>
      <c r="AWI10"/>
      <c r="AWJ10"/>
      <c r="AWK10"/>
      <c r="AWL10"/>
      <c r="AWM10"/>
      <c r="AWN10"/>
      <c r="AWO10"/>
      <c r="AWP10"/>
      <c r="AWQ10"/>
      <c r="AWR10"/>
      <c r="AWS10"/>
      <c r="AWT10"/>
      <c r="AWU10"/>
      <c r="AWV10"/>
      <c r="AWW10"/>
      <c r="AWX10"/>
      <c r="AWY10"/>
      <c r="AWZ10"/>
      <c r="AXA10"/>
      <c r="AXB10"/>
      <c r="AXC10"/>
      <c r="AXD10"/>
      <c r="AXE10"/>
      <c r="AXF10"/>
      <c r="AXG10"/>
      <c r="AXH10"/>
      <c r="AXI10"/>
      <c r="AXJ10"/>
      <c r="AXK10"/>
      <c r="AXL10"/>
      <c r="AXM10"/>
      <c r="AXN10"/>
      <c r="AXO10"/>
      <c r="AXP10"/>
      <c r="AXQ10"/>
      <c r="AXR10"/>
      <c r="AXS10"/>
      <c r="AXT10"/>
      <c r="AXU10"/>
      <c r="AXV10"/>
      <c r="AXW10"/>
      <c r="AXX10"/>
      <c r="AXY10"/>
      <c r="AXZ10"/>
      <c r="AYA10"/>
      <c r="AYB10"/>
      <c r="AYC10"/>
      <c r="AYD10"/>
      <c r="AYE10"/>
      <c r="AYF10"/>
      <c r="AYG10"/>
      <c r="AYH10"/>
      <c r="AYI10"/>
      <c r="AYJ10"/>
      <c r="AYK10"/>
      <c r="AYL10"/>
      <c r="AYM10"/>
      <c r="AYN10"/>
      <c r="AYO10"/>
      <c r="AYP10"/>
      <c r="AYQ10"/>
      <c r="AYR10"/>
      <c r="AYS10"/>
      <c r="AYT10"/>
      <c r="AYU10"/>
      <c r="AYV10"/>
      <c r="AYW10"/>
      <c r="AYX10"/>
      <c r="AYY10"/>
      <c r="AYZ10"/>
      <c r="AZA10"/>
      <c r="AZB10"/>
      <c r="AZC10"/>
      <c r="AZD10"/>
      <c r="AZE10"/>
      <c r="AZF10"/>
      <c r="AZG10"/>
      <c r="AZH10"/>
      <c r="AZI10"/>
      <c r="AZJ10"/>
      <c r="AZK10"/>
      <c r="AZL10"/>
      <c r="AZM10"/>
      <c r="AZN10"/>
      <c r="AZO10"/>
      <c r="AZP10"/>
      <c r="AZQ10"/>
      <c r="AZR10"/>
      <c r="AZS10"/>
      <c r="AZT10"/>
      <c r="AZU10"/>
      <c r="AZV10"/>
      <c r="AZW10"/>
      <c r="AZX10"/>
      <c r="AZY10"/>
      <c r="AZZ10"/>
      <c r="BAA10"/>
      <c r="BAB10"/>
      <c r="BAC10"/>
      <c r="BAD10"/>
      <c r="BAE10"/>
      <c r="BAF10"/>
      <c r="BAG10"/>
      <c r="BAH10"/>
      <c r="BAI10"/>
      <c r="BAJ10"/>
      <c r="BAK10"/>
      <c r="BAL10"/>
      <c r="BAM10"/>
      <c r="BAN10"/>
      <c r="BAO10"/>
      <c r="BAP10"/>
      <c r="BAQ10"/>
      <c r="BAR10"/>
      <c r="BAS10"/>
      <c r="BAT10"/>
      <c r="BAU10"/>
      <c r="BAV10"/>
      <c r="BAW10"/>
      <c r="BAX10"/>
      <c r="BAY10"/>
      <c r="BAZ10"/>
      <c r="BBA10"/>
      <c r="BBB10"/>
      <c r="BBC10"/>
      <c r="BBD10"/>
      <c r="BBE10"/>
      <c r="BBF10"/>
      <c r="BBG10"/>
      <c r="BBH10"/>
      <c r="BBI10"/>
      <c r="BBJ10"/>
      <c r="BBK10"/>
      <c r="BBL10"/>
      <c r="BBM10"/>
      <c r="BBN10"/>
      <c r="BBO10"/>
      <c r="BBP10"/>
      <c r="BBQ10"/>
      <c r="BBR10"/>
      <c r="BBS10"/>
      <c r="BBT10"/>
      <c r="BBU10"/>
      <c r="BBV10"/>
      <c r="BBW10"/>
      <c r="BBX10"/>
      <c r="BBY10"/>
      <c r="BBZ10"/>
      <c r="BCA10"/>
      <c r="BCB10"/>
      <c r="BCC10"/>
      <c r="BCD10"/>
      <c r="BCE10"/>
      <c r="BCF10"/>
      <c r="BCG10"/>
      <c r="BCH10"/>
      <c r="BCI10"/>
      <c r="BCJ10"/>
      <c r="BCK10"/>
      <c r="BCL10"/>
      <c r="BCM10"/>
      <c r="BCN10"/>
      <c r="BCO10"/>
      <c r="BCP10"/>
      <c r="BCQ10"/>
      <c r="BCR10"/>
      <c r="BCS10"/>
      <c r="BCT10"/>
      <c r="BCU10"/>
      <c r="BCV10"/>
      <c r="BCW10"/>
      <c r="BCX10"/>
      <c r="BCY10"/>
      <c r="BCZ10"/>
      <c r="BDA10"/>
      <c r="BDB10"/>
      <c r="BDC10"/>
      <c r="BDD10"/>
      <c r="BDE10"/>
      <c r="BDF10"/>
      <c r="BDG10"/>
      <c r="BDH10"/>
      <c r="BDI10"/>
      <c r="BDJ10"/>
      <c r="BDK10"/>
      <c r="BDL10"/>
      <c r="BDM10"/>
      <c r="BDN10"/>
      <c r="BDO10"/>
      <c r="BDP10"/>
      <c r="BDQ10"/>
      <c r="BDR10"/>
      <c r="BDS10"/>
      <c r="BDT10"/>
      <c r="BDU10"/>
      <c r="BDV10"/>
      <c r="BDW10"/>
      <c r="BDX10"/>
      <c r="BDY10"/>
      <c r="BDZ10"/>
      <c r="BEA10"/>
      <c r="BEB10"/>
      <c r="BEC10"/>
      <c r="BED10"/>
      <c r="BEE10"/>
      <c r="BEF10"/>
      <c r="BEG10"/>
      <c r="BEH10"/>
      <c r="BEI10"/>
      <c r="BEJ10"/>
      <c r="BEK10"/>
      <c r="BEL10"/>
      <c r="BEM10"/>
      <c r="BEN10"/>
      <c r="BEO10"/>
      <c r="BEP10"/>
      <c r="BEQ10"/>
      <c r="BER10"/>
      <c r="BES10"/>
      <c r="BET10"/>
      <c r="BEU10"/>
      <c r="BEV10"/>
      <c r="BEW10"/>
      <c r="BEX10"/>
      <c r="BEY10"/>
      <c r="BEZ10"/>
      <c r="BFA10"/>
      <c r="BFB10"/>
      <c r="BFC10"/>
      <c r="BFD10"/>
      <c r="BFE10"/>
      <c r="BFF10"/>
      <c r="BFG10"/>
      <c r="BFH10"/>
      <c r="BFI10"/>
      <c r="BFJ10"/>
      <c r="BFK10"/>
      <c r="BFL10"/>
      <c r="BFM10"/>
      <c r="BFN10"/>
      <c r="BFO10"/>
      <c r="BFP10"/>
      <c r="BFQ10"/>
      <c r="BFR10"/>
      <c r="BFS10"/>
      <c r="BFT10"/>
      <c r="BFU10"/>
      <c r="BFV10"/>
      <c r="BFW10"/>
      <c r="BFX10"/>
      <c r="BFY10"/>
      <c r="BFZ10"/>
      <c r="BGA10"/>
      <c r="BGB10"/>
      <c r="BGC10"/>
      <c r="BGD10"/>
      <c r="BGE10"/>
      <c r="BGF10"/>
      <c r="BGG10"/>
      <c r="BGH10"/>
      <c r="BGI10"/>
      <c r="BGJ10"/>
      <c r="BGK10"/>
      <c r="BGL10"/>
      <c r="BGM10"/>
      <c r="BGN10"/>
      <c r="BGO10"/>
      <c r="BGP10"/>
      <c r="BGQ10"/>
      <c r="BGR10"/>
      <c r="BGS10"/>
      <c r="BGT10"/>
      <c r="BGU10"/>
      <c r="BGV10"/>
      <c r="BGW10"/>
      <c r="BGX10"/>
      <c r="BGY10"/>
      <c r="BGZ10"/>
      <c r="BHA10"/>
      <c r="BHB10"/>
      <c r="BHC10"/>
      <c r="BHD10"/>
      <c r="BHE10"/>
      <c r="BHF10"/>
      <c r="BHG10"/>
      <c r="BHH10"/>
      <c r="BHI10"/>
      <c r="BHJ10"/>
      <c r="BHK10"/>
      <c r="BHL10"/>
      <c r="BHM10"/>
      <c r="BHN10"/>
      <c r="BHO10"/>
      <c r="BHP10"/>
      <c r="BHQ10"/>
      <c r="BHR10"/>
      <c r="BHS10"/>
      <c r="BHT10"/>
      <c r="BHU10"/>
      <c r="BHV10"/>
      <c r="BHW10"/>
      <c r="BHX10"/>
      <c r="BHY10"/>
      <c r="BHZ10"/>
      <c r="BIA10"/>
      <c r="BIB10"/>
      <c r="BIC10"/>
      <c r="BID10"/>
      <c r="BIE10"/>
      <c r="BIF10"/>
      <c r="BIG10"/>
      <c r="BIH10"/>
      <c r="BII10"/>
      <c r="BIJ10"/>
      <c r="BIK10"/>
      <c r="BIL10"/>
      <c r="BIM10"/>
      <c r="BIN10"/>
      <c r="BIO10"/>
      <c r="BIP10"/>
      <c r="BIQ10"/>
      <c r="BIR10"/>
      <c r="BIS10"/>
      <c r="BIT10"/>
      <c r="BIU10"/>
      <c r="BIV10"/>
      <c r="BIW10"/>
      <c r="BIX10"/>
      <c r="BIY10"/>
      <c r="BIZ10"/>
      <c r="BJA10"/>
      <c r="BJB10"/>
      <c r="BJC10"/>
      <c r="BJD10"/>
      <c r="BJE10"/>
      <c r="BJF10"/>
      <c r="BJG10"/>
      <c r="BJH10"/>
      <c r="BJI10"/>
      <c r="BJJ10"/>
      <c r="BJK10"/>
      <c r="BJL10"/>
      <c r="BJM10"/>
      <c r="BJN10"/>
      <c r="BJO10"/>
      <c r="BJP10"/>
      <c r="BJQ10"/>
      <c r="BJR10"/>
      <c r="BJS10"/>
      <c r="BJT10"/>
      <c r="BJU10"/>
      <c r="BJV10"/>
      <c r="BJW10"/>
      <c r="BJX10"/>
      <c r="BJY10"/>
      <c r="BJZ10"/>
      <c r="BKA10"/>
      <c r="BKB10"/>
      <c r="BKC10"/>
      <c r="BKD10"/>
      <c r="BKE10"/>
      <c r="BKF10"/>
      <c r="BKG10"/>
      <c r="BKH10"/>
      <c r="BKI10"/>
      <c r="BKJ10"/>
    </row>
    <row r="11" spans="1:1648" s="106" customFormat="1" ht="15.75">
      <c r="A11" s="123" t="s">
        <v>1843</v>
      </c>
      <c r="B11" s="60" t="s">
        <v>1920</v>
      </c>
      <c r="C11" s="60" t="s">
        <v>512</v>
      </c>
      <c r="D11" s="60" t="s">
        <v>506</v>
      </c>
      <c r="E11" s="61">
        <v>12</v>
      </c>
      <c r="F11" s="62">
        <f>IF('REDI FRAME PAYROLL'!I19&gt;40,40,'REDI FRAME PAYROLL'!I19)</f>
        <v>0</v>
      </c>
      <c r="G11" s="63">
        <f>(Table26[[#This Row],[Reg Hr]]*Table26[[#This Row],[Rate]])+((Table26[[#This Row],[Ovt Hrs]]*1.5)*Table26[[#This Row],[Rate]])</f>
        <v>0</v>
      </c>
      <c r="H11" s="62">
        <f>IF('REDI FRAME PAYROLL'!I19&gt;40,'REDI FRAME PAYROLL'!I19-40,0)</f>
        <v>0</v>
      </c>
      <c r="I11" s="60"/>
      <c r="J11" s="60"/>
      <c r="K11" s="60"/>
      <c r="L11" s="61"/>
      <c r="M11" s="60"/>
      <c r="N11" s="60"/>
      <c r="O11" s="60">
        <v>11</v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  <c r="AMK11"/>
      <c r="AML11"/>
      <c r="AMM11"/>
      <c r="AMN11"/>
      <c r="AMO11"/>
      <c r="AMP11"/>
      <c r="AMQ11"/>
      <c r="AMR11"/>
      <c r="AMS11"/>
      <c r="AMT11"/>
      <c r="AMU11"/>
      <c r="AMV11"/>
      <c r="AMW11"/>
      <c r="AMX11"/>
      <c r="AMY11"/>
      <c r="AMZ11"/>
      <c r="ANA11"/>
      <c r="ANB11"/>
      <c r="ANC11"/>
      <c r="AND11"/>
      <c r="ANE11"/>
      <c r="ANF11"/>
      <c r="ANG11"/>
      <c r="ANH11"/>
      <c r="ANI11"/>
      <c r="ANJ11"/>
      <c r="ANK11"/>
      <c r="ANL11"/>
      <c r="ANM11"/>
      <c r="ANN11"/>
      <c r="ANO11"/>
      <c r="ANP11"/>
      <c r="ANQ11"/>
      <c r="ANR11"/>
      <c r="ANS11"/>
      <c r="ANT11"/>
      <c r="ANU11"/>
      <c r="ANV11"/>
      <c r="ANW11"/>
      <c r="ANX11"/>
      <c r="ANY11"/>
      <c r="ANZ11"/>
      <c r="AOA11"/>
      <c r="AOB11"/>
      <c r="AOC11"/>
      <c r="AOD11"/>
      <c r="AOE11"/>
      <c r="AOF11"/>
      <c r="AOG11"/>
      <c r="AOH11"/>
      <c r="AOI11"/>
      <c r="AOJ11"/>
      <c r="AOK11"/>
      <c r="AOL11"/>
      <c r="AOM11"/>
      <c r="AON11"/>
      <c r="AOO11"/>
      <c r="AOP11"/>
      <c r="AOQ11"/>
      <c r="AOR11"/>
      <c r="AOS11"/>
      <c r="AOT11"/>
      <c r="AOU11"/>
      <c r="AOV11"/>
      <c r="AOW11"/>
      <c r="AOX11"/>
      <c r="AOY11"/>
      <c r="AOZ11"/>
      <c r="APA11"/>
      <c r="APB11"/>
      <c r="APC11"/>
      <c r="APD11"/>
      <c r="APE11"/>
      <c r="APF11"/>
      <c r="APG11"/>
      <c r="APH11"/>
      <c r="API11"/>
      <c r="APJ11"/>
      <c r="APK11"/>
      <c r="APL11"/>
      <c r="APM11"/>
      <c r="APN11"/>
      <c r="APO11"/>
      <c r="APP11"/>
      <c r="APQ11"/>
      <c r="APR11"/>
      <c r="APS11"/>
      <c r="APT11"/>
      <c r="APU11"/>
      <c r="APV11"/>
      <c r="APW11"/>
      <c r="APX11"/>
      <c r="APY11"/>
      <c r="APZ11"/>
      <c r="AQA11"/>
      <c r="AQB11"/>
      <c r="AQC11"/>
      <c r="AQD11"/>
      <c r="AQE11"/>
      <c r="AQF11"/>
      <c r="AQG11"/>
      <c r="AQH11"/>
      <c r="AQI11"/>
      <c r="AQJ11"/>
      <c r="AQK11"/>
      <c r="AQL11"/>
      <c r="AQM11"/>
      <c r="AQN11"/>
      <c r="AQO11"/>
      <c r="AQP11"/>
      <c r="AQQ11"/>
      <c r="AQR11"/>
      <c r="AQS11"/>
      <c r="AQT11"/>
      <c r="AQU11"/>
      <c r="AQV11"/>
      <c r="AQW11"/>
      <c r="AQX11"/>
      <c r="AQY11"/>
      <c r="AQZ11"/>
      <c r="ARA11"/>
      <c r="ARB11"/>
      <c r="ARC11"/>
      <c r="ARD11"/>
      <c r="ARE11"/>
      <c r="ARF11"/>
      <c r="ARG11"/>
      <c r="ARH11"/>
      <c r="ARI11"/>
      <c r="ARJ11"/>
      <c r="ARK11"/>
      <c r="ARL11"/>
      <c r="ARM11"/>
      <c r="ARN11"/>
      <c r="ARO11"/>
      <c r="ARP11"/>
      <c r="ARQ11"/>
      <c r="ARR11"/>
      <c r="ARS11"/>
      <c r="ART11"/>
      <c r="ARU11"/>
      <c r="ARV11"/>
      <c r="ARW11"/>
      <c r="ARX11"/>
      <c r="ARY11"/>
      <c r="ARZ11"/>
      <c r="ASA11"/>
      <c r="ASB11"/>
      <c r="ASC11"/>
      <c r="ASD11"/>
      <c r="ASE11"/>
      <c r="ASF11"/>
      <c r="ASG11"/>
      <c r="ASH11"/>
      <c r="ASI11"/>
      <c r="ASJ11"/>
      <c r="ASK11"/>
      <c r="ASL11"/>
      <c r="ASM11"/>
      <c r="ASN11"/>
      <c r="ASO11"/>
      <c r="ASP11"/>
      <c r="ASQ11"/>
      <c r="ASR11"/>
      <c r="ASS11"/>
      <c r="AST11"/>
      <c r="ASU11"/>
      <c r="ASV11"/>
      <c r="ASW11"/>
      <c r="ASX11"/>
      <c r="ASY11"/>
      <c r="ASZ11"/>
      <c r="ATA11"/>
      <c r="ATB11"/>
      <c r="ATC11"/>
      <c r="ATD11"/>
      <c r="ATE11"/>
      <c r="ATF11"/>
      <c r="ATG11"/>
      <c r="ATH11"/>
      <c r="ATI11"/>
      <c r="ATJ11"/>
      <c r="ATK11"/>
      <c r="ATL11"/>
      <c r="ATM11"/>
      <c r="ATN11"/>
      <c r="ATO11"/>
      <c r="ATP11"/>
      <c r="ATQ11"/>
      <c r="ATR11"/>
      <c r="ATS11"/>
      <c r="ATT11"/>
      <c r="ATU11"/>
      <c r="ATV11"/>
      <c r="ATW11"/>
      <c r="ATX11"/>
      <c r="ATY11"/>
      <c r="ATZ11"/>
      <c r="AUA11"/>
      <c r="AUB11"/>
      <c r="AUC11"/>
      <c r="AUD11"/>
      <c r="AUE11"/>
      <c r="AUF11"/>
      <c r="AUG11"/>
      <c r="AUH11"/>
      <c r="AUI11"/>
      <c r="AUJ11"/>
      <c r="AUK11"/>
      <c r="AUL11"/>
      <c r="AUM11"/>
      <c r="AUN11"/>
      <c r="AUO11"/>
      <c r="AUP11"/>
      <c r="AUQ11"/>
      <c r="AUR11"/>
      <c r="AUS11"/>
      <c r="AUT11"/>
      <c r="AUU11"/>
      <c r="AUV11"/>
      <c r="AUW11"/>
      <c r="AUX11"/>
      <c r="AUY11"/>
      <c r="AUZ11"/>
      <c r="AVA11"/>
      <c r="AVB11"/>
      <c r="AVC11"/>
      <c r="AVD11"/>
      <c r="AVE11"/>
      <c r="AVF11"/>
      <c r="AVG11"/>
      <c r="AVH11"/>
      <c r="AVI11"/>
      <c r="AVJ11"/>
      <c r="AVK11"/>
      <c r="AVL11"/>
      <c r="AVM11"/>
      <c r="AVN11"/>
      <c r="AVO11"/>
      <c r="AVP11"/>
      <c r="AVQ11"/>
      <c r="AVR11"/>
      <c r="AVS11"/>
      <c r="AVT11"/>
      <c r="AVU11"/>
      <c r="AVV11"/>
      <c r="AVW11"/>
      <c r="AVX11"/>
      <c r="AVY11"/>
      <c r="AVZ11"/>
      <c r="AWA11"/>
      <c r="AWB11"/>
      <c r="AWC11"/>
      <c r="AWD11"/>
      <c r="AWE11"/>
      <c r="AWF11"/>
      <c r="AWG11"/>
      <c r="AWH11"/>
      <c r="AWI11"/>
      <c r="AWJ11"/>
      <c r="AWK11"/>
      <c r="AWL11"/>
      <c r="AWM11"/>
      <c r="AWN11"/>
      <c r="AWO11"/>
      <c r="AWP11"/>
      <c r="AWQ11"/>
      <c r="AWR11"/>
      <c r="AWS11"/>
      <c r="AWT11"/>
      <c r="AWU11"/>
      <c r="AWV11"/>
      <c r="AWW11"/>
      <c r="AWX11"/>
      <c r="AWY11"/>
      <c r="AWZ11"/>
      <c r="AXA11"/>
      <c r="AXB11"/>
      <c r="AXC11"/>
      <c r="AXD11"/>
      <c r="AXE11"/>
      <c r="AXF11"/>
      <c r="AXG11"/>
      <c r="AXH11"/>
      <c r="AXI11"/>
      <c r="AXJ11"/>
      <c r="AXK11"/>
      <c r="AXL11"/>
      <c r="AXM11"/>
      <c r="AXN11"/>
      <c r="AXO11"/>
      <c r="AXP11"/>
      <c r="AXQ11"/>
      <c r="AXR11"/>
      <c r="AXS11"/>
      <c r="AXT11"/>
      <c r="AXU11"/>
      <c r="AXV11"/>
      <c r="AXW11"/>
      <c r="AXX11"/>
      <c r="AXY11"/>
      <c r="AXZ11"/>
      <c r="AYA11"/>
      <c r="AYB11"/>
      <c r="AYC11"/>
      <c r="AYD11"/>
      <c r="AYE11"/>
      <c r="AYF11"/>
      <c r="AYG11"/>
      <c r="AYH11"/>
      <c r="AYI11"/>
      <c r="AYJ11"/>
      <c r="AYK11"/>
      <c r="AYL11"/>
      <c r="AYM11"/>
      <c r="AYN11"/>
      <c r="AYO11"/>
      <c r="AYP11"/>
      <c r="AYQ11"/>
      <c r="AYR11"/>
      <c r="AYS11"/>
      <c r="AYT11"/>
      <c r="AYU11"/>
      <c r="AYV11"/>
      <c r="AYW11"/>
      <c r="AYX11"/>
      <c r="AYY11"/>
      <c r="AYZ11"/>
      <c r="AZA11"/>
      <c r="AZB11"/>
      <c r="AZC11"/>
      <c r="AZD11"/>
      <c r="AZE11"/>
      <c r="AZF11"/>
      <c r="AZG11"/>
      <c r="AZH11"/>
      <c r="AZI11"/>
      <c r="AZJ11"/>
      <c r="AZK11"/>
      <c r="AZL11"/>
      <c r="AZM11"/>
      <c r="AZN11"/>
      <c r="AZO11"/>
      <c r="AZP11"/>
      <c r="AZQ11"/>
      <c r="AZR11"/>
      <c r="AZS11"/>
      <c r="AZT11"/>
      <c r="AZU11"/>
      <c r="AZV11"/>
      <c r="AZW11"/>
      <c r="AZX11"/>
      <c r="AZY11"/>
      <c r="AZZ11"/>
      <c r="BAA11"/>
      <c r="BAB11"/>
      <c r="BAC11"/>
      <c r="BAD11"/>
      <c r="BAE11"/>
      <c r="BAF11"/>
      <c r="BAG11"/>
      <c r="BAH11"/>
      <c r="BAI11"/>
      <c r="BAJ11"/>
      <c r="BAK11"/>
      <c r="BAL11"/>
      <c r="BAM11"/>
      <c r="BAN11"/>
      <c r="BAO11"/>
      <c r="BAP11"/>
      <c r="BAQ11"/>
      <c r="BAR11"/>
      <c r="BAS11"/>
      <c r="BAT11"/>
      <c r="BAU11"/>
      <c r="BAV11"/>
      <c r="BAW11"/>
      <c r="BAX11"/>
      <c r="BAY11"/>
      <c r="BAZ11"/>
      <c r="BBA11"/>
      <c r="BBB11"/>
      <c r="BBC11"/>
      <c r="BBD11"/>
      <c r="BBE11"/>
      <c r="BBF11"/>
      <c r="BBG11"/>
      <c r="BBH11"/>
      <c r="BBI11"/>
      <c r="BBJ11"/>
      <c r="BBK11"/>
      <c r="BBL11"/>
      <c r="BBM11"/>
      <c r="BBN11"/>
      <c r="BBO11"/>
      <c r="BBP11"/>
      <c r="BBQ11"/>
      <c r="BBR11"/>
      <c r="BBS11"/>
      <c r="BBT11"/>
      <c r="BBU11"/>
      <c r="BBV11"/>
      <c r="BBW11"/>
      <c r="BBX11"/>
      <c r="BBY11"/>
      <c r="BBZ11"/>
      <c r="BCA11"/>
      <c r="BCB11"/>
      <c r="BCC11"/>
      <c r="BCD11"/>
      <c r="BCE11"/>
      <c r="BCF11"/>
      <c r="BCG11"/>
      <c r="BCH11"/>
      <c r="BCI11"/>
      <c r="BCJ11"/>
      <c r="BCK11"/>
      <c r="BCL11"/>
      <c r="BCM11"/>
      <c r="BCN11"/>
      <c r="BCO11"/>
      <c r="BCP11"/>
      <c r="BCQ11"/>
      <c r="BCR11"/>
      <c r="BCS11"/>
      <c r="BCT11"/>
      <c r="BCU11"/>
      <c r="BCV11"/>
      <c r="BCW11"/>
      <c r="BCX11"/>
      <c r="BCY11"/>
      <c r="BCZ11"/>
      <c r="BDA11"/>
      <c r="BDB11"/>
      <c r="BDC11"/>
      <c r="BDD11"/>
      <c r="BDE11"/>
      <c r="BDF11"/>
      <c r="BDG11"/>
      <c r="BDH11"/>
      <c r="BDI11"/>
      <c r="BDJ11"/>
      <c r="BDK11"/>
      <c r="BDL11"/>
      <c r="BDM11"/>
      <c r="BDN11"/>
      <c r="BDO11"/>
      <c r="BDP11"/>
      <c r="BDQ11"/>
      <c r="BDR11"/>
      <c r="BDS11"/>
      <c r="BDT11"/>
      <c r="BDU11"/>
      <c r="BDV11"/>
      <c r="BDW11"/>
      <c r="BDX11"/>
      <c r="BDY11"/>
      <c r="BDZ11"/>
      <c r="BEA11"/>
      <c r="BEB11"/>
      <c r="BEC11"/>
      <c r="BED11"/>
      <c r="BEE11"/>
      <c r="BEF11"/>
      <c r="BEG11"/>
      <c r="BEH11"/>
      <c r="BEI11"/>
      <c r="BEJ11"/>
      <c r="BEK11"/>
      <c r="BEL11"/>
      <c r="BEM11"/>
      <c r="BEN11"/>
      <c r="BEO11"/>
      <c r="BEP11"/>
      <c r="BEQ11"/>
      <c r="BER11"/>
      <c r="BES11"/>
      <c r="BET11"/>
      <c r="BEU11"/>
      <c r="BEV11"/>
      <c r="BEW11"/>
      <c r="BEX11"/>
      <c r="BEY11"/>
      <c r="BEZ11"/>
      <c r="BFA11"/>
      <c r="BFB11"/>
      <c r="BFC11"/>
      <c r="BFD11"/>
      <c r="BFE11"/>
      <c r="BFF11"/>
      <c r="BFG11"/>
      <c r="BFH11"/>
      <c r="BFI11"/>
      <c r="BFJ11"/>
      <c r="BFK11"/>
      <c r="BFL11"/>
      <c r="BFM11"/>
      <c r="BFN11"/>
      <c r="BFO11"/>
      <c r="BFP11"/>
      <c r="BFQ11"/>
      <c r="BFR11"/>
      <c r="BFS11"/>
      <c r="BFT11"/>
      <c r="BFU11"/>
      <c r="BFV11"/>
      <c r="BFW11"/>
      <c r="BFX11"/>
      <c r="BFY11"/>
      <c r="BFZ11"/>
      <c r="BGA11"/>
      <c r="BGB11"/>
      <c r="BGC11"/>
      <c r="BGD11"/>
      <c r="BGE11"/>
      <c r="BGF11"/>
      <c r="BGG11"/>
      <c r="BGH11"/>
      <c r="BGI11"/>
      <c r="BGJ11"/>
      <c r="BGK11"/>
      <c r="BGL11"/>
      <c r="BGM11"/>
      <c r="BGN11"/>
      <c r="BGO11"/>
      <c r="BGP11"/>
      <c r="BGQ11"/>
      <c r="BGR11"/>
      <c r="BGS11"/>
      <c r="BGT11"/>
      <c r="BGU11"/>
      <c r="BGV11"/>
      <c r="BGW11"/>
      <c r="BGX11"/>
      <c r="BGY11"/>
      <c r="BGZ11"/>
      <c r="BHA11"/>
      <c r="BHB11"/>
      <c r="BHC11"/>
      <c r="BHD11"/>
      <c r="BHE11"/>
      <c r="BHF11"/>
      <c r="BHG11"/>
      <c r="BHH11"/>
      <c r="BHI11"/>
      <c r="BHJ11"/>
      <c r="BHK11"/>
      <c r="BHL11"/>
      <c r="BHM11"/>
      <c r="BHN11"/>
      <c r="BHO11"/>
      <c r="BHP11"/>
      <c r="BHQ11"/>
      <c r="BHR11"/>
      <c r="BHS11"/>
      <c r="BHT11"/>
      <c r="BHU11"/>
      <c r="BHV11"/>
      <c r="BHW11"/>
      <c r="BHX11"/>
      <c r="BHY11"/>
      <c r="BHZ11"/>
      <c r="BIA11"/>
      <c r="BIB11"/>
      <c r="BIC11"/>
      <c r="BID11"/>
      <c r="BIE11"/>
      <c r="BIF11"/>
      <c r="BIG11"/>
      <c r="BIH11"/>
      <c r="BII11"/>
      <c r="BIJ11"/>
      <c r="BIK11"/>
      <c r="BIL11"/>
      <c r="BIM11"/>
      <c r="BIN11"/>
      <c r="BIO11"/>
      <c r="BIP11"/>
      <c r="BIQ11"/>
      <c r="BIR11"/>
      <c r="BIS11"/>
      <c r="BIT11"/>
      <c r="BIU11"/>
      <c r="BIV11"/>
      <c r="BIW11"/>
      <c r="BIX11"/>
      <c r="BIY11"/>
      <c r="BIZ11"/>
      <c r="BJA11"/>
      <c r="BJB11"/>
      <c r="BJC11"/>
      <c r="BJD11"/>
      <c r="BJE11"/>
      <c r="BJF11"/>
      <c r="BJG11"/>
      <c r="BJH11"/>
      <c r="BJI11"/>
      <c r="BJJ11"/>
      <c r="BJK11"/>
      <c r="BJL11"/>
      <c r="BJM11"/>
      <c r="BJN11"/>
      <c r="BJO11"/>
      <c r="BJP11"/>
      <c r="BJQ11"/>
      <c r="BJR11"/>
      <c r="BJS11"/>
      <c r="BJT11"/>
      <c r="BJU11"/>
      <c r="BJV11"/>
      <c r="BJW11"/>
      <c r="BJX11"/>
      <c r="BJY11"/>
      <c r="BJZ11"/>
      <c r="BKA11"/>
      <c r="BKB11"/>
      <c r="BKC11"/>
      <c r="BKD11"/>
      <c r="BKE11"/>
      <c r="BKF11"/>
      <c r="BKG11"/>
      <c r="BKH11"/>
      <c r="BKI11"/>
      <c r="BKJ11"/>
    </row>
    <row r="12" spans="1:1648" ht="15.75">
      <c r="A12" s="368" t="s">
        <v>1844</v>
      </c>
      <c r="B12" s="60" t="s">
        <v>1921</v>
      </c>
      <c r="C12" s="267" t="s">
        <v>512</v>
      </c>
      <c r="D12" s="267" t="s">
        <v>506</v>
      </c>
      <c r="E12" s="268">
        <v>11.25</v>
      </c>
      <c r="F12" s="62">
        <f>IF('REDI FRAME PAYROLL'!I22&gt;40,40,'REDI FRAME PAYROLL'!I22)</f>
        <v>0</v>
      </c>
      <c r="G12" s="276">
        <f>(Table26[[#This Row],[Reg Hr]]*Table26[[#This Row],[Rate]])+((Table26[[#This Row],[Ovt Hrs]]*1.5)*Table26[[#This Row],[Rate]])</f>
        <v>0</v>
      </c>
      <c r="H12" s="62">
        <f>IF('REDI FRAME PAYROLL'!I22&gt;40,'REDI FRAME PAYROLL'!I22-40,0)</f>
        <v>0</v>
      </c>
      <c r="I12" s="267"/>
      <c r="J12" s="268"/>
      <c r="K12" s="267"/>
      <c r="L12" s="267"/>
      <c r="M12" s="267"/>
      <c r="N12" s="267"/>
      <c r="O12" s="267"/>
    </row>
    <row r="13" spans="1:1648" ht="15.75">
      <c r="A13" s="123" t="s">
        <v>525</v>
      </c>
      <c r="B13" s="60" t="s">
        <v>1914</v>
      </c>
      <c r="C13" s="60" t="s">
        <v>524</v>
      </c>
      <c r="D13" s="60" t="s">
        <v>557</v>
      </c>
      <c r="E13" s="61">
        <v>10</v>
      </c>
      <c r="F13" s="62">
        <f>IF('REDI FRAME PAYROLL'!I9&gt;40,40,'REDI FRAME PAYROLL'!I9)</f>
        <v>0</v>
      </c>
      <c r="G13" s="63">
        <f>(Table26[[#This Row],[Reg Hr]]*Table26[[#This Row],[Rate]])+((Table26[[#This Row],[Ovt Hrs]]*1.5)*Table26[[#This Row],[Rate]])</f>
        <v>0</v>
      </c>
      <c r="H13" s="62">
        <f>IF('REDI FRAME PAYROLL'!I9&gt;40,'REDI FRAME PAYROLL'!I9-40,0)</f>
        <v>0</v>
      </c>
      <c r="I13" s="60" t="s">
        <v>542</v>
      </c>
      <c r="J13" s="61">
        <f>'WEEKLY TOTALS'!H3</f>
        <v>10.4</v>
      </c>
      <c r="K13" s="60"/>
      <c r="L13" s="61"/>
      <c r="M13" s="60"/>
      <c r="N13" s="60"/>
      <c r="O13" s="60">
        <v>9</v>
      </c>
    </row>
    <row r="14" spans="1:1648" ht="15.75">
      <c r="A14" s="123" t="s">
        <v>523</v>
      </c>
      <c r="B14" s="60" t="s">
        <v>1922</v>
      </c>
      <c r="C14" s="60" t="s">
        <v>507</v>
      </c>
      <c r="D14" s="60" t="s">
        <v>506</v>
      </c>
      <c r="E14" s="61">
        <v>12.5</v>
      </c>
      <c r="F14" s="62">
        <f>IF('REDI FRAME PAYROLL'!I10&gt;40,40,'REDI FRAME PAYROLL'!I10)</f>
        <v>0</v>
      </c>
      <c r="G14" s="63">
        <f>(Table26[[#This Row],[Reg Hr]]*Table26[[#This Row],[Rate]])+((Table26[[#This Row],[Ovt Hrs]]*1.5)*Table26[[#This Row],[Rate]])</f>
        <v>0</v>
      </c>
      <c r="H14" s="62">
        <f>IF('REDI FRAME PAYROLL'!I10&gt;40,'REDI FRAME PAYROLL'!I10-40,0)</f>
        <v>0</v>
      </c>
      <c r="I14" s="60"/>
      <c r="J14" s="61"/>
      <c r="K14" s="60"/>
      <c r="L14" s="61"/>
      <c r="M14" s="60"/>
      <c r="N14" s="60"/>
      <c r="O14" s="60">
        <v>10</v>
      </c>
    </row>
    <row r="15" spans="1:1648" s="106" customFormat="1" ht="15.75">
      <c r="A15" s="123" t="s">
        <v>522</v>
      </c>
      <c r="B15" s="60" t="s">
        <v>1923</v>
      </c>
      <c r="C15" s="60" t="s">
        <v>512</v>
      </c>
      <c r="D15" s="60" t="s">
        <v>506</v>
      </c>
      <c r="E15" s="61">
        <v>11</v>
      </c>
      <c r="F15" s="62">
        <f>IF('REDI FRAME PAYROLL'!I11&gt;40,40,'REDI FRAME PAYROLL'!I11)</f>
        <v>0</v>
      </c>
      <c r="G15" s="63">
        <f>(Table26[[#This Row],[Reg Hr]]*Table26[[#This Row],[Rate]])+((Table26[[#This Row],[Ovt Hrs]]*1.5)*Table26[[#This Row],[Rate]])</f>
        <v>0</v>
      </c>
      <c r="H15" s="62">
        <f>IF('REDI FRAME PAYROLL'!I11&gt;40,'REDI FRAME PAYROLL'!I11-40,0)</f>
        <v>0</v>
      </c>
      <c r="I15" s="60"/>
      <c r="J15" s="61"/>
      <c r="K15" s="60"/>
      <c r="L15" s="61"/>
      <c r="M15" s="60"/>
      <c r="N15" s="60"/>
      <c r="O15" s="60">
        <v>13</v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  <c r="AMA15"/>
      <c r="AMB15"/>
      <c r="AMC15"/>
      <c r="AMD15"/>
      <c r="AME15"/>
      <c r="AMF15"/>
      <c r="AMG15"/>
      <c r="AMH15"/>
      <c r="AMI15"/>
      <c r="AMJ15"/>
      <c r="AMK15"/>
      <c r="AML15"/>
      <c r="AMM15"/>
      <c r="AMN15"/>
      <c r="AMO15"/>
      <c r="AMP15"/>
      <c r="AMQ15"/>
      <c r="AMR15"/>
      <c r="AMS15"/>
      <c r="AMT15"/>
      <c r="AMU15"/>
      <c r="AMV15"/>
      <c r="AMW15"/>
      <c r="AMX15"/>
      <c r="AMY15"/>
      <c r="AMZ15"/>
      <c r="ANA15"/>
      <c r="ANB15"/>
      <c r="ANC15"/>
      <c r="AND15"/>
      <c r="ANE15"/>
      <c r="ANF15"/>
      <c r="ANG15"/>
      <c r="ANH15"/>
      <c r="ANI15"/>
      <c r="ANJ15"/>
      <c r="ANK15"/>
      <c r="ANL15"/>
      <c r="ANM15"/>
      <c r="ANN15"/>
      <c r="ANO15"/>
      <c r="ANP15"/>
      <c r="ANQ15"/>
      <c r="ANR15"/>
      <c r="ANS15"/>
      <c r="ANT15"/>
      <c r="ANU15"/>
      <c r="ANV15"/>
      <c r="ANW15"/>
      <c r="ANX15"/>
      <c r="ANY15"/>
      <c r="ANZ15"/>
      <c r="AOA15"/>
      <c r="AOB15"/>
      <c r="AOC15"/>
      <c r="AOD15"/>
      <c r="AOE15"/>
      <c r="AOF15"/>
      <c r="AOG15"/>
      <c r="AOH15"/>
      <c r="AOI15"/>
      <c r="AOJ15"/>
      <c r="AOK15"/>
      <c r="AOL15"/>
      <c r="AOM15"/>
      <c r="AON15"/>
      <c r="AOO15"/>
      <c r="AOP15"/>
      <c r="AOQ15"/>
      <c r="AOR15"/>
      <c r="AOS15"/>
      <c r="AOT15"/>
      <c r="AOU15"/>
      <c r="AOV15"/>
      <c r="AOW15"/>
      <c r="AOX15"/>
      <c r="AOY15"/>
      <c r="AOZ15"/>
      <c r="APA15"/>
      <c r="APB15"/>
      <c r="APC15"/>
      <c r="APD15"/>
      <c r="APE15"/>
      <c r="APF15"/>
      <c r="APG15"/>
      <c r="APH15"/>
      <c r="API15"/>
      <c r="APJ15"/>
      <c r="APK15"/>
      <c r="APL15"/>
      <c r="APM15"/>
      <c r="APN15"/>
      <c r="APO15"/>
      <c r="APP15"/>
      <c r="APQ15"/>
      <c r="APR15"/>
      <c r="APS15"/>
      <c r="APT15"/>
      <c r="APU15"/>
      <c r="APV15"/>
      <c r="APW15"/>
      <c r="APX15"/>
      <c r="APY15"/>
      <c r="APZ15"/>
      <c r="AQA15"/>
      <c r="AQB15"/>
      <c r="AQC15"/>
      <c r="AQD15"/>
      <c r="AQE15"/>
      <c r="AQF15"/>
      <c r="AQG15"/>
      <c r="AQH15"/>
      <c r="AQI15"/>
      <c r="AQJ15"/>
      <c r="AQK15"/>
      <c r="AQL15"/>
      <c r="AQM15"/>
      <c r="AQN15"/>
      <c r="AQO15"/>
      <c r="AQP15"/>
      <c r="AQQ15"/>
      <c r="AQR15"/>
      <c r="AQS15"/>
      <c r="AQT15"/>
      <c r="AQU15"/>
      <c r="AQV15"/>
      <c r="AQW15"/>
      <c r="AQX15"/>
      <c r="AQY15"/>
      <c r="AQZ15"/>
      <c r="ARA15"/>
      <c r="ARB15"/>
      <c r="ARC15"/>
      <c r="ARD15"/>
      <c r="ARE15"/>
      <c r="ARF15"/>
      <c r="ARG15"/>
      <c r="ARH15"/>
      <c r="ARI15"/>
      <c r="ARJ15"/>
      <c r="ARK15"/>
      <c r="ARL15"/>
      <c r="ARM15"/>
      <c r="ARN15"/>
      <c r="ARO15"/>
      <c r="ARP15"/>
      <c r="ARQ15"/>
      <c r="ARR15"/>
      <c r="ARS15"/>
      <c r="ART15"/>
      <c r="ARU15"/>
      <c r="ARV15"/>
      <c r="ARW15"/>
      <c r="ARX15"/>
      <c r="ARY15"/>
      <c r="ARZ15"/>
      <c r="ASA15"/>
      <c r="ASB15"/>
      <c r="ASC15"/>
      <c r="ASD15"/>
      <c r="ASE15"/>
      <c r="ASF15"/>
      <c r="ASG15"/>
      <c r="ASH15"/>
      <c r="ASI15"/>
      <c r="ASJ15"/>
      <c r="ASK15"/>
      <c r="ASL15"/>
      <c r="ASM15"/>
      <c r="ASN15"/>
      <c r="ASO15"/>
      <c r="ASP15"/>
      <c r="ASQ15"/>
      <c r="ASR15"/>
      <c r="ASS15"/>
      <c r="AST15"/>
      <c r="ASU15"/>
      <c r="ASV15"/>
      <c r="ASW15"/>
      <c r="ASX15"/>
      <c r="ASY15"/>
      <c r="ASZ15"/>
      <c r="ATA15"/>
      <c r="ATB15"/>
      <c r="ATC15"/>
      <c r="ATD15"/>
      <c r="ATE15"/>
      <c r="ATF15"/>
      <c r="ATG15"/>
      <c r="ATH15"/>
      <c r="ATI15"/>
      <c r="ATJ15"/>
      <c r="ATK15"/>
      <c r="ATL15"/>
      <c r="ATM15"/>
      <c r="ATN15"/>
      <c r="ATO15"/>
      <c r="ATP15"/>
      <c r="ATQ15"/>
      <c r="ATR15"/>
      <c r="ATS15"/>
      <c r="ATT15"/>
      <c r="ATU15"/>
      <c r="ATV15"/>
      <c r="ATW15"/>
      <c r="ATX15"/>
      <c r="ATY15"/>
      <c r="ATZ15"/>
      <c r="AUA15"/>
      <c r="AUB15"/>
      <c r="AUC15"/>
      <c r="AUD15"/>
      <c r="AUE15"/>
      <c r="AUF15"/>
      <c r="AUG15"/>
      <c r="AUH15"/>
      <c r="AUI15"/>
      <c r="AUJ15"/>
      <c r="AUK15"/>
      <c r="AUL15"/>
      <c r="AUM15"/>
      <c r="AUN15"/>
      <c r="AUO15"/>
      <c r="AUP15"/>
      <c r="AUQ15"/>
      <c r="AUR15"/>
      <c r="AUS15"/>
      <c r="AUT15"/>
      <c r="AUU15"/>
      <c r="AUV15"/>
      <c r="AUW15"/>
      <c r="AUX15"/>
      <c r="AUY15"/>
      <c r="AUZ15"/>
      <c r="AVA15"/>
      <c r="AVB15"/>
      <c r="AVC15"/>
      <c r="AVD15"/>
      <c r="AVE15"/>
      <c r="AVF15"/>
      <c r="AVG15"/>
      <c r="AVH15"/>
      <c r="AVI15"/>
      <c r="AVJ15"/>
      <c r="AVK15"/>
      <c r="AVL15"/>
      <c r="AVM15"/>
      <c r="AVN15"/>
      <c r="AVO15"/>
      <c r="AVP15"/>
      <c r="AVQ15"/>
      <c r="AVR15"/>
      <c r="AVS15"/>
      <c r="AVT15"/>
      <c r="AVU15"/>
      <c r="AVV15"/>
      <c r="AVW15"/>
      <c r="AVX15"/>
      <c r="AVY15"/>
      <c r="AVZ15"/>
      <c r="AWA15"/>
      <c r="AWB15"/>
      <c r="AWC15"/>
      <c r="AWD15"/>
      <c r="AWE15"/>
      <c r="AWF15"/>
      <c r="AWG15"/>
      <c r="AWH15"/>
      <c r="AWI15"/>
      <c r="AWJ15"/>
      <c r="AWK15"/>
      <c r="AWL15"/>
      <c r="AWM15"/>
      <c r="AWN15"/>
      <c r="AWO15"/>
      <c r="AWP15"/>
      <c r="AWQ15"/>
      <c r="AWR15"/>
      <c r="AWS15"/>
      <c r="AWT15"/>
      <c r="AWU15"/>
      <c r="AWV15"/>
      <c r="AWW15"/>
      <c r="AWX15"/>
      <c r="AWY15"/>
      <c r="AWZ15"/>
      <c r="AXA15"/>
      <c r="AXB15"/>
      <c r="AXC15"/>
      <c r="AXD15"/>
      <c r="AXE15"/>
      <c r="AXF15"/>
      <c r="AXG15"/>
      <c r="AXH15"/>
      <c r="AXI15"/>
      <c r="AXJ15"/>
      <c r="AXK15"/>
      <c r="AXL15"/>
      <c r="AXM15"/>
      <c r="AXN15"/>
      <c r="AXO15"/>
      <c r="AXP15"/>
      <c r="AXQ15"/>
      <c r="AXR15"/>
      <c r="AXS15"/>
      <c r="AXT15"/>
      <c r="AXU15"/>
      <c r="AXV15"/>
      <c r="AXW15"/>
      <c r="AXX15"/>
      <c r="AXY15"/>
      <c r="AXZ15"/>
      <c r="AYA15"/>
      <c r="AYB15"/>
      <c r="AYC15"/>
      <c r="AYD15"/>
      <c r="AYE15"/>
      <c r="AYF15"/>
      <c r="AYG15"/>
      <c r="AYH15"/>
      <c r="AYI15"/>
      <c r="AYJ15"/>
      <c r="AYK15"/>
      <c r="AYL15"/>
      <c r="AYM15"/>
      <c r="AYN15"/>
      <c r="AYO15"/>
      <c r="AYP15"/>
      <c r="AYQ15"/>
      <c r="AYR15"/>
      <c r="AYS15"/>
      <c r="AYT15"/>
      <c r="AYU15"/>
      <c r="AYV15"/>
      <c r="AYW15"/>
      <c r="AYX15"/>
      <c r="AYY15"/>
      <c r="AYZ15"/>
      <c r="AZA15"/>
      <c r="AZB15"/>
      <c r="AZC15"/>
      <c r="AZD15"/>
      <c r="AZE15"/>
      <c r="AZF15"/>
      <c r="AZG15"/>
      <c r="AZH15"/>
      <c r="AZI15"/>
      <c r="AZJ15"/>
      <c r="AZK15"/>
      <c r="AZL15"/>
      <c r="AZM15"/>
      <c r="AZN15"/>
      <c r="AZO15"/>
      <c r="AZP15"/>
      <c r="AZQ15"/>
      <c r="AZR15"/>
      <c r="AZS15"/>
      <c r="AZT15"/>
      <c r="AZU15"/>
      <c r="AZV15"/>
      <c r="AZW15"/>
      <c r="AZX15"/>
      <c r="AZY15"/>
      <c r="AZZ15"/>
      <c r="BAA15"/>
      <c r="BAB15"/>
      <c r="BAC15"/>
      <c r="BAD15"/>
      <c r="BAE15"/>
      <c r="BAF15"/>
      <c r="BAG15"/>
      <c r="BAH15"/>
      <c r="BAI15"/>
      <c r="BAJ15"/>
      <c r="BAK15"/>
      <c r="BAL15"/>
      <c r="BAM15"/>
      <c r="BAN15"/>
      <c r="BAO15"/>
      <c r="BAP15"/>
      <c r="BAQ15"/>
      <c r="BAR15"/>
      <c r="BAS15"/>
      <c r="BAT15"/>
      <c r="BAU15"/>
      <c r="BAV15"/>
      <c r="BAW15"/>
      <c r="BAX15"/>
      <c r="BAY15"/>
      <c r="BAZ15"/>
      <c r="BBA15"/>
      <c r="BBB15"/>
      <c r="BBC15"/>
      <c r="BBD15"/>
      <c r="BBE15"/>
      <c r="BBF15"/>
      <c r="BBG15"/>
      <c r="BBH15"/>
      <c r="BBI15"/>
      <c r="BBJ15"/>
      <c r="BBK15"/>
      <c r="BBL15"/>
      <c r="BBM15"/>
      <c r="BBN15"/>
      <c r="BBO15"/>
      <c r="BBP15"/>
      <c r="BBQ15"/>
      <c r="BBR15"/>
      <c r="BBS15"/>
      <c r="BBT15"/>
      <c r="BBU15"/>
      <c r="BBV15"/>
      <c r="BBW15"/>
      <c r="BBX15"/>
      <c r="BBY15"/>
      <c r="BBZ15"/>
      <c r="BCA15"/>
      <c r="BCB15"/>
      <c r="BCC15"/>
      <c r="BCD15"/>
      <c r="BCE15"/>
      <c r="BCF15"/>
      <c r="BCG15"/>
      <c r="BCH15"/>
      <c r="BCI15"/>
      <c r="BCJ15"/>
      <c r="BCK15"/>
      <c r="BCL15"/>
      <c r="BCM15"/>
      <c r="BCN15"/>
      <c r="BCO15"/>
      <c r="BCP15"/>
      <c r="BCQ15"/>
      <c r="BCR15"/>
      <c r="BCS15"/>
      <c r="BCT15"/>
      <c r="BCU15"/>
      <c r="BCV15"/>
      <c r="BCW15"/>
      <c r="BCX15"/>
      <c r="BCY15"/>
      <c r="BCZ15"/>
      <c r="BDA15"/>
      <c r="BDB15"/>
      <c r="BDC15"/>
      <c r="BDD15"/>
      <c r="BDE15"/>
      <c r="BDF15"/>
      <c r="BDG15"/>
      <c r="BDH15"/>
      <c r="BDI15"/>
      <c r="BDJ15"/>
      <c r="BDK15"/>
      <c r="BDL15"/>
      <c r="BDM15"/>
      <c r="BDN15"/>
      <c r="BDO15"/>
      <c r="BDP15"/>
      <c r="BDQ15"/>
      <c r="BDR15"/>
      <c r="BDS15"/>
      <c r="BDT15"/>
      <c r="BDU15"/>
      <c r="BDV15"/>
      <c r="BDW15"/>
      <c r="BDX15"/>
      <c r="BDY15"/>
      <c r="BDZ15"/>
      <c r="BEA15"/>
      <c r="BEB15"/>
      <c r="BEC15"/>
      <c r="BED15"/>
      <c r="BEE15"/>
      <c r="BEF15"/>
      <c r="BEG15"/>
      <c r="BEH15"/>
      <c r="BEI15"/>
      <c r="BEJ15"/>
      <c r="BEK15"/>
      <c r="BEL15"/>
      <c r="BEM15"/>
      <c r="BEN15"/>
      <c r="BEO15"/>
      <c r="BEP15"/>
      <c r="BEQ15"/>
      <c r="BER15"/>
      <c r="BES15"/>
      <c r="BET15"/>
      <c r="BEU15"/>
      <c r="BEV15"/>
      <c r="BEW15"/>
      <c r="BEX15"/>
      <c r="BEY15"/>
      <c r="BEZ15"/>
      <c r="BFA15"/>
      <c r="BFB15"/>
      <c r="BFC15"/>
      <c r="BFD15"/>
      <c r="BFE15"/>
      <c r="BFF15"/>
      <c r="BFG15"/>
      <c r="BFH15"/>
      <c r="BFI15"/>
      <c r="BFJ15"/>
      <c r="BFK15"/>
      <c r="BFL15"/>
      <c r="BFM15"/>
      <c r="BFN15"/>
      <c r="BFO15"/>
      <c r="BFP15"/>
      <c r="BFQ15"/>
      <c r="BFR15"/>
      <c r="BFS15"/>
      <c r="BFT15"/>
      <c r="BFU15"/>
      <c r="BFV15"/>
      <c r="BFW15"/>
      <c r="BFX15"/>
      <c r="BFY15"/>
      <c r="BFZ15"/>
      <c r="BGA15"/>
      <c r="BGB15"/>
      <c r="BGC15"/>
      <c r="BGD15"/>
      <c r="BGE15"/>
      <c r="BGF15"/>
      <c r="BGG15"/>
      <c r="BGH15"/>
      <c r="BGI15"/>
      <c r="BGJ15"/>
      <c r="BGK15"/>
      <c r="BGL15"/>
      <c r="BGM15"/>
      <c r="BGN15"/>
      <c r="BGO15"/>
      <c r="BGP15"/>
      <c r="BGQ15"/>
      <c r="BGR15"/>
      <c r="BGS15"/>
      <c r="BGT15"/>
      <c r="BGU15"/>
      <c r="BGV15"/>
      <c r="BGW15"/>
      <c r="BGX15"/>
      <c r="BGY15"/>
      <c r="BGZ15"/>
      <c r="BHA15"/>
      <c r="BHB15"/>
      <c r="BHC15"/>
      <c r="BHD15"/>
      <c r="BHE15"/>
      <c r="BHF15"/>
      <c r="BHG15"/>
      <c r="BHH15"/>
      <c r="BHI15"/>
      <c r="BHJ15"/>
      <c r="BHK15"/>
      <c r="BHL15"/>
      <c r="BHM15"/>
      <c r="BHN15"/>
      <c r="BHO15"/>
      <c r="BHP15"/>
      <c r="BHQ15"/>
      <c r="BHR15"/>
      <c r="BHS15"/>
      <c r="BHT15"/>
      <c r="BHU15"/>
      <c r="BHV15"/>
      <c r="BHW15"/>
      <c r="BHX15"/>
      <c r="BHY15"/>
      <c r="BHZ15"/>
      <c r="BIA15"/>
      <c r="BIB15"/>
      <c r="BIC15"/>
      <c r="BID15"/>
      <c r="BIE15"/>
      <c r="BIF15"/>
      <c r="BIG15"/>
      <c r="BIH15"/>
      <c r="BII15"/>
      <c r="BIJ15"/>
      <c r="BIK15"/>
      <c r="BIL15"/>
      <c r="BIM15"/>
      <c r="BIN15"/>
      <c r="BIO15"/>
      <c r="BIP15"/>
      <c r="BIQ15"/>
      <c r="BIR15"/>
      <c r="BIS15"/>
      <c r="BIT15"/>
      <c r="BIU15"/>
      <c r="BIV15"/>
      <c r="BIW15"/>
      <c r="BIX15"/>
      <c r="BIY15"/>
      <c r="BIZ15"/>
      <c r="BJA15"/>
      <c r="BJB15"/>
      <c r="BJC15"/>
      <c r="BJD15"/>
      <c r="BJE15"/>
      <c r="BJF15"/>
      <c r="BJG15"/>
      <c r="BJH15"/>
      <c r="BJI15"/>
      <c r="BJJ15"/>
      <c r="BJK15"/>
      <c r="BJL15"/>
      <c r="BJM15"/>
      <c r="BJN15"/>
      <c r="BJO15"/>
      <c r="BJP15"/>
      <c r="BJQ15"/>
      <c r="BJR15"/>
      <c r="BJS15"/>
      <c r="BJT15"/>
      <c r="BJU15"/>
      <c r="BJV15"/>
      <c r="BJW15"/>
      <c r="BJX15"/>
      <c r="BJY15"/>
      <c r="BJZ15"/>
      <c r="BKA15"/>
      <c r="BKB15"/>
      <c r="BKC15"/>
      <c r="BKD15"/>
      <c r="BKE15"/>
      <c r="BKF15"/>
      <c r="BKG15"/>
      <c r="BKH15"/>
      <c r="BKI15"/>
      <c r="BKJ15"/>
    </row>
    <row r="16" spans="1:1648" ht="15.75">
      <c r="A16" s="123" t="s">
        <v>521</v>
      </c>
      <c r="B16" s="60" t="s">
        <v>1924</v>
      </c>
      <c r="C16" s="60" t="s">
        <v>507</v>
      </c>
      <c r="D16" s="60" t="s">
        <v>506</v>
      </c>
      <c r="E16" s="61">
        <v>11.75</v>
      </c>
      <c r="F16" s="62">
        <f>IF('REDI FRAME PAYROLL'!I12&gt;40,40,'REDI FRAME PAYROLL'!I12)</f>
        <v>0</v>
      </c>
      <c r="G16" s="63">
        <f>(Table26[[#This Row],[Reg Hr]]*Table26[[#This Row],[Rate]])+((Table26[[#This Row],[Ovt Hrs]]*1.5)*Table26[[#This Row],[Rate]])</f>
        <v>0</v>
      </c>
      <c r="H16" s="62">
        <f>IF('REDI FRAME PAYROLL'!I12&gt;40,'REDI FRAME PAYROLL'!I12-40,0)</f>
        <v>0</v>
      </c>
      <c r="I16" s="60"/>
      <c r="J16" s="61"/>
      <c r="K16" s="60"/>
      <c r="L16" s="61"/>
      <c r="M16" s="60"/>
      <c r="N16" s="60"/>
      <c r="O16" s="60">
        <v>15</v>
      </c>
    </row>
    <row r="17" spans="1:1648" ht="15.75">
      <c r="A17" s="123" t="s">
        <v>520</v>
      </c>
      <c r="B17" s="60" t="s">
        <v>1925</v>
      </c>
      <c r="C17" s="60" t="s">
        <v>507</v>
      </c>
      <c r="D17" s="60" t="s">
        <v>506</v>
      </c>
      <c r="E17" s="61">
        <v>11</v>
      </c>
      <c r="F17" s="62">
        <f>IF('REDI FRAME PAYROLL'!I13&gt;40,40,'REDI FRAME PAYROLL'!I13)</f>
        <v>0</v>
      </c>
      <c r="G17" s="63">
        <f>(Table26[[#This Row],[Reg Hr]]*Table26[[#This Row],[Rate]])+((Table26[[#This Row],[Ovt Hrs]]*1.5)*Table26[[#This Row],[Rate]])</f>
        <v>0</v>
      </c>
      <c r="H17" s="62">
        <f>IF('REDI FRAME PAYROLL'!I13&gt;40,'REDI FRAME PAYROLL'!I13-40,0)</f>
        <v>0</v>
      </c>
      <c r="I17" s="60"/>
      <c r="J17" s="61"/>
      <c r="K17" s="60"/>
      <c r="L17" s="61"/>
      <c r="M17" s="60"/>
      <c r="N17" s="60"/>
      <c r="O17" s="60">
        <v>16</v>
      </c>
    </row>
    <row r="18" spans="1:1648" ht="15.75">
      <c r="A18" s="368" t="s">
        <v>1845</v>
      </c>
      <c r="B18" s="60" t="s">
        <v>1926</v>
      </c>
      <c r="C18" s="360" t="s">
        <v>512</v>
      </c>
      <c r="D18" s="360" t="s">
        <v>506</v>
      </c>
      <c r="E18" s="361">
        <v>11</v>
      </c>
      <c r="F18" s="62">
        <f>IF('REDI FRAME PAYROLL'!I20&gt;40,40,'REDI FRAME PAYROLL'!I20)</f>
        <v>0</v>
      </c>
      <c r="G18" s="362">
        <f>(Table26[[#This Row],[Reg Hr]]*Table26[[#This Row],[Rate]])+((Table26[[#This Row],[Ovt Hrs]]*1.5)*Table26[[#This Row],[Rate]])</f>
        <v>0</v>
      </c>
      <c r="H18" s="62">
        <f>IF('REDI FRAME PAYROLL'!I20&gt;40,'REDI FRAME PAYROLL'!I20-40,0)</f>
        <v>0</v>
      </c>
      <c r="I18" s="360"/>
      <c r="J18" s="361"/>
      <c r="K18" s="360"/>
      <c r="L18" s="360"/>
      <c r="M18" s="360"/>
      <c r="N18" s="360"/>
      <c r="O18" s="360"/>
    </row>
    <row r="19" spans="1:1648" ht="15.75">
      <c r="A19" s="368" t="s">
        <v>1846</v>
      </c>
      <c r="B19" s="60" t="s">
        <v>1927</v>
      </c>
      <c r="C19" s="267" t="s">
        <v>512</v>
      </c>
      <c r="D19" s="267" t="s">
        <v>506</v>
      </c>
      <c r="E19" s="268">
        <v>11</v>
      </c>
      <c r="F19" s="62">
        <f>IF('REDI FRAME PAYROLL'!I21&gt;40,40,'REDI FRAME PAYROLL'!I21)</f>
        <v>0</v>
      </c>
      <c r="G19" s="276">
        <f>(Table26[[#This Row],[Reg Hr]]*Table26[[#This Row],[Rate]])+((Table26[[#This Row],[Ovt Hrs]]*1.5)*Table26[[#This Row],[Rate]])</f>
        <v>0</v>
      </c>
      <c r="H19" s="62">
        <f>IF('REDI FRAME PAYROLL'!I21&gt;40,'REDI FRAME PAYROLL'!I21-40,0)</f>
        <v>0</v>
      </c>
      <c r="I19" s="267"/>
      <c r="J19" s="268"/>
      <c r="K19" s="267"/>
      <c r="L19" s="267"/>
      <c r="M19" s="267"/>
      <c r="N19" s="267"/>
      <c r="O19" s="267"/>
    </row>
    <row r="20" spans="1:1648" ht="15.75">
      <c r="A20" s="123" t="s">
        <v>511</v>
      </c>
      <c r="B20" s="60" t="s">
        <v>1913</v>
      </c>
      <c r="C20" s="60" t="s">
        <v>509</v>
      </c>
      <c r="D20" s="60" t="s">
        <v>557</v>
      </c>
      <c r="E20" s="61">
        <v>8</v>
      </c>
      <c r="F20" s="62">
        <f>IF('REDI FRAME PAYROLL'!I14&gt;40,40,'REDI FRAME PAYROLL'!I14)</f>
        <v>0</v>
      </c>
      <c r="G20" s="63">
        <f>(Table26[[#This Row],[Reg Hr]]*Table26[[#This Row],[Rate]])+((Table26[[#This Row],[Ovt Hrs]]*1.5)*Table26[[#This Row],[Rate]])</f>
        <v>0</v>
      </c>
      <c r="H20" s="62">
        <f>IF('REDI FRAME PAYROLL'!I14&gt;40,'REDI FRAME PAYROLL'!I14-40,0)</f>
        <v>0</v>
      </c>
      <c r="I20" s="60" t="s">
        <v>542</v>
      </c>
      <c r="J20" s="61">
        <f>'WEEKLY TOTALS'!H9</f>
        <v>3.5</v>
      </c>
      <c r="K20" s="60"/>
      <c r="L20" s="61"/>
      <c r="M20" s="60"/>
      <c r="N20" s="60"/>
      <c r="O20" s="60">
        <v>20</v>
      </c>
    </row>
    <row r="21" spans="1:1648" ht="15.75">
      <c r="A21" s="123" t="s">
        <v>510</v>
      </c>
      <c r="B21" s="60" t="s">
        <v>1912</v>
      </c>
      <c r="C21" s="60" t="s">
        <v>509</v>
      </c>
      <c r="D21" s="60" t="s">
        <v>557</v>
      </c>
      <c r="E21" s="61">
        <v>8</v>
      </c>
      <c r="F21" s="62">
        <f>IF('REDI FRAME PAYROLL'!I15&gt;40,40,'REDI FRAME PAYROLL'!I15)</f>
        <v>0</v>
      </c>
      <c r="G21" s="63">
        <f>(Table26[[#This Row],[Reg Hr]]*Table26[[#This Row],[Rate]])+((Table26[[#This Row],[Ovt Hrs]]*1.5)*Table26[[#This Row],[Rate]])</f>
        <v>0</v>
      </c>
      <c r="H21" s="62">
        <f>IF('REDI FRAME PAYROLL'!I15&gt;40,'REDI FRAME PAYROLL'!I15-40,0)</f>
        <v>0</v>
      </c>
      <c r="I21" s="60" t="s">
        <v>542</v>
      </c>
      <c r="J21" s="61">
        <f>'WEEKLY TOTALS'!H10</f>
        <v>3.5</v>
      </c>
      <c r="K21" s="60"/>
      <c r="L21" s="61"/>
      <c r="M21" s="60"/>
      <c r="N21" s="60"/>
      <c r="O21" s="60">
        <v>21</v>
      </c>
    </row>
    <row r="22" spans="1:1648" ht="15.75">
      <c r="A22" s="123" t="s">
        <v>508</v>
      </c>
      <c r="B22" s="60" t="s">
        <v>1928</v>
      </c>
      <c r="C22" s="60" t="s">
        <v>507</v>
      </c>
      <c r="D22" s="60" t="s">
        <v>506</v>
      </c>
      <c r="E22" s="61">
        <v>11.75</v>
      </c>
      <c r="F22" s="62">
        <f>IF('REDI FRAME PAYROLL'!I16&gt;40,40,'REDI FRAME PAYROLL'!I16)</f>
        <v>0</v>
      </c>
      <c r="G22" s="63">
        <f>(Table26[[#This Row],[Reg Hr]]*Table26[[#This Row],[Rate]])+((Table26[[#This Row],[Ovt Hrs]]*1.5)*Table26[[#This Row],[Rate]])</f>
        <v>0</v>
      </c>
      <c r="H22" s="62">
        <f>IF('REDI FRAME PAYROLL'!I16&gt;40,'REDI FRAME PAYROLL'!I16-40,0)</f>
        <v>0</v>
      </c>
      <c r="I22" s="60"/>
      <c r="J22" s="61"/>
      <c r="K22" s="60"/>
      <c r="L22" s="60"/>
      <c r="M22" s="60"/>
      <c r="N22" s="60"/>
      <c r="O22" s="60">
        <v>22</v>
      </c>
    </row>
    <row r="23" spans="1:1648" s="106" customFormat="1" ht="15.75">
      <c r="A23" s="123" t="s">
        <v>526</v>
      </c>
      <c r="B23" s="60" t="s">
        <v>1929</v>
      </c>
      <c r="C23" s="60" t="s">
        <v>515</v>
      </c>
      <c r="D23" s="60" t="s">
        <v>506</v>
      </c>
      <c r="E23" s="61"/>
      <c r="F23" s="62">
        <f>IF('REDI FRAME PAYROLL'!I7&gt;40,40,'REDI FRAME PAYROLL'!I7)</f>
        <v>0</v>
      </c>
      <c r="G23" s="63">
        <f>(Table26[[#This Row],[Reg Hr]]*Table26[[#This Row],[Rate]])+((Table26[[#This Row],[Ovt Hrs]]*1.5)*Table26[[#This Row],[Rate]])</f>
        <v>0</v>
      </c>
      <c r="H23" s="62">
        <f>IF('REDI FRAME PAYROLL'!I7&gt;40,'REDI FRAME PAYROLL'!I7-40,0)</f>
        <v>0</v>
      </c>
      <c r="I23" s="60"/>
      <c r="J23" s="61"/>
      <c r="K23" s="60"/>
      <c r="L23" s="60"/>
      <c r="M23" s="60"/>
      <c r="N23" s="60"/>
      <c r="O23" s="60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  <c r="AMA23"/>
      <c r="AMB23"/>
      <c r="AMC23"/>
      <c r="AMD23"/>
      <c r="AME23"/>
      <c r="AMF23"/>
      <c r="AMG23"/>
      <c r="AMH23"/>
      <c r="AMI23"/>
      <c r="AMJ23"/>
      <c r="AMK23"/>
      <c r="AML23"/>
      <c r="AMM23"/>
      <c r="AMN23"/>
      <c r="AMO23"/>
      <c r="AMP23"/>
      <c r="AMQ23"/>
      <c r="AMR23"/>
      <c r="AMS23"/>
      <c r="AMT23"/>
      <c r="AMU23"/>
      <c r="AMV23"/>
      <c r="AMW23"/>
      <c r="AMX23"/>
      <c r="AMY23"/>
      <c r="AMZ23"/>
      <c r="ANA23"/>
      <c r="ANB23"/>
      <c r="ANC23"/>
      <c r="AND23"/>
      <c r="ANE23"/>
      <c r="ANF23"/>
      <c r="ANG23"/>
      <c r="ANH23"/>
      <c r="ANI23"/>
      <c r="ANJ23"/>
      <c r="ANK23"/>
      <c r="ANL23"/>
      <c r="ANM23"/>
      <c r="ANN23"/>
      <c r="ANO23"/>
      <c r="ANP23"/>
      <c r="ANQ23"/>
      <c r="ANR23"/>
      <c r="ANS23"/>
      <c r="ANT23"/>
      <c r="ANU23"/>
      <c r="ANV23"/>
      <c r="ANW23"/>
      <c r="ANX23"/>
      <c r="ANY23"/>
      <c r="ANZ23"/>
      <c r="AOA23"/>
      <c r="AOB23"/>
      <c r="AOC23"/>
      <c r="AOD23"/>
      <c r="AOE23"/>
      <c r="AOF23"/>
      <c r="AOG23"/>
      <c r="AOH23"/>
      <c r="AOI23"/>
      <c r="AOJ23"/>
      <c r="AOK23"/>
      <c r="AOL23"/>
      <c r="AOM23"/>
      <c r="AON23"/>
      <c r="AOO23"/>
      <c r="AOP23"/>
      <c r="AOQ23"/>
      <c r="AOR23"/>
      <c r="AOS23"/>
      <c r="AOT23"/>
      <c r="AOU23"/>
      <c r="AOV23"/>
      <c r="AOW23"/>
      <c r="AOX23"/>
      <c r="AOY23"/>
      <c r="AOZ23"/>
      <c r="APA23"/>
      <c r="APB23"/>
      <c r="APC23"/>
      <c r="APD23"/>
      <c r="APE23"/>
      <c r="APF23"/>
      <c r="APG23"/>
      <c r="APH23"/>
      <c r="API23"/>
      <c r="APJ23"/>
      <c r="APK23"/>
      <c r="APL23"/>
      <c r="APM23"/>
      <c r="APN23"/>
      <c r="APO23"/>
      <c r="APP23"/>
      <c r="APQ23"/>
      <c r="APR23"/>
      <c r="APS23"/>
      <c r="APT23"/>
      <c r="APU23"/>
      <c r="APV23"/>
      <c r="APW23"/>
      <c r="APX23"/>
      <c r="APY23"/>
      <c r="APZ23"/>
      <c r="AQA23"/>
      <c r="AQB23"/>
      <c r="AQC23"/>
      <c r="AQD23"/>
      <c r="AQE23"/>
      <c r="AQF23"/>
      <c r="AQG23"/>
      <c r="AQH23"/>
      <c r="AQI23"/>
      <c r="AQJ23"/>
      <c r="AQK23"/>
      <c r="AQL23"/>
      <c r="AQM23"/>
      <c r="AQN23"/>
      <c r="AQO23"/>
      <c r="AQP23"/>
      <c r="AQQ23"/>
      <c r="AQR23"/>
      <c r="AQS23"/>
      <c r="AQT23"/>
      <c r="AQU23"/>
      <c r="AQV23"/>
      <c r="AQW23"/>
      <c r="AQX23"/>
      <c r="AQY23"/>
      <c r="AQZ23"/>
      <c r="ARA23"/>
      <c r="ARB23"/>
      <c r="ARC23"/>
      <c r="ARD23"/>
      <c r="ARE23"/>
      <c r="ARF23"/>
      <c r="ARG23"/>
      <c r="ARH23"/>
      <c r="ARI23"/>
      <c r="ARJ23"/>
      <c r="ARK23"/>
      <c r="ARL23"/>
      <c r="ARM23"/>
      <c r="ARN23"/>
      <c r="ARO23"/>
      <c r="ARP23"/>
      <c r="ARQ23"/>
      <c r="ARR23"/>
      <c r="ARS23"/>
      <c r="ART23"/>
      <c r="ARU23"/>
      <c r="ARV23"/>
      <c r="ARW23"/>
      <c r="ARX23"/>
      <c r="ARY23"/>
      <c r="ARZ23"/>
      <c r="ASA23"/>
      <c r="ASB23"/>
      <c r="ASC23"/>
      <c r="ASD23"/>
      <c r="ASE23"/>
      <c r="ASF23"/>
      <c r="ASG23"/>
      <c r="ASH23"/>
      <c r="ASI23"/>
      <c r="ASJ23"/>
      <c r="ASK23"/>
      <c r="ASL23"/>
      <c r="ASM23"/>
      <c r="ASN23"/>
      <c r="ASO23"/>
      <c r="ASP23"/>
      <c r="ASQ23"/>
      <c r="ASR23"/>
      <c r="ASS23"/>
      <c r="AST23"/>
      <c r="ASU23"/>
      <c r="ASV23"/>
      <c r="ASW23"/>
      <c r="ASX23"/>
      <c r="ASY23"/>
      <c r="ASZ23"/>
      <c r="ATA23"/>
      <c r="ATB23"/>
      <c r="ATC23"/>
      <c r="ATD23"/>
      <c r="ATE23"/>
      <c r="ATF23"/>
      <c r="ATG23"/>
      <c r="ATH23"/>
      <c r="ATI23"/>
      <c r="ATJ23"/>
      <c r="ATK23"/>
      <c r="ATL23"/>
      <c r="ATM23"/>
      <c r="ATN23"/>
      <c r="ATO23"/>
      <c r="ATP23"/>
      <c r="ATQ23"/>
      <c r="ATR23"/>
      <c r="ATS23"/>
      <c r="ATT23"/>
      <c r="ATU23"/>
      <c r="ATV23"/>
      <c r="ATW23"/>
      <c r="ATX23"/>
      <c r="ATY23"/>
      <c r="ATZ23"/>
      <c r="AUA23"/>
      <c r="AUB23"/>
      <c r="AUC23"/>
      <c r="AUD23"/>
      <c r="AUE23"/>
      <c r="AUF23"/>
      <c r="AUG23"/>
      <c r="AUH23"/>
      <c r="AUI23"/>
      <c r="AUJ23"/>
      <c r="AUK23"/>
      <c r="AUL23"/>
      <c r="AUM23"/>
      <c r="AUN23"/>
      <c r="AUO23"/>
      <c r="AUP23"/>
      <c r="AUQ23"/>
      <c r="AUR23"/>
      <c r="AUS23"/>
      <c r="AUT23"/>
      <c r="AUU23"/>
      <c r="AUV23"/>
      <c r="AUW23"/>
      <c r="AUX23"/>
      <c r="AUY23"/>
      <c r="AUZ23"/>
      <c r="AVA23"/>
      <c r="AVB23"/>
      <c r="AVC23"/>
      <c r="AVD23"/>
      <c r="AVE23"/>
      <c r="AVF23"/>
      <c r="AVG23"/>
      <c r="AVH23"/>
      <c r="AVI23"/>
      <c r="AVJ23"/>
      <c r="AVK23"/>
      <c r="AVL23"/>
      <c r="AVM23"/>
      <c r="AVN23"/>
      <c r="AVO23"/>
      <c r="AVP23"/>
      <c r="AVQ23"/>
      <c r="AVR23"/>
      <c r="AVS23"/>
      <c r="AVT23"/>
      <c r="AVU23"/>
      <c r="AVV23"/>
      <c r="AVW23"/>
      <c r="AVX23"/>
      <c r="AVY23"/>
      <c r="AVZ23"/>
      <c r="AWA23"/>
      <c r="AWB23"/>
      <c r="AWC23"/>
      <c r="AWD23"/>
      <c r="AWE23"/>
      <c r="AWF23"/>
      <c r="AWG23"/>
      <c r="AWH23"/>
      <c r="AWI23"/>
      <c r="AWJ23"/>
      <c r="AWK23"/>
      <c r="AWL23"/>
      <c r="AWM23"/>
      <c r="AWN23"/>
      <c r="AWO23"/>
      <c r="AWP23"/>
      <c r="AWQ23"/>
      <c r="AWR23"/>
      <c r="AWS23"/>
      <c r="AWT23"/>
      <c r="AWU23"/>
      <c r="AWV23"/>
      <c r="AWW23"/>
      <c r="AWX23"/>
      <c r="AWY23"/>
      <c r="AWZ23"/>
      <c r="AXA23"/>
      <c r="AXB23"/>
      <c r="AXC23"/>
      <c r="AXD23"/>
      <c r="AXE23"/>
      <c r="AXF23"/>
      <c r="AXG23"/>
      <c r="AXH23"/>
      <c r="AXI23"/>
      <c r="AXJ23"/>
      <c r="AXK23"/>
      <c r="AXL23"/>
      <c r="AXM23"/>
      <c r="AXN23"/>
      <c r="AXO23"/>
      <c r="AXP23"/>
      <c r="AXQ23"/>
      <c r="AXR23"/>
      <c r="AXS23"/>
      <c r="AXT23"/>
      <c r="AXU23"/>
      <c r="AXV23"/>
      <c r="AXW23"/>
      <c r="AXX23"/>
      <c r="AXY23"/>
      <c r="AXZ23"/>
      <c r="AYA23"/>
      <c r="AYB23"/>
      <c r="AYC23"/>
      <c r="AYD23"/>
      <c r="AYE23"/>
      <c r="AYF23"/>
      <c r="AYG23"/>
      <c r="AYH23"/>
      <c r="AYI23"/>
      <c r="AYJ23"/>
      <c r="AYK23"/>
      <c r="AYL23"/>
      <c r="AYM23"/>
      <c r="AYN23"/>
      <c r="AYO23"/>
      <c r="AYP23"/>
      <c r="AYQ23"/>
      <c r="AYR23"/>
      <c r="AYS23"/>
      <c r="AYT23"/>
      <c r="AYU23"/>
      <c r="AYV23"/>
      <c r="AYW23"/>
      <c r="AYX23"/>
      <c r="AYY23"/>
      <c r="AYZ23"/>
      <c r="AZA23"/>
      <c r="AZB23"/>
      <c r="AZC23"/>
      <c r="AZD23"/>
      <c r="AZE23"/>
      <c r="AZF23"/>
      <c r="AZG23"/>
      <c r="AZH23"/>
      <c r="AZI23"/>
      <c r="AZJ23"/>
      <c r="AZK23"/>
      <c r="AZL23"/>
      <c r="AZM23"/>
      <c r="AZN23"/>
      <c r="AZO23"/>
      <c r="AZP23"/>
      <c r="AZQ23"/>
      <c r="AZR23"/>
      <c r="AZS23"/>
      <c r="AZT23"/>
      <c r="AZU23"/>
      <c r="AZV23"/>
      <c r="AZW23"/>
      <c r="AZX23"/>
      <c r="AZY23"/>
      <c r="AZZ23"/>
      <c r="BAA23"/>
      <c r="BAB23"/>
      <c r="BAC23"/>
      <c r="BAD23"/>
      <c r="BAE23"/>
      <c r="BAF23"/>
      <c r="BAG23"/>
      <c r="BAH23"/>
      <c r="BAI23"/>
      <c r="BAJ23"/>
      <c r="BAK23"/>
      <c r="BAL23"/>
      <c r="BAM23"/>
      <c r="BAN23"/>
      <c r="BAO23"/>
      <c r="BAP23"/>
      <c r="BAQ23"/>
      <c r="BAR23"/>
      <c r="BAS23"/>
      <c r="BAT23"/>
      <c r="BAU23"/>
      <c r="BAV23"/>
      <c r="BAW23"/>
      <c r="BAX23"/>
      <c r="BAY23"/>
      <c r="BAZ23"/>
      <c r="BBA23"/>
      <c r="BBB23"/>
      <c r="BBC23"/>
      <c r="BBD23"/>
      <c r="BBE23"/>
      <c r="BBF23"/>
      <c r="BBG23"/>
      <c r="BBH23"/>
      <c r="BBI23"/>
      <c r="BBJ23"/>
      <c r="BBK23"/>
      <c r="BBL23"/>
      <c r="BBM23"/>
      <c r="BBN23"/>
      <c r="BBO23"/>
      <c r="BBP23"/>
      <c r="BBQ23"/>
      <c r="BBR23"/>
      <c r="BBS23"/>
      <c r="BBT23"/>
      <c r="BBU23"/>
      <c r="BBV23"/>
      <c r="BBW23"/>
      <c r="BBX23"/>
      <c r="BBY23"/>
      <c r="BBZ23"/>
      <c r="BCA23"/>
      <c r="BCB23"/>
      <c r="BCC23"/>
      <c r="BCD23"/>
      <c r="BCE23"/>
      <c r="BCF23"/>
      <c r="BCG23"/>
      <c r="BCH23"/>
      <c r="BCI23"/>
      <c r="BCJ23"/>
      <c r="BCK23"/>
      <c r="BCL23"/>
      <c r="BCM23"/>
      <c r="BCN23"/>
      <c r="BCO23"/>
      <c r="BCP23"/>
      <c r="BCQ23"/>
      <c r="BCR23"/>
      <c r="BCS23"/>
      <c r="BCT23"/>
      <c r="BCU23"/>
      <c r="BCV23"/>
      <c r="BCW23"/>
      <c r="BCX23"/>
      <c r="BCY23"/>
      <c r="BCZ23"/>
      <c r="BDA23"/>
      <c r="BDB23"/>
      <c r="BDC23"/>
      <c r="BDD23"/>
      <c r="BDE23"/>
      <c r="BDF23"/>
      <c r="BDG23"/>
      <c r="BDH23"/>
      <c r="BDI23"/>
      <c r="BDJ23"/>
      <c r="BDK23"/>
      <c r="BDL23"/>
      <c r="BDM23"/>
      <c r="BDN23"/>
      <c r="BDO23"/>
      <c r="BDP23"/>
      <c r="BDQ23"/>
      <c r="BDR23"/>
      <c r="BDS23"/>
      <c r="BDT23"/>
      <c r="BDU23"/>
      <c r="BDV23"/>
      <c r="BDW23"/>
      <c r="BDX23"/>
      <c r="BDY23"/>
      <c r="BDZ23"/>
      <c r="BEA23"/>
      <c r="BEB23"/>
      <c r="BEC23"/>
      <c r="BED23"/>
      <c r="BEE23"/>
      <c r="BEF23"/>
      <c r="BEG23"/>
      <c r="BEH23"/>
      <c r="BEI23"/>
      <c r="BEJ23"/>
      <c r="BEK23"/>
      <c r="BEL23"/>
      <c r="BEM23"/>
      <c r="BEN23"/>
      <c r="BEO23"/>
      <c r="BEP23"/>
      <c r="BEQ23"/>
      <c r="BER23"/>
      <c r="BES23"/>
      <c r="BET23"/>
      <c r="BEU23"/>
      <c r="BEV23"/>
      <c r="BEW23"/>
      <c r="BEX23"/>
      <c r="BEY23"/>
      <c r="BEZ23"/>
      <c r="BFA23"/>
      <c r="BFB23"/>
      <c r="BFC23"/>
      <c r="BFD23"/>
      <c r="BFE23"/>
      <c r="BFF23"/>
      <c r="BFG23"/>
      <c r="BFH23"/>
      <c r="BFI23"/>
      <c r="BFJ23"/>
      <c r="BFK23"/>
      <c r="BFL23"/>
      <c r="BFM23"/>
      <c r="BFN23"/>
      <c r="BFO23"/>
      <c r="BFP23"/>
      <c r="BFQ23"/>
      <c r="BFR23"/>
      <c r="BFS23"/>
      <c r="BFT23"/>
      <c r="BFU23"/>
      <c r="BFV23"/>
      <c r="BFW23"/>
      <c r="BFX23"/>
      <c r="BFY23"/>
      <c r="BFZ23"/>
      <c r="BGA23"/>
      <c r="BGB23"/>
      <c r="BGC23"/>
      <c r="BGD23"/>
      <c r="BGE23"/>
      <c r="BGF23"/>
      <c r="BGG23"/>
      <c r="BGH23"/>
      <c r="BGI23"/>
      <c r="BGJ23"/>
      <c r="BGK23"/>
      <c r="BGL23"/>
      <c r="BGM23"/>
      <c r="BGN23"/>
      <c r="BGO23"/>
      <c r="BGP23"/>
      <c r="BGQ23"/>
      <c r="BGR23"/>
      <c r="BGS23"/>
      <c r="BGT23"/>
      <c r="BGU23"/>
      <c r="BGV23"/>
      <c r="BGW23"/>
      <c r="BGX23"/>
      <c r="BGY23"/>
      <c r="BGZ23"/>
      <c r="BHA23"/>
      <c r="BHB23"/>
      <c r="BHC23"/>
      <c r="BHD23"/>
      <c r="BHE23"/>
      <c r="BHF23"/>
      <c r="BHG23"/>
      <c r="BHH23"/>
      <c r="BHI23"/>
      <c r="BHJ23"/>
      <c r="BHK23"/>
      <c r="BHL23"/>
      <c r="BHM23"/>
      <c r="BHN23"/>
      <c r="BHO23"/>
      <c r="BHP23"/>
      <c r="BHQ23"/>
      <c r="BHR23"/>
      <c r="BHS23"/>
      <c r="BHT23"/>
      <c r="BHU23"/>
      <c r="BHV23"/>
      <c r="BHW23"/>
      <c r="BHX23"/>
      <c r="BHY23"/>
      <c r="BHZ23"/>
      <c r="BIA23"/>
      <c r="BIB23"/>
      <c r="BIC23"/>
      <c r="BID23"/>
      <c r="BIE23"/>
      <c r="BIF23"/>
      <c r="BIG23"/>
      <c r="BIH23"/>
      <c r="BII23"/>
      <c r="BIJ23"/>
      <c r="BIK23"/>
      <c r="BIL23"/>
      <c r="BIM23"/>
      <c r="BIN23"/>
      <c r="BIO23"/>
      <c r="BIP23"/>
      <c r="BIQ23"/>
      <c r="BIR23"/>
      <c r="BIS23"/>
      <c r="BIT23"/>
      <c r="BIU23"/>
      <c r="BIV23"/>
      <c r="BIW23"/>
      <c r="BIX23"/>
      <c r="BIY23"/>
      <c r="BIZ23"/>
      <c r="BJA23"/>
      <c r="BJB23"/>
      <c r="BJC23"/>
      <c r="BJD23"/>
      <c r="BJE23"/>
      <c r="BJF23"/>
      <c r="BJG23"/>
      <c r="BJH23"/>
      <c r="BJI23"/>
      <c r="BJJ23"/>
      <c r="BJK23"/>
      <c r="BJL23"/>
      <c r="BJM23"/>
      <c r="BJN23"/>
      <c r="BJO23"/>
      <c r="BJP23"/>
      <c r="BJQ23"/>
      <c r="BJR23"/>
      <c r="BJS23"/>
      <c r="BJT23"/>
      <c r="BJU23"/>
      <c r="BJV23"/>
      <c r="BJW23"/>
      <c r="BJX23"/>
      <c r="BJY23"/>
      <c r="BJZ23"/>
      <c r="BKA23"/>
      <c r="BKB23"/>
      <c r="BKC23"/>
      <c r="BKD23"/>
      <c r="BKE23"/>
      <c r="BKF23"/>
      <c r="BKG23"/>
      <c r="BKH23"/>
      <c r="BKI23"/>
      <c r="BKJ23"/>
    </row>
    <row r="24" spans="1:1648" ht="15.75">
      <c r="A24" s="123" t="s">
        <v>516</v>
      </c>
      <c r="B24" s="60" t="s">
        <v>1930</v>
      </c>
      <c r="C24" s="60" t="s">
        <v>515</v>
      </c>
      <c r="D24" s="60" t="s">
        <v>514</v>
      </c>
      <c r="E24" s="61" t="s">
        <v>582</v>
      </c>
      <c r="F24" s="62"/>
      <c r="G24" s="63"/>
      <c r="H24" s="62"/>
      <c r="I24" s="60"/>
      <c r="J24" s="61"/>
      <c r="K24" s="60"/>
      <c r="L24" s="60"/>
      <c r="M24" s="60"/>
      <c r="N24" s="60"/>
      <c r="O24" s="60"/>
    </row>
    <row r="25" spans="1:1648" ht="15.75">
      <c r="A25" s="123" t="s">
        <v>753</v>
      </c>
      <c r="B25" s="60" t="s">
        <v>1931</v>
      </c>
      <c r="C25" s="60" t="s">
        <v>517</v>
      </c>
      <c r="D25" s="60" t="s">
        <v>514</v>
      </c>
      <c r="E25" s="61"/>
      <c r="F25" s="62"/>
      <c r="G25" s="63"/>
      <c r="H25" s="62"/>
      <c r="I25" s="60"/>
      <c r="J25" s="61"/>
      <c r="K25" s="60"/>
      <c r="L25" s="60"/>
      <c r="M25" s="60"/>
      <c r="N25" s="60"/>
      <c r="O25" s="60"/>
    </row>
    <row r="26" spans="1:1648" ht="15.75">
      <c r="A26" s="123" t="s">
        <v>519</v>
      </c>
      <c r="B26" s="60" t="s">
        <v>518</v>
      </c>
      <c r="C26" s="60" t="s">
        <v>517</v>
      </c>
      <c r="D26" s="60" t="s">
        <v>514</v>
      </c>
      <c r="E26" s="61"/>
      <c r="F26" s="62"/>
      <c r="G26" s="63"/>
      <c r="H26" s="62"/>
      <c r="I26" s="60"/>
      <c r="J26" s="61"/>
      <c r="K26" s="60"/>
      <c r="L26" s="60"/>
      <c r="M26" s="60"/>
      <c r="N26" s="60"/>
      <c r="O26" s="60"/>
    </row>
    <row r="27" spans="1:1648" ht="15.75">
      <c r="A27" s="123"/>
      <c r="B27" s="60"/>
      <c r="C27" s="60"/>
      <c r="D27" s="60"/>
      <c r="E27" s="61"/>
      <c r="F27" s="62"/>
      <c r="G27" s="63"/>
      <c r="H27" s="62"/>
      <c r="I27" s="60"/>
      <c r="J27" s="61"/>
      <c r="K27" s="60"/>
      <c r="L27" s="60"/>
      <c r="M27" s="60"/>
      <c r="N27" s="60"/>
      <c r="O27" s="60"/>
    </row>
    <row r="28" spans="1:1648" ht="15.75">
      <c r="A28" s="123"/>
      <c r="B28" s="60"/>
      <c r="C28" s="60"/>
      <c r="D28" s="60"/>
      <c r="E28" s="61"/>
      <c r="F28" s="62"/>
      <c r="G28" s="63"/>
      <c r="H28" s="62"/>
      <c r="I28" s="60"/>
      <c r="J28" s="60"/>
      <c r="K28" s="60"/>
      <c r="L28" s="60"/>
      <c r="M28" s="60"/>
      <c r="N28" s="60"/>
      <c r="O28" s="60"/>
    </row>
    <row r="29" spans="1:1648" ht="15.75">
      <c r="A29" s="123"/>
      <c r="B29" s="60"/>
      <c r="C29" s="60"/>
      <c r="D29" s="60"/>
      <c r="E29" s="61"/>
      <c r="F29" s="62">
        <f>SUM(F7:F28)</f>
        <v>0</v>
      </c>
      <c r="G29" s="63"/>
      <c r="H29" s="62">
        <f>SUM(H7:H28)</f>
        <v>0</v>
      </c>
      <c r="I29" s="60"/>
      <c r="J29" s="61">
        <f>SUM(J13,J21,J20)</f>
        <v>17.399999999999999</v>
      </c>
      <c r="K29" s="60"/>
      <c r="L29" s="60"/>
      <c r="M29" s="60"/>
      <c r="N29" s="60"/>
      <c r="O29" s="60"/>
    </row>
    <row r="31" spans="1:1648">
      <c r="G31" s="5"/>
    </row>
    <row r="32" spans="1:1648">
      <c r="C32" s="10" t="s">
        <v>754</v>
      </c>
      <c r="D32" s="9" t="s">
        <v>755</v>
      </c>
      <c r="E32" s="11" t="s">
        <v>512</v>
      </c>
      <c r="F32" s="12" t="s">
        <v>507</v>
      </c>
      <c r="G32" s="13" t="s">
        <v>513</v>
      </c>
      <c r="H32" s="14" t="s">
        <v>515</v>
      </c>
    </row>
    <row r="41" spans="5:5">
      <c r="E41">
        <v>22</v>
      </c>
    </row>
  </sheetData>
  <mergeCells count="5">
    <mergeCell ref="D2:F2"/>
    <mergeCell ref="D3:F3"/>
    <mergeCell ref="D4:E4"/>
    <mergeCell ref="I5:K5"/>
    <mergeCell ref="L5:N5"/>
  </mergeCells>
  <phoneticPr fontId="78" type="noConversion"/>
  <pageMargins left="0.25" right="0.25" top="0.75" bottom="0.75" header="0.3" footer="0.3"/>
  <pageSetup scale="63" orientation="landscape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L39"/>
  <sheetViews>
    <sheetView tabSelected="1" workbookViewId="0">
      <selection activeCell="H43" sqref="H43"/>
    </sheetView>
  </sheetViews>
  <sheetFormatPr defaultColWidth="9.140625" defaultRowHeight="12.75"/>
  <cols>
    <col min="1" max="1" width="32.28515625" style="110" bestFit="1" customWidth="1"/>
    <col min="2" max="2" width="12.140625" style="110" bestFit="1" customWidth="1"/>
    <col min="3" max="3" width="11.42578125" style="110" bestFit="1" customWidth="1"/>
    <col min="4" max="4" width="12.28515625" style="110" bestFit="1" customWidth="1"/>
    <col min="5" max="5" width="15.140625" style="110" bestFit="1" customWidth="1"/>
    <col min="6" max="6" width="12" style="110" bestFit="1" customWidth="1"/>
    <col min="7" max="7" width="12.85546875" style="110" bestFit="1" customWidth="1"/>
    <col min="8" max="8" width="13.140625" style="110" bestFit="1" customWidth="1"/>
    <col min="9" max="9" width="12.7109375" style="110" bestFit="1" customWidth="1"/>
    <col min="10" max="10" width="8.42578125" style="110" bestFit="1" customWidth="1"/>
    <col min="11" max="11" width="11.140625" style="110" bestFit="1" customWidth="1"/>
    <col min="12" max="16384" width="9.140625" style="110"/>
  </cols>
  <sheetData>
    <row r="1" spans="1:11">
      <c r="A1" s="170" t="s">
        <v>550</v>
      </c>
      <c r="B1" s="170" t="s">
        <v>551</v>
      </c>
      <c r="C1" s="170" t="s">
        <v>493</v>
      </c>
      <c r="D1" s="170" t="s">
        <v>552</v>
      </c>
      <c r="E1" s="171" t="s">
        <v>495</v>
      </c>
      <c r="F1" s="171" t="s">
        <v>497</v>
      </c>
      <c r="G1" s="170" t="s">
        <v>553</v>
      </c>
      <c r="H1" s="171" t="s">
        <v>554</v>
      </c>
      <c r="I1" s="170" t="s">
        <v>555</v>
      </c>
      <c r="J1" s="110" t="s">
        <v>752</v>
      </c>
      <c r="K1" s="110" t="s">
        <v>880</v>
      </c>
    </row>
    <row r="2" spans="1:11" ht="15">
      <c r="A2" s="56" t="s">
        <v>1916</v>
      </c>
      <c r="B2" s="172">
        <f>'REDI FRAME PAYROLL'!B4</f>
        <v>0</v>
      </c>
      <c r="C2" s="172">
        <f>'REDI FRAME PAYROLL'!C4</f>
        <v>0</v>
      </c>
      <c r="D2" s="172">
        <f>'REDI FRAME PAYROLL'!D4</f>
        <v>0</v>
      </c>
      <c r="E2" s="172">
        <f>'REDI FRAME PAYROLL'!E4</f>
        <v>0</v>
      </c>
      <c r="F2" s="172">
        <f>'REDI FRAME PAYROLL'!F4</f>
        <v>0</v>
      </c>
      <c r="G2" s="172">
        <f>'REDI FRAME PAYROLL'!G4</f>
        <v>0</v>
      </c>
      <c r="H2" s="172">
        <f>'REDI FRAME PAYROLL'!H4</f>
        <v>0</v>
      </c>
      <c r="I2" s="172">
        <f>'REDI FRAME PAYROLL'!I4</f>
        <v>0</v>
      </c>
      <c r="J2" s="172">
        <v>1</v>
      </c>
      <c r="K2" s="173"/>
    </row>
    <row r="3" spans="1:11" ht="15">
      <c r="A3" s="56" t="s">
        <v>1917</v>
      </c>
      <c r="B3" s="172">
        <f>'REDI FRAME PAYROLL'!B5</f>
        <v>0</v>
      </c>
      <c r="C3" s="172">
        <f>'REDI FRAME PAYROLL'!C5</f>
        <v>0</v>
      </c>
      <c r="D3" s="172">
        <f>'REDI FRAME PAYROLL'!D5</f>
        <v>0</v>
      </c>
      <c r="E3" s="172">
        <f>'REDI FRAME PAYROLL'!E5</f>
        <v>0</v>
      </c>
      <c r="F3" s="172">
        <f>'REDI FRAME PAYROLL'!F5</f>
        <v>0</v>
      </c>
      <c r="G3" s="172">
        <f>'REDI FRAME PAYROLL'!G5</f>
        <v>0</v>
      </c>
      <c r="H3" s="172">
        <f>'REDI FRAME PAYROLL'!H5</f>
        <v>0</v>
      </c>
      <c r="I3" s="172">
        <f>'REDI FRAME PAYROLL'!I5</f>
        <v>0</v>
      </c>
      <c r="J3" s="172">
        <v>2</v>
      </c>
      <c r="K3" s="172"/>
    </row>
    <row r="4" spans="1:11" ht="15">
      <c r="A4" s="56" t="s">
        <v>1918</v>
      </c>
      <c r="B4" s="172">
        <f>'REDI FRAME PAYROLL'!B6</f>
        <v>0</v>
      </c>
      <c r="C4" s="172">
        <f>'REDI FRAME PAYROLL'!C6</f>
        <v>0</v>
      </c>
      <c r="D4" s="172">
        <f>'REDI FRAME PAYROLL'!D6</f>
        <v>0</v>
      </c>
      <c r="E4" s="172">
        <f>'REDI FRAME PAYROLL'!E6</f>
        <v>0</v>
      </c>
      <c r="F4" s="172">
        <f>'REDI FRAME PAYROLL'!F6</f>
        <v>0</v>
      </c>
      <c r="G4" s="172">
        <f>'REDI FRAME PAYROLL'!G6</f>
        <v>0</v>
      </c>
      <c r="H4" s="172">
        <f>'REDI FRAME PAYROLL'!H6</f>
        <v>0</v>
      </c>
      <c r="I4" s="172">
        <f>'REDI FRAME PAYROLL'!I6</f>
        <v>0</v>
      </c>
      <c r="J4" s="172">
        <v>3</v>
      </c>
      <c r="K4" s="172"/>
    </row>
    <row r="5" spans="1:11" ht="15">
      <c r="A5" s="56" t="s">
        <v>1919</v>
      </c>
      <c r="B5" s="172">
        <f>'REDI FRAME PAYROLL'!B7</f>
        <v>0</v>
      </c>
      <c r="C5" s="172">
        <f>'REDI FRAME PAYROLL'!C7</f>
        <v>0</v>
      </c>
      <c r="D5" s="172">
        <f>'REDI FRAME PAYROLL'!D7</f>
        <v>0</v>
      </c>
      <c r="E5" s="172">
        <f>'REDI FRAME PAYROLL'!E7</f>
        <v>0</v>
      </c>
      <c r="F5" s="172">
        <f>'REDI FRAME PAYROLL'!F7</f>
        <v>0</v>
      </c>
      <c r="G5" s="172">
        <f>'REDI FRAME PAYROLL'!G7</f>
        <v>0</v>
      </c>
      <c r="H5" s="172">
        <f>'REDI FRAME PAYROLL'!H7</f>
        <v>0</v>
      </c>
      <c r="I5" s="172">
        <f>'REDI FRAME PAYROLL'!I7</f>
        <v>0</v>
      </c>
      <c r="J5" s="172">
        <v>5</v>
      </c>
      <c r="K5" s="172"/>
    </row>
    <row r="6" spans="1:11" ht="15">
      <c r="A6" s="56" t="s">
        <v>1920</v>
      </c>
      <c r="B6" s="172">
        <f>'REDI FRAME PAYROLL'!B8</f>
        <v>0</v>
      </c>
      <c r="C6" s="172">
        <f>'REDI FRAME PAYROLL'!C8</f>
        <v>0</v>
      </c>
      <c r="D6" s="172">
        <f>'REDI FRAME PAYROLL'!D8</f>
        <v>0</v>
      </c>
      <c r="E6" s="172">
        <f>'REDI FRAME PAYROLL'!E8</f>
        <v>0</v>
      </c>
      <c r="F6" s="172">
        <f>'REDI FRAME PAYROLL'!F8</f>
        <v>0</v>
      </c>
      <c r="G6" s="172">
        <f>'REDI FRAME PAYROLL'!G8</f>
        <v>0</v>
      </c>
      <c r="H6" s="172">
        <f>'REDI FRAME PAYROLL'!H8</f>
        <v>0</v>
      </c>
      <c r="I6" s="172">
        <f>'REDI FRAME PAYROLL'!I8</f>
        <v>0</v>
      </c>
      <c r="J6" s="172">
        <v>6</v>
      </c>
      <c r="K6" s="172"/>
    </row>
    <row r="7" spans="1:11" ht="15">
      <c r="A7" s="58" t="s">
        <v>1915</v>
      </c>
      <c r="B7" s="172">
        <f>'REDI FRAME PAYROLL'!B9</f>
        <v>0</v>
      </c>
      <c r="C7" s="172">
        <f>'REDI FRAME PAYROLL'!C9</f>
        <v>0</v>
      </c>
      <c r="D7" s="172">
        <f>'REDI FRAME PAYROLL'!D9</f>
        <v>0</v>
      </c>
      <c r="E7" s="172">
        <f>'REDI FRAME PAYROLL'!E9</f>
        <v>0</v>
      </c>
      <c r="F7" s="172">
        <f>'REDI FRAME PAYROLL'!F9</f>
        <v>0</v>
      </c>
      <c r="G7" s="172">
        <f>'REDI FRAME PAYROLL'!G9</f>
        <v>0</v>
      </c>
      <c r="H7" s="172">
        <f>'REDI FRAME PAYROLL'!H9</f>
        <v>0</v>
      </c>
      <c r="I7" s="172">
        <f>'REDI FRAME PAYROLL'!I9</f>
        <v>0</v>
      </c>
      <c r="J7" s="172">
        <v>8</v>
      </c>
      <c r="K7" s="172"/>
    </row>
    <row r="8" spans="1:11" ht="15">
      <c r="A8" s="57" t="s">
        <v>1921</v>
      </c>
      <c r="B8" s="172">
        <f>'REDI FRAME PAYROLL'!B10</f>
        <v>0</v>
      </c>
      <c r="C8" s="172">
        <f>'REDI FRAME PAYROLL'!C10</f>
        <v>0</v>
      </c>
      <c r="D8" s="172">
        <f>'REDI FRAME PAYROLL'!D10</f>
        <v>0</v>
      </c>
      <c r="E8" s="172">
        <f>'REDI FRAME PAYROLL'!E10</f>
        <v>0</v>
      </c>
      <c r="F8" s="172">
        <f>'REDI FRAME PAYROLL'!F10</f>
        <v>0</v>
      </c>
      <c r="G8" s="172">
        <f>'REDI FRAME PAYROLL'!G10</f>
        <v>0</v>
      </c>
      <c r="H8" s="172">
        <f>'REDI FRAME PAYROLL'!H10</f>
        <v>0</v>
      </c>
      <c r="I8" s="172">
        <f>'REDI FRAME PAYROLL'!I10</f>
        <v>0</v>
      </c>
      <c r="J8" s="172">
        <v>9</v>
      </c>
      <c r="K8" s="172"/>
    </row>
    <row r="9" spans="1:11" ht="15">
      <c r="A9" s="57" t="s">
        <v>1922</v>
      </c>
      <c r="B9" s="172">
        <f>'REDI FRAME PAYROLL'!B11</f>
        <v>0</v>
      </c>
      <c r="C9" s="172">
        <f>'REDI FRAME PAYROLL'!C11</f>
        <v>0</v>
      </c>
      <c r="D9" s="172">
        <f>'REDI FRAME PAYROLL'!D11</f>
        <v>0</v>
      </c>
      <c r="E9" s="172">
        <f>'REDI FRAME PAYROLL'!E11</f>
        <v>0</v>
      </c>
      <c r="F9" s="172">
        <f>'REDI FRAME PAYROLL'!F11</f>
        <v>0</v>
      </c>
      <c r="G9" s="172">
        <f>'REDI FRAME PAYROLL'!G11</f>
        <v>0</v>
      </c>
      <c r="H9" s="172">
        <f>'REDI FRAME PAYROLL'!H11</f>
        <v>0</v>
      </c>
      <c r="I9" s="172">
        <f>'REDI FRAME PAYROLL'!I11</f>
        <v>0</v>
      </c>
      <c r="J9" s="172">
        <v>10</v>
      </c>
      <c r="K9" s="172"/>
    </row>
    <row r="10" spans="1:11" ht="15">
      <c r="A10" s="57" t="s">
        <v>1923</v>
      </c>
      <c r="B10" s="172">
        <f>'REDI FRAME PAYROLL'!B12</f>
        <v>0</v>
      </c>
      <c r="C10" s="172">
        <f>'REDI FRAME PAYROLL'!C12</f>
        <v>0</v>
      </c>
      <c r="D10" s="172">
        <f>'REDI FRAME PAYROLL'!D12</f>
        <v>0</v>
      </c>
      <c r="E10" s="172">
        <f>'REDI FRAME PAYROLL'!E12</f>
        <v>0</v>
      </c>
      <c r="F10" s="172">
        <f>'REDI FRAME PAYROLL'!F12</f>
        <v>0</v>
      </c>
      <c r="G10" s="172">
        <f>'REDI FRAME PAYROLL'!G12</f>
        <v>0</v>
      </c>
      <c r="H10" s="172">
        <f>'REDI FRAME PAYROLL'!H12</f>
        <v>0</v>
      </c>
      <c r="I10" s="172">
        <f>'REDI FRAME PAYROLL'!I12</f>
        <v>0</v>
      </c>
      <c r="J10" s="172">
        <v>11</v>
      </c>
      <c r="K10" s="172"/>
    </row>
    <row r="11" spans="1:11" ht="15">
      <c r="A11" s="57" t="s">
        <v>1924</v>
      </c>
      <c r="B11" s="172">
        <f>'REDI FRAME PAYROLL'!B13</f>
        <v>0</v>
      </c>
      <c r="C11" s="172">
        <f>'REDI FRAME PAYROLL'!C13</f>
        <v>0</v>
      </c>
      <c r="D11" s="172">
        <f>'REDI FRAME PAYROLL'!D13</f>
        <v>0</v>
      </c>
      <c r="E11" s="172">
        <f>'REDI FRAME PAYROLL'!E13</f>
        <v>0</v>
      </c>
      <c r="F11" s="172">
        <f>'REDI FRAME PAYROLL'!F13</f>
        <v>0</v>
      </c>
      <c r="G11" s="172">
        <f>'REDI FRAME PAYROLL'!G13</f>
        <v>0</v>
      </c>
      <c r="H11" s="172">
        <f>'REDI FRAME PAYROLL'!H13</f>
        <v>0</v>
      </c>
      <c r="I11" s="172">
        <f>'REDI FRAME PAYROLL'!I13</f>
        <v>0</v>
      </c>
      <c r="J11" s="172">
        <v>12</v>
      </c>
      <c r="K11" s="172"/>
    </row>
    <row r="12" spans="1:11" ht="15">
      <c r="A12" s="56" t="s">
        <v>1913</v>
      </c>
      <c r="B12" s="172">
        <f>'REDI FRAME PAYROLL'!B14</f>
        <v>0</v>
      </c>
      <c r="C12" s="172">
        <f>'REDI FRAME PAYROLL'!C14</f>
        <v>0</v>
      </c>
      <c r="D12" s="172">
        <f>'REDI FRAME PAYROLL'!D14</f>
        <v>0</v>
      </c>
      <c r="E12" s="172">
        <f>'REDI FRAME PAYROLL'!E14</f>
        <v>0</v>
      </c>
      <c r="F12" s="172">
        <f>'REDI FRAME PAYROLL'!F14</f>
        <v>0</v>
      </c>
      <c r="G12" s="172">
        <f>'REDI FRAME PAYROLL'!G14</f>
        <v>0</v>
      </c>
      <c r="H12" s="172">
        <f>'REDI FRAME PAYROLL'!H14</f>
        <v>0</v>
      </c>
      <c r="I12" s="172">
        <f>'REDI FRAME PAYROLL'!I14</f>
        <v>0</v>
      </c>
      <c r="J12" s="172">
        <v>14</v>
      </c>
      <c r="K12" s="172"/>
    </row>
    <row r="13" spans="1:11" ht="15">
      <c r="A13" s="56" t="s">
        <v>1912</v>
      </c>
      <c r="B13" s="172">
        <f>'REDI FRAME PAYROLL'!B15</f>
        <v>0</v>
      </c>
      <c r="C13" s="172">
        <f>'REDI FRAME PAYROLL'!C15</f>
        <v>0</v>
      </c>
      <c r="D13" s="172">
        <f>'REDI FRAME PAYROLL'!D15</f>
        <v>0</v>
      </c>
      <c r="E13" s="172">
        <f>'REDI FRAME PAYROLL'!E15</f>
        <v>0</v>
      </c>
      <c r="F13" s="172">
        <f>'REDI FRAME PAYROLL'!F15</f>
        <v>0</v>
      </c>
      <c r="G13" s="172">
        <f>'REDI FRAME PAYROLL'!G15</f>
        <v>0</v>
      </c>
      <c r="H13" s="172">
        <f>'REDI FRAME PAYROLL'!H15</f>
        <v>0</v>
      </c>
      <c r="I13" s="172">
        <f>'REDI FRAME PAYROLL'!I15</f>
        <v>0</v>
      </c>
      <c r="J13" s="172">
        <v>15</v>
      </c>
      <c r="K13" s="172"/>
    </row>
    <row r="14" spans="1:11" ht="15">
      <c r="A14" s="57" t="s">
        <v>1925</v>
      </c>
      <c r="B14" s="172">
        <f>'REDI FRAME PAYROLL'!B16</f>
        <v>0</v>
      </c>
      <c r="C14" s="172">
        <f>'REDI FRAME PAYROLL'!C16</f>
        <v>0</v>
      </c>
      <c r="D14" s="172">
        <f>'REDI FRAME PAYROLL'!D16</f>
        <v>0</v>
      </c>
      <c r="E14" s="172">
        <f>'REDI FRAME PAYROLL'!E16</f>
        <v>0</v>
      </c>
      <c r="F14" s="172">
        <f>'REDI FRAME PAYROLL'!F16</f>
        <v>0</v>
      </c>
      <c r="G14" s="172">
        <f>'REDI FRAME PAYROLL'!G16</f>
        <v>0</v>
      </c>
      <c r="H14" s="172">
        <f>'REDI FRAME PAYROLL'!H16</f>
        <v>0</v>
      </c>
      <c r="I14" s="172">
        <f>'REDI FRAME PAYROLL'!I16</f>
        <v>0</v>
      </c>
      <c r="J14" s="172">
        <v>16</v>
      </c>
      <c r="K14" s="172"/>
    </row>
    <row r="15" spans="1:11" ht="15">
      <c r="A15" s="57" t="s">
        <v>1926</v>
      </c>
      <c r="B15" s="172">
        <f>'REDI FRAME PAYROLL'!B17</f>
        <v>0</v>
      </c>
      <c r="C15" s="172">
        <f>'REDI FRAME PAYROLL'!C17</f>
        <v>0</v>
      </c>
      <c r="D15" s="172">
        <f>'REDI FRAME PAYROLL'!D17</f>
        <v>0</v>
      </c>
      <c r="E15" s="172">
        <f>'REDI FRAME PAYROLL'!E17</f>
        <v>0</v>
      </c>
      <c r="F15" s="172">
        <f>'REDI FRAME PAYROLL'!F17</f>
        <v>0</v>
      </c>
      <c r="G15" s="172">
        <f>'REDI FRAME PAYROLL'!G17</f>
        <v>0</v>
      </c>
      <c r="H15" s="172">
        <f>'REDI FRAME PAYROLL'!H17</f>
        <v>0</v>
      </c>
      <c r="I15" s="172">
        <f>'REDI FRAME PAYROLL'!I17</f>
        <v>0</v>
      </c>
      <c r="J15" s="172">
        <v>1</v>
      </c>
      <c r="K15" s="172"/>
    </row>
    <row r="16" spans="1:11" ht="15">
      <c r="A16" s="57" t="s">
        <v>1927</v>
      </c>
      <c r="B16" s="172">
        <f>'REDI FRAME PAYROLL'!B18</f>
        <v>0</v>
      </c>
      <c r="C16" s="172">
        <f>'REDI FRAME PAYROLL'!C18</f>
        <v>0</v>
      </c>
      <c r="D16" s="172">
        <f>'REDI FRAME PAYROLL'!D18</f>
        <v>0</v>
      </c>
      <c r="E16" s="172">
        <f>'REDI FRAME PAYROLL'!E18</f>
        <v>0</v>
      </c>
      <c r="F16" s="172">
        <f>'REDI FRAME PAYROLL'!F18</f>
        <v>0</v>
      </c>
      <c r="G16" s="172">
        <f>'REDI FRAME PAYROLL'!G18</f>
        <v>0</v>
      </c>
      <c r="H16" s="172">
        <f>'REDI FRAME PAYROLL'!H18</f>
        <v>0</v>
      </c>
      <c r="I16" s="172">
        <f>'REDI FRAME PAYROLL'!I18</f>
        <v>0</v>
      </c>
      <c r="J16" s="172">
        <v>22</v>
      </c>
      <c r="K16" s="172"/>
    </row>
    <row r="17" spans="1:12" ht="15">
      <c r="A17" s="57" t="s">
        <v>1928</v>
      </c>
      <c r="B17" s="172">
        <f>'REDI FRAME PAYROLL'!B19</f>
        <v>0</v>
      </c>
      <c r="C17" s="172">
        <f>'REDI FRAME PAYROLL'!C19</f>
        <v>0</v>
      </c>
      <c r="D17" s="172">
        <f>'REDI FRAME PAYROLL'!D19</f>
        <v>0</v>
      </c>
      <c r="E17" s="172">
        <f>'REDI FRAME PAYROLL'!E19</f>
        <v>0</v>
      </c>
      <c r="F17" s="172">
        <f>'REDI FRAME PAYROLL'!F19</f>
        <v>0</v>
      </c>
      <c r="G17" s="172">
        <f>'REDI FRAME PAYROLL'!G19</f>
        <v>0</v>
      </c>
      <c r="H17" s="172">
        <f>'REDI FRAME PAYROLL'!H19</f>
        <v>0</v>
      </c>
      <c r="I17" s="172">
        <f>'REDI FRAME PAYROLL'!I19</f>
        <v>0</v>
      </c>
      <c r="J17" s="172">
        <v>23</v>
      </c>
      <c r="K17" s="172"/>
    </row>
    <row r="18" spans="1:12" ht="15">
      <c r="A18" s="57" t="s">
        <v>1929</v>
      </c>
      <c r="B18" s="172">
        <f>'REDI FRAME PAYROLL'!B20</f>
        <v>0</v>
      </c>
      <c r="C18" s="261">
        <f>'REDI FRAME PAYROLL'!C20</f>
        <v>0</v>
      </c>
      <c r="D18" s="261">
        <f>'REDI FRAME PAYROLL'!D20</f>
        <v>0</v>
      </c>
      <c r="E18" s="261">
        <f>'REDI FRAME PAYROLL'!E20</f>
        <v>0</v>
      </c>
      <c r="F18" s="261">
        <f>'REDI FRAME PAYROLL'!F20</f>
        <v>0</v>
      </c>
      <c r="G18" s="261">
        <f>'REDI FRAME PAYROLL'!G20</f>
        <v>0</v>
      </c>
      <c r="H18" s="260">
        <f>'REDI FRAME PAYROLL'!H20</f>
        <v>0</v>
      </c>
      <c r="I18" s="260">
        <f>'REDI FRAME PAYROLL'!I20</f>
        <v>0</v>
      </c>
      <c r="J18" s="261"/>
      <c r="K18" s="261"/>
    </row>
    <row r="19" spans="1:12" ht="15">
      <c r="A19" s="57" t="s">
        <v>1930</v>
      </c>
      <c r="B19" s="261">
        <f>'REDI FRAME PAYROLL'!B21</f>
        <v>0</v>
      </c>
      <c r="C19" s="261">
        <f>'REDI FRAME PAYROLL'!C21</f>
        <v>0</v>
      </c>
      <c r="D19" s="261">
        <f>'REDI FRAME PAYROLL'!D21</f>
        <v>0</v>
      </c>
      <c r="E19" s="261">
        <f>'REDI FRAME PAYROLL'!E21</f>
        <v>0</v>
      </c>
      <c r="F19" s="261">
        <f>'REDI FRAME PAYROLL'!F21</f>
        <v>0</v>
      </c>
      <c r="G19" s="261">
        <f>'REDI FRAME PAYROLL'!G21</f>
        <v>0</v>
      </c>
      <c r="H19" s="260">
        <f>'REDI FRAME PAYROLL'!H21</f>
        <v>0</v>
      </c>
      <c r="I19" s="260">
        <f>'REDI FRAME PAYROLL'!I21</f>
        <v>0</v>
      </c>
      <c r="J19" s="261"/>
      <c r="K19" s="261"/>
    </row>
    <row r="20" spans="1:12" ht="15">
      <c r="A20" s="57" t="s">
        <v>1931</v>
      </c>
      <c r="B20" s="176">
        <f>'REDI FRAME PAYROLL'!B22</f>
        <v>0</v>
      </c>
      <c r="C20" s="176">
        <f>'REDI FRAME PAYROLL'!C22</f>
        <v>0</v>
      </c>
      <c r="D20" s="176">
        <f>'REDI FRAME PAYROLL'!D22</f>
        <v>0</v>
      </c>
      <c r="E20" s="176">
        <f>'REDI FRAME PAYROLL'!E22</f>
        <v>0</v>
      </c>
      <c r="F20" s="176">
        <f>'REDI FRAME PAYROLL'!F22</f>
        <v>0</v>
      </c>
      <c r="G20" s="176">
        <f>'REDI FRAME PAYROLL'!G22</f>
        <v>0</v>
      </c>
      <c r="H20" s="175">
        <f>'REDI FRAME PAYROLL'!H22</f>
        <v>0</v>
      </c>
      <c r="I20" s="175">
        <f>'REDI FRAME PAYROLL'!I22</f>
        <v>0</v>
      </c>
      <c r="J20" s="176"/>
      <c r="K20" s="176"/>
    </row>
    <row r="21" spans="1:12" ht="13.5" thickBot="1"/>
    <row r="22" spans="1:12">
      <c r="A22" s="177" t="s">
        <v>1159</v>
      </c>
      <c r="B22" s="178" t="s">
        <v>350</v>
      </c>
      <c r="C22" s="179" t="s">
        <v>345</v>
      </c>
      <c r="D22" s="178" t="s">
        <v>502</v>
      </c>
      <c r="E22" s="178" t="s">
        <v>353</v>
      </c>
      <c r="F22" s="178" t="s">
        <v>1157</v>
      </c>
      <c r="G22" s="178" t="s">
        <v>354</v>
      </c>
      <c r="H22" s="178" t="s">
        <v>505</v>
      </c>
      <c r="I22" s="178" t="s">
        <v>543</v>
      </c>
      <c r="J22" s="180" t="s">
        <v>558</v>
      </c>
      <c r="K22" s="178" t="s">
        <v>559</v>
      </c>
      <c r="L22" s="181" t="s">
        <v>1156</v>
      </c>
    </row>
    <row r="23" spans="1:12" ht="18.75">
      <c r="A23" s="87" t="s">
        <v>1914</v>
      </c>
      <c r="B23" s="230">
        <f>'WEEKLY TOTALS'!C3</f>
        <v>10.4</v>
      </c>
      <c r="C23" s="182">
        <f>'WEEKLY TOTALS'!D3</f>
        <v>4</v>
      </c>
      <c r="D23" s="182">
        <f>'WEEKLY TOTALS'!E3</f>
        <v>0</v>
      </c>
      <c r="E23" s="182">
        <f>'WEEKLY TOTALS'!F3</f>
        <v>0</v>
      </c>
      <c r="F23" s="182">
        <f>'WEEKLY TOTALS'!G3</f>
        <v>10.4</v>
      </c>
      <c r="G23" s="182">
        <f>'WEEKLY TOTALS'!H3</f>
        <v>10.4</v>
      </c>
      <c r="H23" s="182">
        <f>'WEEKLY TOTALS'!I3</f>
        <v>0</v>
      </c>
      <c r="I23" s="182">
        <f>'WEEKLY TOTALS'!J3</f>
        <v>0</v>
      </c>
      <c r="J23" s="182" t="str">
        <f>'WEEKLY TOTALS'!K3</f>
        <v>0</v>
      </c>
      <c r="K23" s="182" t="str">
        <f>'WEEKLY TOTALS'!L3</f>
        <v>0</v>
      </c>
      <c r="L23" s="182">
        <f>'WEEKLY TOTALS'!M3</f>
        <v>0</v>
      </c>
    </row>
    <row r="24" spans="1:12" ht="13.5" thickBot="1">
      <c r="A24" s="183"/>
      <c r="B24" s="184" t="s">
        <v>503</v>
      </c>
      <c r="C24" s="185">
        <f>SUM(C23:C23)</f>
        <v>4</v>
      </c>
      <c r="D24" s="186" t="e">
        <f>C24/H24</f>
        <v>#DIV/0!</v>
      </c>
      <c r="E24" s="187">
        <f>SUM(E23:E23)</f>
        <v>0</v>
      </c>
      <c r="F24" s="188">
        <f>SUM(F23:F23)</f>
        <v>10.4</v>
      </c>
      <c r="G24" s="188">
        <f>SUM(G23:G23)</f>
        <v>10.4</v>
      </c>
      <c r="H24" s="189">
        <f>MAX(H23:H23)</f>
        <v>0</v>
      </c>
      <c r="I24" s="189">
        <f>SUM(I23:I23)</f>
        <v>0</v>
      </c>
      <c r="J24" s="190" t="e">
        <f>AVERAGE(J23:J23)</f>
        <v>#DIV/0!</v>
      </c>
      <c r="K24" s="191" t="e">
        <f>AVERAGE(K23:K23)</f>
        <v>#DIV/0!</v>
      </c>
      <c r="L24" s="192"/>
    </row>
    <row r="25" spans="1:12">
      <c r="C25" s="153"/>
      <c r="D25" s="128"/>
      <c r="J25" s="193"/>
    </row>
    <row r="26" spans="1:12" ht="13.5" thickBot="1">
      <c r="C26" s="194" t="s">
        <v>349</v>
      </c>
      <c r="D26" s="128"/>
      <c r="J26" s="193"/>
    </row>
    <row r="27" spans="1:12">
      <c r="A27" s="195"/>
      <c r="B27" s="178" t="s">
        <v>350</v>
      </c>
      <c r="C27" s="179" t="s">
        <v>345</v>
      </c>
      <c r="D27" s="196" t="s">
        <v>502</v>
      </c>
      <c r="E27" s="178" t="s">
        <v>353</v>
      </c>
      <c r="F27" s="178" t="s">
        <v>1158</v>
      </c>
      <c r="G27" s="178" t="s">
        <v>354</v>
      </c>
      <c r="H27" s="178" t="s">
        <v>505</v>
      </c>
      <c r="I27" s="178" t="s">
        <v>543</v>
      </c>
      <c r="J27" s="180" t="s">
        <v>558</v>
      </c>
      <c r="K27" s="178" t="s">
        <v>559</v>
      </c>
      <c r="L27" s="181" t="s">
        <v>1156</v>
      </c>
    </row>
    <row r="28" spans="1:12">
      <c r="A28" s="87" t="s">
        <v>1913</v>
      </c>
      <c r="B28" s="197">
        <f>'WEEKLY TOTALS'!C9</f>
        <v>3.5</v>
      </c>
      <c r="C28" s="197">
        <f>'WEEKLY TOTALS'!D9</f>
        <v>2</v>
      </c>
      <c r="D28" s="197">
        <f>'WEEKLY TOTALS'!E9</f>
        <v>0</v>
      </c>
      <c r="E28" s="197">
        <f>'WEEKLY TOTALS'!F9</f>
        <v>0</v>
      </c>
      <c r="F28" s="197">
        <f>'WEEKLY TOTALS'!G9</f>
        <v>3.5</v>
      </c>
      <c r="G28" s="197">
        <f>'WEEKLY TOTALS'!H9</f>
        <v>3.5</v>
      </c>
      <c r="H28" s="197">
        <f>'WEEKLY TOTALS'!I9</f>
        <v>0</v>
      </c>
      <c r="I28" s="197">
        <f>'WEEKLY TOTALS'!J9</f>
        <v>0</v>
      </c>
      <c r="J28" s="197" t="str">
        <f>'WEEKLY TOTALS'!K9</f>
        <v>0</v>
      </c>
      <c r="K28" s="197" t="str">
        <f>'WEEKLY TOTALS'!L9</f>
        <v>0</v>
      </c>
      <c r="L28" s="197">
        <f>'WEEKLY TOTALS'!M9</f>
        <v>0</v>
      </c>
    </row>
    <row r="29" spans="1:12">
      <c r="A29" s="87" t="s">
        <v>1912</v>
      </c>
      <c r="B29" s="197">
        <f>'WEEKLY TOTALS'!C10</f>
        <v>3.5</v>
      </c>
      <c r="C29" s="197">
        <f>'WEEKLY TOTALS'!D10</f>
        <v>2</v>
      </c>
      <c r="D29" s="197">
        <f>'WEEKLY TOTALS'!E10</f>
        <v>0</v>
      </c>
      <c r="E29" s="197">
        <f>'WEEKLY TOTALS'!F10</f>
        <v>0</v>
      </c>
      <c r="F29" s="197">
        <f>'WEEKLY TOTALS'!G10</f>
        <v>3.5</v>
      </c>
      <c r="G29" s="197">
        <f>'WEEKLY TOTALS'!H10</f>
        <v>3.5</v>
      </c>
      <c r="H29" s="197">
        <f>'WEEKLY TOTALS'!I10</f>
        <v>0</v>
      </c>
      <c r="I29" s="197">
        <f>'WEEKLY TOTALS'!J10</f>
        <v>0</v>
      </c>
      <c r="J29" s="197" t="str">
        <f>'WEEKLY TOTALS'!K10</f>
        <v>0</v>
      </c>
      <c r="K29" s="197" t="str">
        <f>'WEEKLY TOTALS'!L10</f>
        <v>0</v>
      </c>
      <c r="L29" s="197">
        <f>'WEEKLY TOTALS'!M10</f>
        <v>0</v>
      </c>
    </row>
    <row r="30" spans="1:12">
      <c r="A30" s="198"/>
      <c r="B30" s="174"/>
      <c r="C30" s="199"/>
      <c r="D30" s="200"/>
      <c r="E30" s="174"/>
      <c r="F30" s="174"/>
      <c r="G30" s="201">
        <f t="shared" ref="G30" si="0">F30+L30</f>
        <v>0</v>
      </c>
      <c r="H30" s="174"/>
      <c r="I30" s="174"/>
      <c r="J30" s="202"/>
      <c r="K30" s="174"/>
      <c r="L30" s="203">
        <f t="shared" ref="L30" si="1">IF(I30&gt;40,(I30-40)*(J30/2),0)</f>
        <v>0</v>
      </c>
    </row>
    <row r="31" spans="1:12" ht="13.5" thickBot="1">
      <c r="A31" s="183"/>
      <c r="B31" s="184" t="s">
        <v>503</v>
      </c>
      <c r="C31" s="185">
        <f>SUM(C28:C29)</f>
        <v>4</v>
      </c>
      <c r="D31" s="186" t="e">
        <f>C31/H31</f>
        <v>#DIV/0!</v>
      </c>
      <c r="E31" s="188">
        <f>SUM(E28:E29)</f>
        <v>0</v>
      </c>
      <c r="F31" s="188">
        <f>SUM(F28:F29)</f>
        <v>7</v>
      </c>
      <c r="G31" s="204">
        <f>SUM(G28:G30)</f>
        <v>7</v>
      </c>
      <c r="H31" s="189">
        <f>MAX(H28:H29)</f>
        <v>0</v>
      </c>
      <c r="I31" s="189">
        <f>SUM(I28:I29)</f>
        <v>0</v>
      </c>
      <c r="J31" s="190" t="e">
        <f>AVERAGE(J28:J29)</f>
        <v>#DIV/0!</v>
      </c>
      <c r="K31" s="191" t="e">
        <f>AVERAGE(K28:K29)</f>
        <v>#DIV/0!</v>
      </c>
      <c r="L31" s="192"/>
    </row>
    <row r="39" spans="1:1">
      <c r="A39" s="110" t="s">
        <v>1847</v>
      </c>
    </row>
  </sheetData>
  <phoneticPr fontId="78" type="noConversion"/>
  <conditionalFormatting sqref="B2:I20">
    <cfRule type="cellIs" dxfId="47" priority="10" operator="greaterThan">
      <formula>8</formula>
    </cfRule>
    <cfRule type="cellIs" dxfId="46" priority="11" operator="between">
      <formula>1</formula>
      <formula>7.9</formula>
    </cfRule>
    <cfRule type="cellIs" dxfId="45" priority="13" operator="lessThan">
      <formula>1</formula>
    </cfRule>
    <cfRule type="expression" dxfId="44" priority="14">
      <formula>NA</formula>
    </cfRule>
  </conditionalFormatting>
  <conditionalFormatting sqref="B2:I20">
    <cfRule type="cellIs" dxfId="43" priority="12" operator="equal">
      <formula>8</formula>
    </cfRule>
  </conditionalFormatting>
  <conditionalFormatting sqref="D24">
    <cfRule type="cellIs" dxfId="42" priority="3" operator="lessThan">
      <formula>140</formula>
    </cfRule>
  </conditionalFormatting>
  <conditionalFormatting sqref="D31">
    <cfRule type="cellIs" dxfId="41" priority="1" operator="greaterThan">
      <formula>70</formula>
    </cfRule>
    <cfRule type="cellIs" dxfId="40" priority="2" operator="lessThan">
      <formula>70</formula>
    </cfRule>
  </conditionalFormatting>
  <pageMargins left="0.7" right="0.7" top="0.75" bottom="0.75" header="0.3" footer="0.3"/>
  <pageSetup scale="71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92D050"/>
    <pageSetUpPr fitToPage="1"/>
  </sheetPr>
  <dimension ref="A1:M28"/>
  <sheetViews>
    <sheetView zoomScale="90" zoomScaleNormal="90" workbookViewId="0">
      <selection activeCell="A4" sqref="A4:A22"/>
    </sheetView>
  </sheetViews>
  <sheetFormatPr defaultColWidth="32.42578125" defaultRowHeight="15"/>
  <cols>
    <col min="1" max="1" width="32.28515625" bestFit="1" customWidth="1"/>
    <col min="2" max="2" width="12.42578125" bestFit="1" customWidth="1"/>
    <col min="3" max="3" width="11.42578125" bestFit="1" customWidth="1"/>
    <col min="4" max="4" width="12.42578125" bestFit="1" customWidth="1"/>
    <col min="5" max="5" width="15.42578125" bestFit="1" customWidth="1"/>
    <col min="6" max="6" width="12.42578125" bestFit="1" customWidth="1"/>
    <col min="7" max="7" width="24" bestFit="1" customWidth="1"/>
    <col min="8" max="8" width="13.42578125" bestFit="1" customWidth="1"/>
    <col min="9" max="9" width="13" bestFit="1" customWidth="1"/>
    <col min="10" max="10" width="12.140625" bestFit="1" customWidth="1"/>
    <col min="11" max="11" width="11.42578125" bestFit="1" customWidth="1"/>
    <col min="13" max="13" width="7.28515625" bestFit="1" customWidth="1"/>
    <col min="14" max="17" width="5.5703125" bestFit="1" customWidth="1"/>
  </cols>
  <sheetData>
    <row r="1" spans="1:13">
      <c r="A1" s="6" t="s">
        <v>640</v>
      </c>
      <c r="B1" s="2">
        <v>43198</v>
      </c>
    </row>
    <row r="3" spans="1:13">
      <c r="A3" s="7" t="s">
        <v>550</v>
      </c>
      <c r="B3" s="7" t="s">
        <v>551</v>
      </c>
      <c r="C3" s="7" t="s">
        <v>493</v>
      </c>
      <c r="D3" s="7" t="s">
        <v>552</v>
      </c>
      <c r="E3" s="8" t="s">
        <v>495</v>
      </c>
      <c r="F3" s="8" t="s">
        <v>497</v>
      </c>
      <c r="G3" s="7" t="s">
        <v>553</v>
      </c>
      <c r="H3" s="8" t="s">
        <v>554</v>
      </c>
      <c r="I3" s="7" t="s">
        <v>555</v>
      </c>
      <c r="J3" t="s">
        <v>752</v>
      </c>
      <c r="K3" t="s">
        <v>880</v>
      </c>
    </row>
    <row r="4" spans="1:13">
      <c r="A4" s="56" t="s">
        <v>1916</v>
      </c>
      <c r="B4" s="270"/>
      <c r="C4" s="270"/>
      <c r="D4" s="270"/>
      <c r="E4" s="270"/>
      <c r="F4" s="270"/>
      <c r="G4" s="270"/>
      <c r="H4" s="270"/>
      <c r="I4" s="48">
        <f t="shared" ref="I4:I19" si="0">SUM(B4:H4)</f>
        <v>0</v>
      </c>
      <c r="J4" s="51">
        <v>1</v>
      </c>
      <c r="K4" s="102"/>
    </row>
    <row r="5" spans="1:13">
      <c r="A5" s="56" t="s">
        <v>1917</v>
      </c>
      <c r="B5" s="270"/>
      <c r="C5" s="270"/>
      <c r="D5" s="270"/>
      <c r="E5" s="270"/>
      <c r="F5" s="270"/>
      <c r="G5" s="270"/>
      <c r="H5" s="270"/>
      <c r="I5" s="48">
        <f t="shared" si="0"/>
        <v>0</v>
      </c>
      <c r="J5" s="51">
        <v>2</v>
      </c>
      <c r="K5" s="51"/>
      <c r="M5" s="5"/>
    </row>
    <row r="6" spans="1:13">
      <c r="A6" s="56" t="s">
        <v>1918</v>
      </c>
      <c r="B6" s="270"/>
      <c r="C6" s="270"/>
      <c r="D6" s="270"/>
      <c r="E6" s="270"/>
      <c r="F6" s="270"/>
      <c r="G6" s="270"/>
      <c r="H6" s="270"/>
      <c r="I6" s="48">
        <f t="shared" si="0"/>
        <v>0</v>
      </c>
      <c r="J6" s="51">
        <v>3</v>
      </c>
      <c r="K6" s="51"/>
      <c r="M6" s="5"/>
    </row>
    <row r="7" spans="1:13">
      <c r="A7" s="56" t="s">
        <v>1919</v>
      </c>
      <c r="B7" s="270"/>
      <c r="C7" s="270"/>
      <c r="D7" s="270"/>
      <c r="E7" s="270"/>
      <c r="F7" s="270"/>
      <c r="G7" s="270"/>
      <c r="H7" s="270"/>
      <c r="I7" s="48">
        <f t="shared" si="0"/>
        <v>0</v>
      </c>
      <c r="J7" s="51">
        <v>5</v>
      </c>
      <c r="K7" s="51"/>
      <c r="M7" s="5"/>
    </row>
    <row r="8" spans="1:13">
      <c r="A8" s="56" t="s">
        <v>1920</v>
      </c>
      <c r="B8" s="270"/>
      <c r="C8" s="270"/>
      <c r="D8" s="270"/>
      <c r="E8" s="270"/>
      <c r="F8" s="270"/>
      <c r="G8" s="270"/>
      <c r="H8" s="270"/>
      <c r="I8" s="48">
        <f t="shared" si="0"/>
        <v>0</v>
      </c>
      <c r="J8" s="51">
        <v>6</v>
      </c>
      <c r="K8" s="51"/>
      <c r="M8" s="5"/>
    </row>
    <row r="9" spans="1:13">
      <c r="A9" s="58" t="s">
        <v>1915</v>
      </c>
      <c r="B9" s="270"/>
      <c r="C9" s="270"/>
      <c r="D9" s="270"/>
      <c r="E9" s="270"/>
      <c r="F9" s="270"/>
      <c r="G9" s="270"/>
      <c r="H9" s="270"/>
      <c r="I9" s="48">
        <f t="shared" si="0"/>
        <v>0</v>
      </c>
      <c r="J9" s="51">
        <v>8</v>
      </c>
      <c r="K9" s="51"/>
    </row>
    <row r="10" spans="1:13">
      <c r="A10" s="57" t="s">
        <v>1921</v>
      </c>
      <c r="B10" s="270"/>
      <c r="C10" s="270"/>
      <c r="D10" s="270"/>
      <c r="E10" s="270"/>
      <c r="F10" s="270"/>
      <c r="G10" s="270"/>
      <c r="H10" s="270"/>
      <c r="I10" s="48">
        <f t="shared" si="0"/>
        <v>0</v>
      </c>
      <c r="J10" s="51">
        <v>9</v>
      </c>
      <c r="K10" s="51"/>
    </row>
    <row r="11" spans="1:13">
      <c r="A11" s="57" t="s">
        <v>1922</v>
      </c>
      <c r="B11" s="270"/>
      <c r="C11" s="270"/>
      <c r="D11" s="270"/>
      <c r="E11" s="270"/>
      <c r="F11" s="270"/>
      <c r="G11" s="270"/>
      <c r="H11" s="270"/>
      <c r="I11" s="48">
        <f t="shared" si="0"/>
        <v>0</v>
      </c>
      <c r="J11" s="51">
        <v>10</v>
      </c>
      <c r="K11" s="51"/>
    </row>
    <row r="12" spans="1:13">
      <c r="A12" s="57" t="s">
        <v>1923</v>
      </c>
      <c r="B12" s="270"/>
      <c r="C12" s="270"/>
      <c r="D12" s="270"/>
      <c r="E12" s="270"/>
      <c r="F12" s="270"/>
      <c r="G12" s="270"/>
      <c r="H12" s="270"/>
      <c r="I12" s="48">
        <f t="shared" si="0"/>
        <v>0</v>
      </c>
      <c r="J12" s="51">
        <v>11</v>
      </c>
      <c r="K12" s="51"/>
    </row>
    <row r="13" spans="1:13">
      <c r="A13" s="57" t="s">
        <v>1924</v>
      </c>
      <c r="B13" s="270"/>
      <c r="C13" s="270"/>
      <c r="D13" s="270"/>
      <c r="E13" s="270"/>
      <c r="F13" s="270"/>
      <c r="G13" s="270"/>
      <c r="H13" s="270"/>
      <c r="I13" s="48">
        <f t="shared" si="0"/>
        <v>0</v>
      </c>
      <c r="J13" s="51">
        <v>12</v>
      </c>
      <c r="K13" s="51"/>
    </row>
    <row r="14" spans="1:13">
      <c r="A14" s="56" t="s">
        <v>1913</v>
      </c>
      <c r="B14" s="270"/>
      <c r="C14" s="270"/>
      <c r="D14" s="270"/>
      <c r="E14" s="270"/>
      <c r="F14" s="270"/>
      <c r="G14" s="270"/>
      <c r="H14" s="270"/>
      <c r="I14" s="48">
        <f t="shared" si="0"/>
        <v>0</v>
      </c>
      <c r="J14" s="51">
        <v>14</v>
      </c>
      <c r="K14" s="51"/>
    </row>
    <row r="15" spans="1:13">
      <c r="A15" s="56" t="s">
        <v>1912</v>
      </c>
      <c r="B15" s="270"/>
      <c r="C15" s="270"/>
      <c r="D15" s="270"/>
      <c r="E15" s="270"/>
      <c r="F15" s="270"/>
      <c r="G15" s="270"/>
      <c r="H15" s="270"/>
      <c r="I15" s="59">
        <f t="shared" si="0"/>
        <v>0</v>
      </c>
      <c r="J15" s="51">
        <v>15</v>
      </c>
      <c r="K15" s="51"/>
    </row>
    <row r="16" spans="1:13">
      <c r="A16" s="57" t="s">
        <v>1925</v>
      </c>
      <c r="B16" s="270"/>
      <c r="C16" s="270"/>
      <c r="D16" s="270"/>
      <c r="E16" s="270"/>
      <c r="F16" s="270"/>
      <c r="G16" s="270"/>
      <c r="H16" s="270"/>
      <c r="I16" s="48">
        <f t="shared" si="0"/>
        <v>0</v>
      </c>
      <c r="J16" s="51">
        <v>16</v>
      </c>
      <c r="K16" s="51"/>
    </row>
    <row r="17" spans="1:11">
      <c r="A17" s="57" t="s">
        <v>1926</v>
      </c>
      <c r="B17" s="270"/>
      <c r="C17" s="270"/>
      <c r="D17" s="270"/>
      <c r="E17" s="270"/>
      <c r="F17" s="270"/>
      <c r="G17" s="270"/>
      <c r="H17" s="270"/>
      <c r="I17" s="48">
        <f t="shared" si="0"/>
        <v>0</v>
      </c>
      <c r="J17" s="51">
        <v>1</v>
      </c>
      <c r="K17" s="51"/>
    </row>
    <row r="18" spans="1:11">
      <c r="A18" s="57" t="s">
        <v>1927</v>
      </c>
      <c r="B18" s="270"/>
      <c r="C18" s="270"/>
      <c r="D18" s="270"/>
      <c r="E18" s="270"/>
      <c r="F18" s="270"/>
      <c r="G18" s="270"/>
      <c r="H18" s="270"/>
      <c r="I18" s="48">
        <f t="shared" si="0"/>
        <v>0</v>
      </c>
      <c r="J18" s="51">
        <v>22</v>
      </c>
      <c r="K18" s="51"/>
    </row>
    <row r="19" spans="1:11">
      <c r="A19" s="57" t="s">
        <v>1928</v>
      </c>
      <c r="B19" s="270"/>
      <c r="C19" s="270"/>
      <c r="D19" s="270"/>
      <c r="E19" s="270"/>
      <c r="F19" s="270"/>
      <c r="G19" s="270"/>
      <c r="H19" s="270"/>
      <c r="I19" s="64">
        <f t="shared" si="0"/>
        <v>0</v>
      </c>
      <c r="J19" s="51">
        <v>23</v>
      </c>
      <c r="K19" s="51"/>
    </row>
    <row r="20" spans="1:11">
      <c r="A20" s="57" t="s">
        <v>1929</v>
      </c>
      <c r="B20" s="270"/>
      <c r="C20" s="270"/>
      <c r="D20" s="270"/>
      <c r="E20" s="270"/>
      <c r="F20" s="270"/>
      <c r="G20" s="270"/>
      <c r="H20" s="270"/>
      <c r="I20" s="64">
        <f>SUM(B20:H20)</f>
        <v>0</v>
      </c>
      <c r="J20" s="65"/>
      <c r="K20" s="65"/>
    </row>
    <row r="21" spans="1:11">
      <c r="A21" s="57" t="s">
        <v>1930</v>
      </c>
      <c r="B21" s="270"/>
      <c r="C21" s="270"/>
      <c r="D21" s="270"/>
      <c r="E21" s="270"/>
      <c r="F21" s="270"/>
      <c r="G21" s="270"/>
      <c r="H21" s="270"/>
      <c r="I21" s="270">
        <f t="shared" ref="I21:I22" si="1">SUM(B21:H21)</f>
        <v>0</v>
      </c>
      <c r="J21" s="269"/>
      <c r="K21" s="269"/>
    </row>
    <row r="22" spans="1:11">
      <c r="A22" s="57" t="s">
        <v>1931</v>
      </c>
      <c r="B22" s="270"/>
      <c r="C22" s="270"/>
      <c r="D22" s="270"/>
      <c r="E22" s="270"/>
      <c r="F22" s="270"/>
      <c r="G22" s="270"/>
      <c r="H22" s="270"/>
      <c r="I22" s="64">
        <f t="shared" si="1"/>
        <v>0</v>
      </c>
      <c r="J22" s="65"/>
      <c r="K22" s="65"/>
    </row>
    <row r="23" spans="1:11" ht="15.75">
      <c r="A23" s="103"/>
      <c r="B23" s="1"/>
      <c r="C23" s="1"/>
      <c r="D23" s="1"/>
      <c r="E23" s="1"/>
      <c r="F23" s="1"/>
      <c r="G23" s="1"/>
      <c r="J23" s="1"/>
      <c r="K23" s="1"/>
    </row>
    <row r="24" spans="1:11">
      <c r="B24" s="1"/>
      <c r="C24" s="1"/>
      <c r="D24" s="1"/>
      <c r="E24" s="1"/>
      <c r="F24" s="1"/>
      <c r="G24" s="1"/>
      <c r="J24" s="1"/>
    </row>
    <row r="25" spans="1:11">
      <c r="B25" s="10" t="s">
        <v>754</v>
      </c>
      <c r="C25" s="9" t="s">
        <v>755</v>
      </c>
      <c r="D25" s="11" t="s">
        <v>512</v>
      </c>
      <c r="E25" s="12" t="s">
        <v>507</v>
      </c>
      <c r="F25" s="13" t="s">
        <v>513</v>
      </c>
      <c r="G25" s="14" t="s">
        <v>515</v>
      </c>
    </row>
    <row r="26" spans="1:11">
      <c r="B26" s="1"/>
      <c r="C26" s="1"/>
      <c r="D26" s="1"/>
      <c r="E26" s="1"/>
      <c r="F26" s="1"/>
    </row>
    <row r="27" spans="1:11">
      <c r="B27" s="1"/>
      <c r="C27" s="1"/>
      <c r="D27" s="1"/>
      <c r="E27" s="1"/>
      <c r="F27" s="1"/>
    </row>
    <row r="28" spans="1:11" ht="15.75">
      <c r="A28" s="81"/>
      <c r="G28" s="125" t="s">
        <v>556</v>
      </c>
      <c r="H28" s="7"/>
      <c r="I28" s="126">
        <f>SUM(I5:I27)</f>
        <v>0</v>
      </c>
    </row>
  </sheetData>
  <phoneticPr fontId="78" type="noConversion"/>
  <conditionalFormatting sqref="B23:G24">
    <cfRule type="cellIs" dxfId="27" priority="1" operator="greaterThan">
      <formula>8</formula>
    </cfRule>
    <cfRule type="cellIs" dxfId="26" priority="2" operator="between">
      <formula>1</formula>
      <formula>7.9</formula>
    </cfRule>
    <cfRule type="cellIs" dxfId="25" priority="4" operator="lessThan">
      <formula>1</formula>
    </cfRule>
    <cfRule type="expression" dxfId="24" priority="5">
      <formula>NA</formula>
    </cfRule>
  </conditionalFormatting>
  <conditionalFormatting sqref="B23:H24">
    <cfRule type="cellIs" dxfId="23" priority="3" operator="equal">
      <formula>8</formula>
    </cfRule>
  </conditionalFormatting>
  <pageMargins left="0.25" right="0.25" top="0.75" bottom="0.75" header="0.3" footer="0.3"/>
  <pageSetup scale="78" orientation="landscape" blackAndWhite="1" r:id="rId1"/>
  <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B1:M21"/>
  <sheetViews>
    <sheetView workbookViewId="0">
      <selection activeCell="E22" sqref="E22"/>
    </sheetView>
  </sheetViews>
  <sheetFormatPr defaultColWidth="8.85546875" defaultRowHeight="15"/>
  <cols>
    <col min="2" max="2" width="20.140625" bestFit="1" customWidth="1"/>
    <col min="3" max="3" width="8" bestFit="1" customWidth="1"/>
    <col min="4" max="4" width="14.42578125" style="122" bestFit="1" customWidth="1"/>
    <col min="5" max="5" width="11.140625" bestFit="1" customWidth="1"/>
    <col min="6" max="6" width="16.140625" bestFit="1" customWidth="1"/>
    <col min="7" max="7" width="19.42578125" bestFit="1" customWidth="1"/>
    <col min="8" max="8" width="12" bestFit="1" customWidth="1"/>
    <col min="9" max="9" width="14.28515625" bestFit="1" customWidth="1"/>
    <col min="10" max="10" width="13.42578125" bestFit="1" customWidth="1"/>
    <col min="11" max="11" width="16.28515625" style="4" bestFit="1" customWidth="1"/>
    <col min="12" max="12" width="19.42578125" bestFit="1" customWidth="1"/>
    <col min="13" max="13" width="13.140625" bestFit="1" customWidth="1"/>
    <col min="14" max="14" width="16.140625" bestFit="1" customWidth="1"/>
    <col min="15" max="15" width="10.140625" customWidth="1"/>
  </cols>
  <sheetData>
    <row r="1" spans="2:13" ht="16.5" thickBot="1">
      <c r="D1" s="118" t="s">
        <v>348</v>
      </c>
    </row>
    <row r="2" spans="2:13">
      <c r="B2" s="101" t="s">
        <v>1159</v>
      </c>
      <c r="C2" s="84" t="s">
        <v>350</v>
      </c>
      <c r="D2" s="119" t="s">
        <v>345</v>
      </c>
      <c r="E2" s="84" t="s">
        <v>502</v>
      </c>
      <c r="F2" s="84" t="s">
        <v>353</v>
      </c>
      <c r="G2" s="84" t="s">
        <v>1157</v>
      </c>
      <c r="H2" s="84" t="s">
        <v>354</v>
      </c>
      <c r="I2" s="84" t="s">
        <v>505</v>
      </c>
      <c r="J2" s="84" t="s">
        <v>543</v>
      </c>
      <c r="K2" s="85" t="s">
        <v>558</v>
      </c>
      <c r="L2" s="84" t="s">
        <v>559</v>
      </c>
      <c r="M2" s="86" t="s">
        <v>1156</v>
      </c>
    </row>
    <row r="3" spans="2:13">
      <c r="B3" s="87" t="s">
        <v>347</v>
      </c>
      <c r="C3" s="49">
        <f>'Kup 1'!H3</f>
        <v>10.4</v>
      </c>
      <c r="D3" s="120">
        <f>'Kup 1'!H4</f>
        <v>4</v>
      </c>
      <c r="E3" s="50">
        <f>IF(I3=0,0,D3/I3)</f>
        <v>0</v>
      </c>
      <c r="F3" s="49">
        <f>'Kup 1'!H5</f>
        <v>0</v>
      </c>
      <c r="G3" s="49">
        <f t="shared" ref="G3:G4" si="0">SUM(C3,F3)</f>
        <v>10.4</v>
      </c>
      <c r="H3" s="82">
        <f t="shared" ref="H3:H4" si="1">G3+M3</f>
        <v>10.4</v>
      </c>
      <c r="I3" s="51">
        <f>COUNTA('REDI FRAME PAYROLL'!B9:H9)</f>
        <v>0</v>
      </c>
      <c r="J3" s="51">
        <f>'REDI FRAME PAYROLL'!I9</f>
        <v>0</v>
      </c>
      <c r="K3" s="52" t="str">
        <f t="shared" ref="K3:K4" si="2">IF(J3=0,"0",G3/J3)</f>
        <v>0</v>
      </c>
      <c r="L3" s="50" t="str">
        <f t="shared" ref="L3:L4" si="3">IF(J3=0,"0",D3/J3)</f>
        <v>0</v>
      </c>
      <c r="M3" s="88">
        <f t="shared" ref="M3:M4" si="4">IF(J3&gt;40,(J3-40)*(K3/2),0)</f>
        <v>0</v>
      </c>
    </row>
    <row r="4" spans="2:13">
      <c r="B4" s="115" t="s">
        <v>1251</v>
      </c>
      <c r="C4" s="116" t="e">
        <f>#REF!</f>
        <v>#REF!</v>
      </c>
      <c r="D4" s="121" t="e">
        <f>#REF!</f>
        <v>#REF!</v>
      </c>
      <c r="E4" s="50" t="e">
        <f t="shared" ref="E4" si="5">IF(I4=0,0,D4/I4)</f>
        <v>#REF!</v>
      </c>
      <c r="F4" s="116" t="e">
        <f>#REF!</f>
        <v>#REF!</v>
      </c>
      <c r="G4" s="49" t="e">
        <f t="shared" si="0"/>
        <v>#REF!</v>
      </c>
      <c r="H4" s="82" t="e">
        <f t="shared" si="1"/>
        <v>#REF!</v>
      </c>
      <c r="I4" s="51">
        <f>COUNTA('REDI FRAME PAYROLL'!#REF!)</f>
        <v>1</v>
      </c>
      <c r="J4" s="65" t="e">
        <f>'REDI FRAME PAYROLL'!#REF!</f>
        <v>#REF!</v>
      </c>
      <c r="K4" s="52" t="e">
        <f t="shared" si="2"/>
        <v>#REF!</v>
      </c>
      <c r="L4" s="50" t="e">
        <f t="shared" si="3"/>
        <v>#REF!</v>
      </c>
      <c r="M4" s="88" t="e">
        <f t="shared" si="4"/>
        <v>#REF!</v>
      </c>
    </row>
    <row r="5" spans="2:13" ht="16.5" thickBot="1">
      <c r="B5" s="89"/>
      <c r="C5" s="90" t="s">
        <v>503</v>
      </c>
      <c r="D5" s="117">
        <f>SUM(D3:D3)</f>
        <v>4</v>
      </c>
      <c r="E5" s="91" t="e">
        <f>D5/I5</f>
        <v>#DIV/0!</v>
      </c>
      <c r="F5" s="92">
        <f>SUM(F3:F3)</f>
        <v>0</v>
      </c>
      <c r="G5" s="93">
        <f>SUM(G3:G3)</f>
        <v>10.4</v>
      </c>
      <c r="H5" s="93">
        <f>SUM(H3:H3)</f>
        <v>10.4</v>
      </c>
      <c r="I5" s="80">
        <f>MAX(I3:I3)</f>
        <v>0</v>
      </c>
      <c r="J5" s="80">
        <f>SUM(J3:J3)</f>
        <v>0</v>
      </c>
      <c r="K5" s="94" t="e">
        <f>AVERAGE(K3:K3)</f>
        <v>#DIV/0!</v>
      </c>
      <c r="L5" s="95" t="e">
        <f>AVERAGE(L3:L3)</f>
        <v>#DIV/0!</v>
      </c>
      <c r="M5" s="96"/>
    </row>
    <row r="6" spans="2:13">
      <c r="E6" s="1"/>
    </row>
    <row r="7" spans="2:13" ht="16.5" thickBot="1">
      <c r="D7" s="118" t="s">
        <v>349</v>
      </c>
      <c r="E7" s="1"/>
    </row>
    <row r="8" spans="2:13">
      <c r="B8" s="83"/>
      <c r="C8" s="84" t="s">
        <v>350</v>
      </c>
      <c r="D8" s="119" t="s">
        <v>345</v>
      </c>
      <c r="E8" s="98" t="s">
        <v>502</v>
      </c>
      <c r="F8" s="84" t="s">
        <v>353</v>
      </c>
      <c r="G8" s="84" t="s">
        <v>1158</v>
      </c>
      <c r="H8" s="84" t="s">
        <v>354</v>
      </c>
      <c r="I8" s="84" t="s">
        <v>505</v>
      </c>
      <c r="J8" s="84" t="s">
        <v>543</v>
      </c>
      <c r="K8" s="85" t="s">
        <v>558</v>
      </c>
      <c r="L8" s="84" t="s">
        <v>559</v>
      </c>
      <c r="M8" s="86" t="s">
        <v>1156</v>
      </c>
    </row>
    <row r="9" spans="2:13">
      <c r="B9" s="87" t="s">
        <v>351</v>
      </c>
      <c r="C9" s="54">
        <f>'Sup 1'!H4</f>
        <v>3.5</v>
      </c>
      <c r="D9" s="120">
        <f>'Sup 1'!H5</f>
        <v>2</v>
      </c>
      <c r="E9" s="50">
        <f>IF(I9=0,0,D9/I9)</f>
        <v>0</v>
      </c>
      <c r="F9" s="54">
        <f>'Sup 1'!H6</f>
        <v>0</v>
      </c>
      <c r="G9" s="54">
        <f>SUM(F9,C9)</f>
        <v>3.5</v>
      </c>
      <c r="H9" s="97">
        <f>G9+M9</f>
        <v>3.5</v>
      </c>
      <c r="I9" s="51">
        <f>COUNTA('REDI FRAME PAYROLL'!B14:H14)</f>
        <v>0</v>
      </c>
      <c r="J9" s="51">
        <f>'REDI FRAME PAYROLL'!I14</f>
        <v>0</v>
      </c>
      <c r="K9" s="52" t="str">
        <f>IF(J9=0,"0",G9/J9)</f>
        <v>0</v>
      </c>
      <c r="L9" s="50" t="str">
        <f>IF(J9=0,"0",D9/J9)</f>
        <v>0</v>
      </c>
      <c r="M9" s="88">
        <f>IF(J9&gt;40,(J9-40)*(K9/2),0)</f>
        <v>0</v>
      </c>
    </row>
    <row r="10" spans="2:13">
      <c r="B10" s="87" t="s">
        <v>352</v>
      </c>
      <c r="C10" s="54">
        <f>'Sup 2'!H4</f>
        <v>3.5</v>
      </c>
      <c r="D10" s="120">
        <f>'Sup 2'!H5</f>
        <v>2</v>
      </c>
      <c r="E10" s="50">
        <f>IF(I10=0,0,D10/I10)</f>
        <v>0</v>
      </c>
      <c r="F10" s="54">
        <f>'Sup 2'!H6</f>
        <v>0</v>
      </c>
      <c r="G10" s="54">
        <f>SUM(F10,C10)</f>
        <v>3.5</v>
      </c>
      <c r="H10" s="97">
        <f t="shared" ref="H10:H11" si="6">G10+M10</f>
        <v>3.5</v>
      </c>
      <c r="I10" s="51">
        <f>COUNTA('REDI FRAME PAYROLL'!B15:H15)</f>
        <v>0</v>
      </c>
      <c r="J10" s="51">
        <f>'REDI FRAME PAYROLL'!I15</f>
        <v>0</v>
      </c>
      <c r="K10" s="52" t="str">
        <f>IF(J10=0,"0",G10/J10)</f>
        <v>0</v>
      </c>
      <c r="L10" s="50" t="str">
        <f>IF(J10=0,"0",D10/J10)</f>
        <v>0</v>
      </c>
      <c r="M10" s="88">
        <f>IF(J10&gt;40,(J10-40)*(K10/2),0)</f>
        <v>0</v>
      </c>
    </row>
    <row r="11" spans="2:13">
      <c r="B11" s="99"/>
      <c r="C11" s="48"/>
      <c r="D11" s="120"/>
      <c r="E11" s="55"/>
      <c r="F11" s="48"/>
      <c r="G11" s="48"/>
      <c r="H11" s="97">
        <f t="shared" si="6"/>
        <v>0</v>
      </c>
      <c r="I11" s="48"/>
      <c r="J11" s="48"/>
      <c r="K11" s="53"/>
      <c r="L11" s="48"/>
      <c r="M11" s="88">
        <f t="shared" ref="M11" si="7">IF(J11&gt;40,(J11-40)*(K11/2),0)</f>
        <v>0</v>
      </c>
    </row>
    <row r="12" spans="2:13" ht="16.5" thickBot="1">
      <c r="B12" s="89"/>
      <c r="C12" s="90" t="s">
        <v>503</v>
      </c>
      <c r="D12" s="117">
        <f>SUM(D9:D10)</f>
        <v>4</v>
      </c>
      <c r="E12" s="91" t="e">
        <f>D12/I12</f>
        <v>#DIV/0!</v>
      </c>
      <c r="F12" s="93">
        <f>SUM(F9:F10)</f>
        <v>0</v>
      </c>
      <c r="G12" s="93">
        <f>SUM(G9:G10)</f>
        <v>7</v>
      </c>
      <c r="H12" s="100">
        <f>SUM(H9:H11)</f>
        <v>7</v>
      </c>
      <c r="I12" s="80">
        <f>MAX(I9:I10)</f>
        <v>0</v>
      </c>
      <c r="J12" s="80">
        <f>SUM(J9:J10)</f>
        <v>0</v>
      </c>
      <c r="K12" s="94" t="e">
        <f>AVERAGE(K9:K10)</f>
        <v>#DIV/0!</v>
      </c>
      <c r="L12" s="95" t="e">
        <f>AVERAGE(L9:L10)</f>
        <v>#DIV/0!</v>
      </c>
      <c r="M12" s="96"/>
    </row>
    <row r="21" spans="10:10">
      <c r="J21" s="2"/>
    </row>
  </sheetData>
  <conditionalFormatting sqref="E3:E4">
    <cfRule type="cellIs" dxfId="10" priority="14" operator="greaterThan">
      <formula>35</formula>
    </cfRule>
    <cfRule type="cellIs" dxfId="9" priority="18" operator="lessThan">
      <formula>15</formula>
    </cfRule>
    <cfRule type="cellIs" dxfId="8" priority="19" operator="lessThan">
      <formula>30</formula>
    </cfRule>
  </conditionalFormatting>
  <conditionalFormatting sqref="E9:E10">
    <cfRule type="cellIs" dxfId="7" priority="13" operator="greaterThan">
      <formula>35</formula>
    </cfRule>
    <cfRule type="cellIs" dxfId="6" priority="15" operator="lessThan">
      <formula>25</formula>
    </cfRule>
    <cfRule type="cellIs" dxfId="5" priority="16" operator="lessThan">
      <formula>35</formula>
    </cfRule>
  </conditionalFormatting>
  <conditionalFormatting sqref="E5">
    <cfRule type="cellIs" dxfId="4" priority="12" operator="lessThan">
      <formula>140</formula>
    </cfRule>
  </conditionalFormatting>
  <conditionalFormatting sqref="E12">
    <cfRule type="cellIs" dxfId="3" priority="10" operator="greaterThan">
      <formula>70</formula>
    </cfRule>
    <cfRule type="cellIs" dxfId="2" priority="11" operator="lessThan">
      <formula>70</formula>
    </cfRule>
  </conditionalFormatting>
  <pageMargins left="0.7" right="0.7" top="0.75" bottom="0.75" header="0.3" footer="0.3"/>
  <pageSetup scale="65" orientation="landscape" blackAndWhite="1"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R610"/>
  <sheetViews>
    <sheetView workbookViewId="0">
      <selection activeCell="K30" sqref="K30"/>
    </sheetView>
  </sheetViews>
  <sheetFormatPr defaultColWidth="8.85546875" defaultRowHeight="15"/>
  <cols>
    <col min="1" max="1" width="9.140625" style="133" bestFit="1" customWidth="1"/>
    <col min="2" max="2" width="8" bestFit="1" customWidth="1"/>
    <col min="3" max="3" width="24.42578125" style="133" bestFit="1" customWidth="1"/>
    <col min="4" max="4" width="6" style="133" bestFit="1" customWidth="1"/>
    <col min="5" max="5" width="10.5703125" style="133" bestFit="1" customWidth="1"/>
    <col min="6" max="6" width="18.140625" style="133" bestFit="1" customWidth="1"/>
    <col min="7" max="7" width="2.7109375" style="133" bestFit="1" customWidth="1"/>
    <col min="8" max="8" width="7.42578125" style="133" bestFit="1" customWidth="1"/>
    <col min="9" max="16384" width="8.85546875" style="133"/>
  </cols>
  <sheetData>
    <row r="1" spans="1:18">
      <c r="A1" s="129"/>
      <c r="C1" s="130" t="s">
        <v>342</v>
      </c>
      <c r="D1" s="131" t="s">
        <v>343</v>
      </c>
      <c r="E1" s="132"/>
    </row>
    <row r="2" spans="1:18">
      <c r="B2" s="270" t="s">
        <v>901</v>
      </c>
      <c r="C2" s="369" t="str">
        <f>IF(ISNA(VLOOKUP(B2,Pricelist!A:D,2,FALSE)),"",VLOOKUP(B2,Pricelist!A:D,2,FALSE))</f>
        <v>Sara/Beth Armless Sofa</v>
      </c>
      <c r="D2" s="134">
        <f>IF(ISNA(VLOOKUP(B2,Pricelist!A:D,2,FALSE)),"",VLOOKUP(B2,Pricelist!A:D,3,FALSE))</f>
        <v>2.6</v>
      </c>
      <c r="F2" s="413" t="s">
        <v>1914</v>
      </c>
      <c r="G2" s="145"/>
      <c r="H2" s="277"/>
    </row>
    <row r="3" spans="1:18">
      <c r="A3" s="133" t="s">
        <v>448</v>
      </c>
      <c r="B3" s="270" t="s">
        <v>901</v>
      </c>
      <c r="C3" s="369" t="str">
        <f>IF(ISNA(VLOOKUP(B3,Pricelist!A:D,2,FALSE)),"",VLOOKUP(B3,Pricelist!A:D,2,FALSE))</f>
        <v>Sara/Beth Armless Sofa</v>
      </c>
      <c r="D3" s="134">
        <f>IF(ISNA(VLOOKUP(B3,Pricelist!A:D,2,FALSE)),"",VLOOKUP(B3,Pricelist!A:D,3,FALSE))</f>
        <v>2.6</v>
      </c>
      <c r="F3" s="146" t="s">
        <v>344</v>
      </c>
      <c r="G3" s="147"/>
      <c r="H3" s="148">
        <f>SUM(D:D)</f>
        <v>10.4</v>
      </c>
      <c r="I3" s="278"/>
    </row>
    <row r="4" spans="1:18">
      <c r="A4" s="133">
        <f>COUNTA(B2:B70)</f>
        <v>4</v>
      </c>
      <c r="B4" s="270" t="s">
        <v>901</v>
      </c>
      <c r="C4" s="369" t="str">
        <f>IF(ISNA(VLOOKUP(B4,Pricelist!A:D,2,FALSE)),"",VLOOKUP(B4,Pricelist!A:D,2,FALSE))</f>
        <v>Sara/Beth Armless Sofa</v>
      </c>
      <c r="D4" s="134">
        <f>IF(ISNA(VLOOKUP(B4,Pricelist!A:D,2,FALSE)),"",VLOOKUP(B4,Pricelist!A:D,3,FALSE))</f>
        <v>2.6</v>
      </c>
      <c r="F4" s="146" t="s">
        <v>345</v>
      </c>
      <c r="G4" s="149"/>
      <c r="H4" s="149">
        <f>COUNTA(B2:B989)</f>
        <v>4</v>
      </c>
    </row>
    <row r="5" spans="1:18">
      <c r="A5" s="133" t="s">
        <v>665</v>
      </c>
      <c r="B5" s="270" t="s">
        <v>901</v>
      </c>
      <c r="C5" s="369" t="str">
        <f>IF(ISNA(VLOOKUP(B5,Pricelist!A:D,2,FALSE)),"",VLOOKUP(B5,Pricelist!A:D,2,FALSE))</f>
        <v>Sara/Beth Armless Sofa</v>
      </c>
      <c r="D5" s="134">
        <f>IF(ISNA(VLOOKUP(B5,Pricelist!A:D,2,FALSE)),"",VLOOKUP(B5,Pricelist!A:D,3,FALSE))</f>
        <v>2.6</v>
      </c>
      <c r="F5" s="150" t="s">
        <v>346</v>
      </c>
      <c r="G5" s="151"/>
      <c r="H5" s="152">
        <f>G5*17.37</f>
        <v>0</v>
      </c>
    </row>
    <row r="6" spans="1:18">
      <c r="B6" s="270"/>
      <c r="C6" s="369" t="str">
        <f>IF(ISNA(VLOOKUP(B6,Pricelist!A:D,2,FALSE)),"",VLOOKUP(B6,Pricelist!A:D,2,FALSE))</f>
        <v/>
      </c>
      <c r="D6" s="134" t="str">
        <f>IF(ISNA(VLOOKUP(B6,Pricelist!A:D,2,FALSE)),"",VLOOKUP(B6,Pricelist!A:D,3,FALSE))</f>
        <v/>
      </c>
      <c r="G6" s="142"/>
    </row>
    <row r="7" spans="1:18">
      <c r="B7" s="270"/>
      <c r="C7" s="369" t="str">
        <f>IF(ISNA(VLOOKUP(B7,Pricelist!A:D,2,FALSE)),"",VLOOKUP(B7,Pricelist!A:D,2,FALSE))</f>
        <v/>
      </c>
      <c r="D7" s="134" t="str">
        <f>IF(ISNA(VLOOKUP(B7,Pricelist!A:D,2,FALSE)),"",VLOOKUP(B7,Pricelist!A:D,3,FALSE))</f>
        <v/>
      </c>
    </row>
    <row r="8" spans="1:18">
      <c r="B8" s="270"/>
      <c r="C8" s="369" t="str">
        <f>IF(ISNA(VLOOKUP(B8,Pricelist!A:D,2,FALSE)),"",VLOOKUP(B8,Pricelist!A:D,2,FALSE))</f>
        <v/>
      </c>
      <c r="D8" s="134" t="str">
        <f>IF(ISNA(VLOOKUP(B8,Pricelist!A:D,2,FALSE)),"",VLOOKUP(B8,Pricelist!A:D,3,FALSE))</f>
        <v/>
      </c>
      <c r="E8" s="143"/>
      <c r="F8" s="137"/>
    </row>
    <row r="9" spans="1:18">
      <c r="B9" s="270"/>
      <c r="C9" s="369" t="str">
        <f>IF(ISNA(VLOOKUP(B9,Pricelist!A:D,2,FALSE)),"",VLOOKUP(B9,Pricelist!A:D,2,FALSE))</f>
        <v/>
      </c>
      <c r="D9" s="134" t="str">
        <f>IF(ISNA(VLOOKUP(B9,Pricelist!A:D,2,FALSE)),"",VLOOKUP(B9,Pricelist!A:D,3,FALSE))</f>
        <v/>
      </c>
      <c r="E9" s="129"/>
      <c r="F9" s="137"/>
    </row>
    <row r="10" spans="1:18">
      <c r="B10" s="270"/>
      <c r="C10" s="369" t="str">
        <f>IF(ISNA(VLOOKUP(B10,Pricelist!A:D,2,FALSE)),"",VLOOKUP(B10,Pricelist!A:D,2,FALSE))</f>
        <v/>
      </c>
      <c r="D10" s="134" t="str">
        <f>IF(ISNA(VLOOKUP(B10,Pricelist!A:D,2,FALSE)),"",VLOOKUP(B10,Pricelist!A:D,3,FALSE))</f>
        <v/>
      </c>
      <c r="R10" s="224"/>
    </row>
    <row r="11" spans="1:18">
      <c r="B11" s="270"/>
      <c r="C11" s="369" t="str">
        <f>IF(ISNA(VLOOKUP(B11,Pricelist!A:D,2,FALSE)),"",VLOOKUP(B11,Pricelist!A:D,2,FALSE))</f>
        <v/>
      </c>
      <c r="D11" s="134" t="str">
        <f>IF(ISNA(VLOOKUP(B11,Pricelist!A:D,2,FALSE)),"",VLOOKUP(B11,Pricelist!A:D,3,FALSE))</f>
        <v/>
      </c>
      <c r="R11" s="224"/>
    </row>
    <row r="12" spans="1:18">
      <c r="B12" s="270"/>
      <c r="C12" s="369" t="str">
        <f>IF(ISNA(VLOOKUP(B12,Pricelist!A:D,2,FALSE)),"",VLOOKUP(B12,Pricelist!A:D,2,FALSE))</f>
        <v/>
      </c>
      <c r="D12" s="134" t="str">
        <f>IF(ISNA(VLOOKUP(B12,Pricelist!A:D,2,FALSE)),"",VLOOKUP(B12,Pricelist!A:D,3,FALSE))</f>
        <v/>
      </c>
    </row>
    <row r="13" spans="1:18">
      <c r="B13" s="270"/>
      <c r="C13" s="369" t="str">
        <f>IF(ISNA(VLOOKUP(B13,Pricelist!A:D,2,FALSE)),"",VLOOKUP(B13,Pricelist!A:D,2,FALSE))</f>
        <v/>
      </c>
      <c r="D13" s="134" t="str">
        <f>IF(ISNA(VLOOKUP(B13,Pricelist!A:D,2,FALSE)),"",VLOOKUP(B13,Pricelist!A:D,3,FALSE))</f>
        <v/>
      </c>
    </row>
    <row r="14" spans="1:18">
      <c r="B14" s="270"/>
      <c r="C14" s="369" t="str">
        <f>IF(ISNA(VLOOKUP(B14,Pricelist!A:D,2,FALSE)),"",VLOOKUP(B14,Pricelist!A:D,2,FALSE))</f>
        <v/>
      </c>
      <c r="D14" s="134" t="str">
        <f>IF(ISNA(VLOOKUP(B14,Pricelist!A:D,2,FALSE)),"",VLOOKUP(B14,Pricelist!A:D,3,FALSE))</f>
        <v/>
      </c>
    </row>
    <row r="15" spans="1:18">
      <c r="B15" s="270"/>
      <c r="C15" s="369" t="str">
        <f>IF(ISNA(VLOOKUP(B15,Pricelist!A:D,2,FALSE)),"",VLOOKUP(B15,Pricelist!A:D,2,FALSE))</f>
        <v/>
      </c>
      <c r="D15" s="134" t="str">
        <f>IF(ISNA(VLOOKUP(B15,Pricelist!A:D,2,FALSE)),"",VLOOKUP(B15,Pricelist!A:D,3,FALSE))</f>
        <v/>
      </c>
    </row>
    <row r="16" spans="1:18">
      <c r="B16" s="270"/>
      <c r="C16" s="369" t="str">
        <f>IF(ISNA(VLOOKUP(B16,Pricelist!A:D,2,FALSE)),"",VLOOKUP(B16,Pricelist!A:D,2,FALSE))</f>
        <v/>
      </c>
      <c r="D16" s="134" t="str">
        <f>IF(ISNA(VLOOKUP(B16,Pricelist!A:D,2,FALSE)),"",VLOOKUP(B16,Pricelist!A:D,3,FALSE))</f>
        <v/>
      </c>
    </row>
    <row r="17" spans="2:4">
      <c r="B17" s="270"/>
      <c r="C17" s="369" t="str">
        <f>IF(ISNA(VLOOKUP(B17,Pricelist!A:D,2,FALSE)),"",VLOOKUP(B17,Pricelist!A:D,2,FALSE))</f>
        <v/>
      </c>
      <c r="D17" s="134" t="str">
        <f>IF(ISNA(VLOOKUP(B17,Pricelist!A:D,2,FALSE)),"",VLOOKUP(B17,Pricelist!A:D,3,FALSE))</f>
        <v/>
      </c>
    </row>
    <row r="18" spans="2:4">
      <c r="B18" s="270"/>
      <c r="C18" s="369" t="str">
        <f>IF(ISNA(VLOOKUP(B18,Pricelist!A:D,2,FALSE)),"",VLOOKUP(B18,Pricelist!A:D,2,FALSE))</f>
        <v/>
      </c>
      <c r="D18" s="134" t="str">
        <f>IF(ISNA(VLOOKUP(B18,Pricelist!A:D,2,FALSE)),"",VLOOKUP(B18,Pricelist!A:D,3,FALSE))</f>
        <v/>
      </c>
    </row>
    <row r="19" spans="2:4">
      <c r="B19" s="270"/>
      <c r="C19" s="369" t="str">
        <f>IF(ISNA(VLOOKUP(B19,Pricelist!A:D,2,FALSE)),"",VLOOKUP(B19,Pricelist!A:D,2,FALSE))</f>
        <v/>
      </c>
      <c r="D19" s="134" t="str">
        <f>IF(ISNA(VLOOKUP(B19,Pricelist!A:D,2,FALSE)),"",VLOOKUP(B19,Pricelist!A:D,3,FALSE))</f>
        <v/>
      </c>
    </row>
    <row r="20" spans="2:4">
      <c r="B20" s="270"/>
      <c r="C20" s="369" t="str">
        <f>IF(ISNA(VLOOKUP(B20,Pricelist!A:D,2,FALSE)),"",VLOOKUP(B20,Pricelist!A:D,2,FALSE))</f>
        <v/>
      </c>
      <c r="D20" s="134" t="str">
        <f>IF(ISNA(VLOOKUP(B20,Pricelist!A:D,2,FALSE)),"",VLOOKUP(B20,Pricelist!A:D,3,FALSE))</f>
        <v/>
      </c>
    </row>
    <row r="21" spans="2:4">
      <c r="B21" s="270"/>
      <c r="C21" s="369" t="str">
        <f>IF(ISNA(VLOOKUP(B21,Pricelist!A:D,2,FALSE)),"",VLOOKUP(B21,Pricelist!A:D,2,FALSE))</f>
        <v/>
      </c>
      <c r="D21" s="134" t="str">
        <f>IF(ISNA(VLOOKUP(B21,Pricelist!A:D,2,FALSE)),"",VLOOKUP(B21,Pricelist!A:D,3,FALSE))</f>
        <v/>
      </c>
    </row>
    <row r="22" spans="2:4">
      <c r="B22" s="270"/>
      <c r="C22" s="369" t="str">
        <f>IF(ISNA(VLOOKUP(B22,Pricelist!A:D,2,FALSE)),"",VLOOKUP(B22,Pricelist!A:D,2,FALSE))</f>
        <v/>
      </c>
      <c r="D22" s="134" t="str">
        <f>IF(ISNA(VLOOKUP(B22,Pricelist!A:D,2,FALSE)),"",VLOOKUP(B22,Pricelist!A:D,3,FALSE))</f>
        <v/>
      </c>
    </row>
    <row r="23" spans="2:4">
      <c r="B23" s="270"/>
      <c r="C23" s="369" t="str">
        <f>IF(ISNA(VLOOKUP(B23,Pricelist!A:D,2,FALSE)),"",VLOOKUP(B23,Pricelist!A:D,2,FALSE))</f>
        <v/>
      </c>
      <c r="D23" s="134" t="str">
        <f>IF(ISNA(VLOOKUP(B23,Pricelist!A:D,2,FALSE)),"",VLOOKUP(B23,Pricelist!A:D,3,FALSE))</f>
        <v/>
      </c>
    </row>
    <row r="24" spans="2:4">
      <c r="B24" s="270"/>
      <c r="C24" s="369" t="str">
        <f>IF(ISNA(VLOOKUP(B24,Pricelist!A:D,2,FALSE)),"",VLOOKUP(B24,Pricelist!A:D,2,FALSE))</f>
        <v/>
      </c>
      <c r="D24" s="134" t="str">
        <f>IF(ISNA(VLOOKUP(B24,Pricelist!A:D,2,FALSE)),"",VLOOKUP(B24,Pricelist!A:D,3,FALSE))</f>
        <v/>
      </c>
    </row>
    <row r="25" spans="2:4">
      <c r="B25" s="270"/>
      <c r="C25" s="369" t="str">
        <f>IF(ISNA(VLOOKUP(B25,Pricelist!A:D,2,FALSE)),"",VLOOKUP(B25,Pricelist!A:D,2,FALSE))</f>
        <v/>
      </c>
      <c r="D25" s="134" t="str">
        <f>IF(ISNA(VLOOKUP(B25,Pricelist!A:D,2,FALSE)),"",VLOOKUP(B25,Pricelist!A:D,3,FALSE))</f>
        <v/>
      </c>
    </row>
    <row r="26" spans="2:4">
      <c r="B26" s="270"/>
      <c r="C26" s="369" t="str">
        <f>IF(ISNA(VLOOKUP(B26,Pricelist!A:D,2,FALSE)),"",VLOOKUP(B26,Pricelist!A:D,2,FALSE))</f>
        <v/>
      </c>
      <c r="D26" s="134" t="str">
        <f>IF(ISNA(VLOOKUP(B26,Pricelist!A:D,2,FALSE)),"",VLOOKUP(B26,Pricelist!A:D,3,FALSE))</f>
        <v/>
      </c>
    </row>
    <row r="27" spans="2:4">
      <c r="B27" s="270"/>
      <c r="C27" s="369" t="str">
        <f>IF(ISNA(VLOOKUP(B27,Pricelist!A:D,2,FALSE)),"",VLOOKUP(B27,Pricelist!A:D,2,FALSE))</f>
        <v/>
      </c>
      <c r="D27" s="134" t="str">
        <f>IF(ISNA(VLOOKUP(B27,Pricelist!A:D,2,FALSE)),"",VLOOKUP(B27,Pricelist!A:D,3,FALSE))</f>
        <v/>
      </c>
    </row>
    <row r="28" spans="2:4">
      <c r="B28" s="270"/>
      <c r="C28" s="369" t="str">
        <f>IF(ISNA(VLOOKUP(B28,Pricelist!A:D,2,FALSE)),"",VLOOKUP(B28,Pricelist!A:D,2,FALSE))</f>
        <v/>
      </c>
      <c r="D28" s="134" t="str">
        <f>IF(ISNA(VLOOKUP(B28,Pricelist!A:D,2,FALSE)),"",VLOOKUP(B28,Pricelist!A:D,3,FALSE))</f>
        <v/>
      </c>
    </row>
    <row r="29" spans="2:4">
      <c r="B29" s="270"/>
      <c r="C29" s="369" t="str">
        <f>IF(ISNA(VLOOKUP(B29,Pricelist!A:D,2,FALSE)),"",VLOOKUP(B29,Pricelist!A:D,2,FALSE))</f>
        <v/>
      </c>
      <c r="D29" s="134" t="str">
        <f>IF(ISNA(VLOOKUP(B29,Pricelist!A:D,2,FALSE)),"",VLOOKUP(B29,Pricelist!A:D,3,FALSE))</f>
        <v/>
      </c>
    </row>
    <row r="30" spans="2:4">
      <c r="B30" s="270"/>
      <c r="C30" s="369" t="str">
        <f>IF(ISNA(VLOOKUP(B30,Pricelist!A:D,2,FALSE)),"",VLOOKUP(B30,Pricelist!A:D,2,FALSE))</f>
        <v/>
      </c>
      <c r="D30" s="134" t="str">
        <f>IF(ISNA(VLOOKUP(B30,Pricelist!A:D,2,FALSE)),"",VLOOKUP(B30,Pricelist!A:D,3,FALSE))</f>
        <v/>
      </c>
    </row>
    <row r="31" spans="2:4">
      <c r="B31" s="270"/>
      <c r="C31" s="369" t="str">
        <f>IF(ISNA(VLOOKUP(B31,Pricelist!A:D,2,FALSE)),"",VLOOKUP(B31,Pricelist!A:D,2,FALSE))</f>
        <v/>
      </c>
      <c r="D31" s="134" t="str">
        <f>IF(ISNA(VLOOKUP(B31,Pricelist!A:D,2,FALSE)),"",VLOOKUP(B31,Pricelist!A:D,3,FALSE))</f>
        <v/>
      </c>
    </row>
    <row r="32" spans="2:4">
      <c r="B32" s="270"/>
      <c r="C32" s="369" t="str">
        <f>IF(ISNA(VLOOKUP(B32,Pricelist!A:D,2,FALSE)),"",VLOOKUP(B32,Pricelist!A:D,2,FALSE))</f>
        <v/>
      </c>
      <c r="D32" s="134" t="str">
        <f>IF(ISNA(VLOOKUP(B32,Pricelist!A:D,2,FALSE)),"",VLOOKUP(B32,Pricelist!A:D,3,FALSE))</f>
        <v/>
      </c>
    </row>
    <row r="33" spans="2:4">
      <c r="B33" s="270"/>
      <c r="C33" s="369" t="str">
        <f>IF(ISNA(VLOOKUP(B33,Pricelist!A:D,2,FALSE)),"",VLOOKUP(B33,Pricelist!A:D,2,FALSE))</f>
        <v/>
      </c>
      <c r="D33" s="134" t="str">
        <f>IF(ISNA(VLOOKUP(B33,Pricelist!A:D,2,FALSE)),"",VLOOKUP(B33,Pricelist!A:D,3,FALSE))</f>
        <v/>
      </c>
    </row>
    <row r="34" spans="2:4">
      <c r="B34" s="270"/>
      <c r="C34" s="369" t="str">
        <f>IF(ISNA(VLOOKUP(B34,Pricelist!A:D,2,FALSE)),"",VLOOKUP(B34,Pricelist!A:D,2,FALSE))</f>
        <v/>
      </c>
      <c r="D34" s="134" t="str">
        <f>IF(ISNA(VLOOKUP(B34,Pricelist!A:D,2,FALSE)),"",VLOOKUP(B34,Pricelist!A:D,3,FALSE))</f>
        <v/>
      </c>
    </row>
    <row r="35" spans="2:4">
      <c r="B35" s="270"/>
      <c r="C35" s="369" t="str">
        <f>IF(ISNA(VLOOKUP(B35,Pricelist!A:D,2,FALSE)),"",VLOOKUP(B35,Pricelist!A:D,2,FALSE))</f>
        <v/>
      </c>
      <c r="D35" s="134" t="str">
        <f>IF(ISNA(VLOOKUP(B35,Pricelist!A:D,2,FALSE)),"",VLOOKUP(B35,Pricelist!A:D,3,FALSE))</f>
        <v/>
      </c>
    </row>
    <row r="36" spans="2:4">
      <c r="B36" s="270"/>
      <c r="C36" s="369" t="str">
        <f>IF(ISNA(VLOOKUP(B36,Pricelist!A:D,2,FALSE)),"",VLOOKUP(B36,Pricelist!A:D,2,FALSE))</f>
        <v/>
      </c>
      <c r="D36" s="134" t="str">
        <f>IF(ISNA(VLOOKUP(B36,Pricelist!A:D,2,FALSE)),"",VLOOKUP(B36,Pricelist!A:D,3,FALSE))</f>
        <v/>
      </c>
    </row>
    <row r="37" spans="2:4">
      <c r="B37" s="270"/>
      <c r="C37" s="369" t="str">
        <f>IF(ISNA(VLOOKUP(B37,Pricelist!A:D,2,FALSE)),"",VLOOKUP(B37,Pricelist!A:D,2,FALSE))</f>
        <v/>
      </c>
      <c r="D37" s="134" t="str">
        <f>IF(ISNA(VLOOKUP(B37,Pricelist!A:D,2,FALSE)),"",VLOOKUP(B37,Pricelist!A:D,3,FALSE))</f>
        <v/>
      </c>
    </row>
    <row r="38" spans="2:4">
      <c r="B38" s="270"/>
      <c r="C38" s="369" t="str">
        <f>IF(ISNA(VLOOKUP(B38,Pricelist!A:D,2,FALSE)),"",VLOOKUP(B38,Pricelist!A:D,2,FALSE))</f>
        <v/>
      </c>
      <c r="D38" s="134" t="str">
        <f>IF(ISNA(VLOOKUP(B38,Pricelist!A:D,2,FALSE)),"",VLOOKUP(B38,Pricelist!A:D,3,FALSE))</f>
        <v/>
      </c>
    </row>
    <row r="39" spans="2:4">
      <c r="B39" s="270"/>
      <c r="C39" s="369" t="str">
        <f>IF(ISNA(VLOOKUP(B39,Pricelist!A:D,2,FALSE)),"",VLOOKUP(B39,Pricelist!A:D,2,FALSE))</f>
        <v/>
      </c>
      <c r="D39" s="134" t="str">
        <f>IF(ISNA(VLOOKUP(B39,Pricelist!A:D,2,FALSE)),"",VLOOKUP(B39,Pricelist!A:D,3,FALSE))</f>
        <v/>
      </c>
    </row>
    <row r="40" spans="2:4">
      <c r="B40" s="270"/>
      <c r="C40" s="369" t="str">
        <f>IF(ISNA(VLOOKUP(B40,Pricelist!A:D,2,FALSE)),"",VLOOKUP(B40,Pricelist!A:D,2,FALSE))</f>
        <v/>
      </c>
      <c r="D40" s="134" t="str">
        <f>IF(ISNA(VLOOKUP(B40,Pricelist!A:D,2,FALSE)),"",VLOOKUP(B40,Pricelist!A:D,3,FALSE))</f>
        <v/>
      </c>
    </row>
    <row r="41" spans="2:4">
      <c r="B41" s="270"/>
      <c r="C41" s="369" t="str">
        <f>IF(ISNA(VLOOKUP(B41,Pricelist!A:D,2,FALSE)),"",VLOOKUP(B41,Pricelist!A:D,2,FALSE))</f>
        <v/>
      </c>
      <c r="D41" s="134" t="str">
        <f>IF(ISNA(VLOOKUP(B41,Pricelist!A:D,2,FALSE)),"",VLOOKUP(B41,Pricelist!A:D,3,FALSE))</f>
        <v/>
      </c>
    </row>
    <row r="42" spans="2:4">
      <c r="B42" s="270"/>
      <c r="C42" s="369" t="str">
        <f>IF(ISNA(VLOOKUP(B42,Pricelist!A:D,2,FALSE)),"",VLOOKUP(B42,Pricelist!A:D,2,FALSE))</f>
        <v/>
      </c>
      <c r="D42" s="134" t="str">
        <f>IF(ISNA(VLOOKUP(B42,Pricelist!A:D,2,FALSE)),"",VLOOKUP(B42,Pricelist!A:D,3,FALSE))</f>
        <v/>
      </c>
    </row>
    <row r="43" spans="2:4">
      <c r="B43" s="270"/>
      <c r="C43" s="369" t="str">
        <f>IF(ISNA(VLOOKUP(B43,Pricelist!A:D,2,FALSE)),"",VLOOKUP(B43,Pricelist!A:D,2,FALSE))</f>
        <v/>
      </c>
      <c r="D43" s="134" t="str">
        <f>IF(ISNA(VLOOKUP(B43,Pricelist!A:D,2,FALSE)),"",VLOOKUP(B43,Pricelist!A:D,3,FALSE))</f>
        <v/>
      </c>
    </row>
    <row r="44" spans="2:4">
      <c r="B44" s="270"/>
      <c r="C44" s="369" t="str">
        <f>IF(ISNA(VLOOKUP(B44,Pricelist!A:D,2,FALSE)),"",VLOOKUP(B44,Pricelist!A:D,2,FALSE))</f>
        <v/>
      </c>
      <c r="D44" s="134" t="str">
        <f>IF(ISNA(VLOOKUP(B44,Pricelist!A:D,2,FALSE)),"",VLOOKUP(B44,Pricelist!A:D,3,FALSE))</f>
        <v/>
      </c>
    </row>
    <row r="45" spans="2:4">
      <c r="B45" s="270"/>
      <c r="C45" s="369" t="str">
        <f>IF(ISNA(VLOOKUP(B45,Pricelist!A:D,2,FALSE)),"",VLOOKUP(B45,Pricelist!A:D,2,FALSE))</f>
        <v/>
      </c>
      <c r="D45" s="134" t="str">
        <f>IF(ISNA(VLOOKUP(B45,Pricelist!A:D,2,FALSE)),"",VLOOKUP(B45,Pricelist!A:D,3,FALSE))</f>
        <v/>
      </c>
    </row>
    <row r="46" spans="2:4">
      <c r="B46" s="270"/>
      <c r="C46" s="369" t="str">
        <f>IF(ISNA(VLOOKUP(B46,Pricelist!A:D,2,FALSE)),"",VLOOKUP(B46,Pricelist!A:D,2,FALSE))</f>
        <v/>
      </c>
      <c r="D46" s="134" t="str">
        <f>IF(ISNA(VLOOKUP(B46,Pricelist!A:D,2,FALSE)),"",VLOOKUP(B46,Pricelist!A:D,3,FALSE))</f>
        <v/>
      </c>
    </row>
    <row r="47" spans="2:4">
      <c r="B47" s="270"/>
      <c r="C47" s="369" t="str">
        <f>IF(ISNA(VLOOKUP(B47,Pricelist!A:D,2,FALSE)),"",VLOOKUP(B47,Pricelist!A:D,2,FALSE))</f>
        <v/>
      </c>
      <c r="D47" s="134" t="str">
        <f>IF(ISNA(VLOOKUP(B47,Pricelist!A:D,2,FALSE)),"",VLOOKUP(B47,Pricelist!A:D,3,FALSE))</f>
        <v/>
      </c>
    </row>
    <row r="48" spans="2:4">
      <c r="B48" s="270"/>
      <c r="C48" s="369" t="str">
        <f>IF(ISNA(VLOOKUP(B48,Pricelist!A:D,2,FALSE)),"",VLOOKUP(B48,Pricelist!A:D,2,FALSE))</f>
        <v/>
      </c>
      <c r="D48" s="134" t="str">
        <f>IF(ISNA(VLOOKUP(B48,Pricelist!A:D,2,FALSE)),"",VLOOKUP(B48,Pricelist!A:D,3,FALSE))</f>
        <v/>
      </c>
    </row>
    <row r="49" spans="2:4">
      <c r="B49" s="270"/>
      <c r="C49" s="369" t="str">
        <f>IF(ISNA(VLOOKUP(B49,Pricelist!A:D,2,FALSE)),"",VLOOKUP(B49,Pricelist!A:D,2,FALSE))</f>
        <v/>
      </c>
      <c r="D49" s="134" t="str">
        <f>IF(ISNA(VLOOKUP(B49,Pricelist!A:D,2,FALSE)),"",VLOOKUP(B49,Pricelist!A:D,3,FALSE))</f>
        <v/>
      </c>
    </row>
    <row r="50" spans="2:4">
      <c r="B50" s="270"/>
      <c r="C50" s="369" t="str">
        <f>IF(ISNA(VLOOKUP(B50,Pricelist!A:D,2,FALSE)),"",VLOOKUP(B50,Pricelist!A:D,2,FALSE))</f>
        <v/>
      </c>
      <c r="D50" s="134" t="str">
        <f>IF(ISNA(VLOOKUP(B50,Pricelist!A:D,2,FALSE)),"",VLOOKUP(B50,Pricelist!A:D,3,FALSE))</f>
        <v/>
      </c>
    </row>
    <row r="51" spans="2:4">
      <c r="B51" s="270"/>
      <c r="C51" s="369" t="str">
        <f>IF(ISNA(VLOOKUP(B51,Pricelist!A:D,2,FALSE)),"",VLOOKUP(B51,Pricelist!A:D,2,FALSE))</f>
        <v/>
      </c>
      <c r="D51" s="134" t="str">
        <f>IF(ISNA(VLOOKUP(B51,Pricelist!A:D,2,FALSE)),"",VLOOKUP(B51,Pricelist!A:D,3,FALSE))</f>
        <v/>
      </c>
    </row>
    <row r="52" spans="2:4">
      <c r="B52" s="270"/>
      <c r="C52" s="369" t="str">
        <f>IF(ISNA(VLOOKUP(B52,Pricelist!A:D,2,FALSE)),"",VLOOKUP(B52,Pricelist!A:D,2,FALSE))</f>
        <v/>
      </c>
      <c r="D52" s="134" t="str">
        <f>IF(ISNA(VLOOKUP(B52,Pricelist!A:D,2,FALSE)),"",VLOOKUP(B52,Pricelist!A:D,3,FALSE))</f>
        <v/>
      </c>
    </row>
    <row r="53" spans="2:4">
      <c r="B53" s="270"/>
      <c r="C53" s="369" t="str">
        <f>IF(ISNA(VLOOKUP(B53,Pricelist!A:D,2,FALSE)),"",VLOOKUP(B53,Pricelist!A:D,2,FALSE))</f>
        <v/>
      </c>
      <c r="D53" s="134" t="str">
        <f>IF(ISNA(VLOOKUP(B53,Pricelist!A:D,2,FALSE)),"",VLOOKUP(B53,Pricelist!A:D,3,FALSE))</f>
        <v/>
      </c>
    </row>
    <row r="54" spans="2:4">
      <c r="B54" s="270"/>
      <c r="C54" s="369" t="str">
        <f>IF(ISNA(VLOOKUP(B54,Pricelist!A:D,2,FALSE)),"",VLOOKUP(B54,Pricelist!A:D,2,FALSE))</f>
        <v/>
      </c>
      <c r="D54" s="134" t="str">
        <f>IF(ISNA(VLOOKUP(B54,Pricelist!A:D,2,FALSE)),"",VLOOKUP(B54,Pricelist!A:D,3,FALSE))</f>
        <v/>
      </c>
    </row>
    <row r="55" spans="2:4">
      <c r="B55" s="270"/>
      <c r="C55" s="369" t="str">
        <f>IF(ISNA(VLOOKUP(B55,Pricelist!A:D,2,FALSE)),"",VLOOKUP(B55,Pricelist!A:D,2,FALSE))</f>
        <v/>
      </c>
      <c r="D55" s="134" t="str">
        <f>IF(ISNA(VLOOKUP(B55,Pricelist!A:D,2,FALSE)),"",VLOOKUP(B55,Pricelist!A:D,3,FALSE))</f>
        <v/>
      </c>
    </row>
    <row r="56" spans="2:4">
      <c r="B56" s="270"/>
      <c r="C56" s="369" t="str">
        <f>IF(ISNA(VLOOKUP(B56,Pricelist!A:D,2,FALSE)),"",VLOOKUP(B56,Pricelist!A:D,2,FALSE))</f>
        <v/>
      </c>
      <c r="D56" s="134" t="str">
        <f>IF(ISNA(VLOOKUP(B56,Pricelist!A:D,2,FALSE)),"",VLOOKUP(B56,Pricelist!A:D,3,FALSE))</f>
        <v/>
      </c>
    </row>
    <row r="57" spans="2:4">
      <c r="B57" s="270"/>
      <c r="C57" s="369" t="str">
        <f>IF(ISNA(VLOOKUP(B57,Pricelist!A:D,2,FALSE)),"",VLOOKUP(B57,Pricelist!A:D,2,FALSE))</f>
        <v/>
      </c>
      <c r="D57" s="134" t="str">
        <f>IF(ISNA(VLOOKUP(B57,Pricelist!A:D,2,FALSE)),"",VLOOKUP(B57,Pricelist!A:D,3,FALSE))</f>
        <v/>
      </c>
    </row>
    <row r="58" spans="2:4">
      <c r="B58" s="270"/>
      <c r="C58" s="369" t="str">
        <f>IF(ISNA(VLOOKUP(B58,Pricelist!A:D,2,FALSE)),"",VLOOKUP(B58,Pricelist!A:D,2,FALSE))</f>
        <v/>
      </c>
      <c r="D58" s="134" t="str">
        <f>IF(ISNA(VLOOKUP(B58,Pricelist!A:D,2,FALSE)),"",VLOOKUP(B58,Pricelist!A:D,3,FALSE))</f>
        <v/>
      </c>
    </row>
    <row r="59" spans="2:4">
      <c r="B59" s="270"/>
      <c r="C59" s="369" t="str">
        <f>IF(ISNA(VLOOKUP(B59,Pricelist!A:D,2,FALSE)),"",VLOOKUP(B59,Pricelist!A:D,2,FALSE))</f>
        <v/>
      </c>
      <c r="D59" s="134" t="str">
        <f>IF(ISNA(VLOOKUP(B59,Pricelist!A:D,2,FALSE)),"",VLOOKUP(B59,Pricelist!A:D,3,FALSE))</f>
        <v/>
      </c>
    </row>
    <row r="60" spans="2:4">
      <c r="B60" s="270"/>
      <c r="C60" s="369" t="str">
        <f>IF(ISNA(VLOOKUP(B60,Pricelist!A:D,2,FALSE)),"",VLOOKUP(B60,Pricelist!A:D,2,FALSE))</f>
        <v/>
      </c>
      <c r="D60" s="134" t="str">
        <f>IF(ISNA(VLOOKUP(B60,Pricelist!A:D,2,FALSE)),"",VLOOKUP(B60,Pricelist!A:D,3,FALSE))</f>
        <v/>
      </c>
    </row>
    <row r="61" spans="2:4">
      <c r="B61" s="270"/>
      <c r="C61" s="369" t="str">
        <f>IF(ISNA(VLOOKUP(B61,Pricelist!A:D,2,FALSE)),"",VLOOKUP(B61,Pricelist!A:D,2,FALSE))</f>
        <v/>
      </c>
      <c r="D61" s="134" t="str">
        <f>IF(ISNA(VLOOKUP(B61,Pricelist!A:D,2,FALSE)),"",VLOOKUP(B61,Pricelist!A:D,3,FALSE))</f>
        <v/>
      </c>
    </row>
    <row r="62" spans="2:4">
      <c r="B62" s="270"/>
      <c r="C62" s="369" t="str">
        <f>IF(ISNA(VLOOKUP(B62,Pricelist!A:D,2,FALSE)),"",VLOOKUP(B62,Pricelist!A:D,2,FALSE))</f>
        <v/>
      </c>
      <c r="D62" s="134" t="str">
        <f>IF(ISNA(VLOOKUP(B62,Pricelist!A:D,2,FALSE)),"",VLOOKUP(B62,Pricelist!A:D,3,FALSE))</f>
        <v/>
      </c>
    </row>
    <row r="63" spans="2:4">
      <c r="B63" s="270"/>
      <c r="C63" s="369" t="str">
        <f>IF(ISNA(VLOOKUP(B63,Pricelist!A:D,2,FALSE)),"",VLOOKUP(B63,Pricelist!A:D,2,FALSE))</f>
        <v/>
      </c>
      <c r="D63" s="134" t="str">
        <f>IF(ISNA(VLOOKUP(B63,Pricelist!A:D,2,FALSE)),"",VLOOKUP(B63,Pricelist!A:D,3,FALSE))</f>
        <v/>
      </c>
    </row>
    <row r="64" spans="2:4">
      <c r="B64" s="270"/>
      <c r="C64" s="369" t="str">
        <f>IF(ISNA(VLOOKUP(B64,Pricelist!A:D,2,FALSE)),"",VLOOKUP(B64,Pricelist!A:D,2,FALSE))</f>
        <v/>
      </c>
      <c r="D64" s="134" t="str">
        <f>IF(ISNA(VLOOKUP(B64,Pricelist!A:D,2,FALSE)),"",VLOOKUP(B64,Pricelist!A:D,3,FALSE))</f>
        <v/>
      </c>
    </row>
    <row r="65" spans="1:4">
      <c r="B65" s="270"/>
      <c r="C65" s="369" t="str">
        <f>IF(ISNA(VLOOKUP(B65,Pricelist!A:D,2,FALSE)),"",VLOOKUP(B65,Pricelist!A:D,2,FALSE))</f>
        <v/>
      </c>
      <c r="D65" s="134" t="str">
        <f>IF(ISNA(VLOOKUP(B65,Pricelist!A:D,2,FALSE)),"",VLOOKUP(B65,Pricelist!A:D,3,FALSE))</f>
        <v/>
      </c>
    </row>
    <row r="66" spans="1:4">
      <c r="B66" s="270"/>
      <c r="C66" s="369" t="str">
        <f>IF(ISNA(VLOOKUP(B66,Pricelist!A:D,2,FALSE)),"",VLOOKUP(B66,Pricelist!A:D,2,FALSE))</f>
        <v/>
      </c>
      <c r="D66" s="134" t="str">
        <f>IF(ISNA(VLOOKUP(B66,Pricelist!A:D,2,FALSE)),"",VLOOKUP(B66,Pricelist!A:D,3,FALSE))</f>
        <v/>
      </c>
    </row>
    <row r="67" spans="1:4">
      <c r="B67" s="270"/>
      <c r="C67" s="369" t="str">
        <f>IF(ISNA(VLOOKUP(B67,Pricelist!A:D,2,FALSE)),"",VLOOKUP(B67,Pricelist!A:D,2,FALSE))</f>
        <v/>
      </c>
      <c r="D67" s="134" t="str">
        <f>IF(ISNA(VLOOKUP(B67,Pricelist!A:D,2,FALSE)),"",VLOOKUP(B67,Pricelist!A:D,3,FALSE))</f>
        <v/>
      </c>
    </row>
    <row r="68" spans="1:4">
      <c r="B68" s="270"/>
      <c r="C68" s="369" t="str">
        <f>IF(ISNA(VLOOKUP(B68,Pricelist!A:D,2,FALSE)),"",VLOOKUP(B68,Pricelist!A:D,2,FALSE))</f>
        <v/>
      </c>
      <c r="D68" s="134" t="str">
        <f>IF(ISNA(VLOOKUP(B68,Pricelist!A:D,2,FALSE)),"",VLOOKUP(B68,Pricelist!A:D,3,FALSE))</f>
        <v/>
      </c>
    </row>
    <row r="69" spans="1:4">
      <c r="B69" s="270"/>
      <c r="C69" s="369" t="str">
        <f>IF(ISNA(VLOOKUP(B69,Pricelist!A:D,2,FALSE)),"",VLOOKUP(B69,Pricelist!A:D,2,FALSE))</f>
        <v/>
      </c>
      <c r="D69" s="134" t="str">
        <f>IF(ISNA(VLOOKUP(B69,Pricelist!A:D,2,FALSE)),"",VLOOKUP(B69,Pricelist!A:D,3,FALSE))</f>
        <v/>
      </c>
    </row>
    <row r="70" spans="1:4">
      <c r="B70" s="270"/>
      <c r="C70" s="369" t="str">
        <f>IF(ISNA(VLOOKUP(B70,Pricelist!A:D,2,FALSE)),"",VLOOKUP(B70,Pricelist!A:D,2,FALSE))</f>
        <v/>
      </c>
      <c r="D70" s="134" t="str">
        <f>IF(ISNA(VLOOKUP(B70,Pricelist!A:D,2,FALSE)),"",VLOOKUP(B70,Pricelist!A:D,3,FALSE))</f>
        <v/>
      </c>
    </row>
    <row r="71" spans="1:4">
      <c r="B71" s="270"/>
      <c r="C71" s="369" t="str">
        <f>IF(ISNA(VLOOKUP(B71,Pricelist!A:D,2,FALSE)),"",VLOOKUP(B71,Pricelist!A:D,2,FALSE))</f>
        <v/>
      </c>
      <c r="D71" s="134" t="str">
        <f>IF(ISNA(VLOOKUP(B71,Pricelist!A:D,2,FALSE)),"",VLOOKUP(B71,Pricelist!A:D,3,FALSE))</f>
        <v/>
      </c>
    </row>
    <row r="72" spans="1:4">
      <c r="A72" s="133" t="s">
        <v>493</v>
      </c>
      <c r="B72" s="270"/>
      <c r="C72" s="369" t="str">
        <f>IF(ISNA(VLOOKUP(B72,Pricelist!A:D,2,FALSE)),"",VLOOKUP(B72,Pricelist!A:D,2,FALSE))</f>
        <v/>
      </c>
      <c r="D72" s="134" t="str">
        <f>IF(ISNA(VLOOKUP(B72,Pricelist!A:D,2,FALSE)),"",VLOOKUP(B72,Pricelist!A:D,3,FALSE))</f>
        <v/>
      </c>
    </row>
    <row r="73" spans="1:4">
      <c r="A73" s="133">
        <f>COUNTA(B72:B126)</f>
        <v>0</v>
      </c>
      <c r="B73" s="270"/>
      <c r="C73" s="369" t="str">
        <f>IF(ISNA(VLOOKUP(B73,Pricelist!A:D,2,FALSE)),"",VLOOKUP(B73,Pricelist!A:D,2,FALSE))</f>
        <v/>
      </c>
      <c r="D73" s="134" t="str">
        <f>IF(ISNA(VLOOKUP(B73,Pricelist!A:D,2,FALSE)),"",VLOOKUP(B73,Pricelist!A:D,3,FALSE))</f>
        <v/>
      </c>
    </row>
    <row r="74" spans="1:4">
      <c r="A74" s="133" t="s">
        <v>665</v>
      </c>
      <c r="B74" s="270"/>
      <c r="C74" s="369" t="str">
        <f>IF(ISNA(VLOOKUP(B74,Pricelist!A:D,2,FALSE)),"",VLOOKUP(B74,Pricelist!A:D,2,FALSE))</f>
        <v/>
      </c>
      <c r="D74" s="134" t="str">
        <f>IF(ISNA(VLOOKUP(B74,Pricelist!A:D,2,FALSE)),"",VLOOKUP(B74,Pricelist!A:D,3,FALSE))</f>
        <v/>
      </c>
    </row>
    <row r="75" spans="1:4">
      <c r="B75" s="270"/>
      <c r="C75" s="369" t="str">
        <f>IF(ISNA(VLOOKUP(B75,Pricelist!A:D,2,FALSE)),"",VLOOKUP(B75,Pricelist!A:D,2,FALSE))</f>
        <v/>
      </c>
      <c r="D75" s="134" t="str">
        <f>IF(ISNA(VLOOKUP(B75,Pricelist!A:D,2,FALSE)),"",VLOOKUP(B75,Pricelist!A:D,3,FALSE))</f>
        <v/>
      </c>
    </row>
    <row r="76" spans="1:4">
      <c r="B76" s="270"/>
      <c r="C76" s="369" t="str">
        <f>IF(ISNA(VLOOKUP(B76,Pricelist!A:D,2,FALSE)),"",VLOOKUP(B76,Pricelist!A:D,2,FALSE))</f>
        <v/>
      </c>
      <c r="D76" s="134" t="str">
        <f>IF(ISNA(VLOOKUP(B76,Pricelist!A:D,2,FALSE)),"",VLOOKUP(B76,Pricelist!A:D,3,FALSE))</f>
        <v/>
      </c>
    </row>
    <row r="77" spans="1:4">
      <c r="B77" s="270"/>
      <c r="C77" s="369" t="str">
        <f>IF(ISNA(VLOOKUP(B77,Pricelist!A:D,2,FALSE)),"",VLOOKUP(B77,Pricelist!A:D,2,FALSE))</f>
        <v/>
      </c>
      <c r="D77" s="134" t="str">
        <f>IF(ISNA(VLOOKUP(B77,Pricelist!A:D,2,FALSE)),"",VLOOKUP(B77,Pricelist!A:D,3,FALSE))</f>
        <v/>
      </c>
    </row>
    <row r="78" spans="1:4">
      <c r="B78" s="270"/>
      <c r="C78" s="369" t="str">
        <f>IF(ISNA(VLOOKUP(B78,Pricelist!A:D,2,FALSE)),"",VLOOKUP(B78,Pricelist!A:D,2,FALSE))</f>
        <v/>
      </c>
      <c r="D78" s="134" t="str">
        <f>IF(ISNA(VLOOKUP(B78,Pricelist!A:D,2,FALSE)),"",VLOOKUP(B78,Pricelist!A:D,3,FALSE))</f>
        <v/>
      </c>
    </row>
    <row r="79" spans="1:4">
      <c r="B79" s="270"/>
      <c r="C79" s="369" t="str">
        <f>IF(ISNA(VLOOKUP(B79,Pricelist!A:D,2,FALSE)),"",VLOOKUP(B79,Pricelist!A:D,2,FALSE))</f>
        <v/>
      </c>
      <c r="D79" s="134" t="str">
        <f>IF(ISNA(VLOOKUP(B79,Pricelist!A:D,2,FALSE)),"",VLOOKUP(B79,Pricelist!A:D,3,FALSE))</f>
        <v/>
      </c>
    </row>
    <row r="80" spans="1:4">
      <c r="B80" s="270"/>
      <c r="C80" s="369" t="str">
        <f>IF(ISNA(VLOOKUP(B80,Pricelist!A:D,2,FALSE)),"",VLOOKUP(B80,Pricelist!A:D,2,FALSE))</f>
        <v/>
      </c>
      <c r="D80" s="134" t="str">
        <f>IF(ISNA(VLOOKUP(B80,Pricelist!A:D,2,FALSE)),"",VLOOKUP(B80,Pricelist!A:D,3,FALSE))</f>
        <v/>
      </c>
    </row>
    <row r="81" spans="2:4">
      <c r="B81" s="270"/>
      <c r="C81" s="369" t="str">
        <f>IF(ISNA(VLOOKUP(B81,Pricelist!A:D,2,FALSE)),"",VLOOKUP(B81,Pricelist!A:D,2,FALSE))</f>
        <v/>
      </c>
      <c r="D81" s="134" t="str">
        <f>IF(ISNA(VLOOKUP(B81,Pricelist!A:D,2,FALSE)),"",VLOOKUP(B81,Pricelist!A:D,3,FALSE))</f>
        <v/>
      </c>
    </row>
    <row r="82" spans="2:4">
      <c r="B82" s="270"/>
      <c r="C82" s="369" t="str">
        <f>IF(ISNA(VLOOKUP(B82,Pricelist!A:D,2,FALSE)),"",VLOOKUP(B82,Pricelist!A:D,2,FALSE))</f>
        <v/>
      </c>
      <c r="D82" s="134" t="str">
        <f>IF(ISNA(VLOOKUP(B82,Pricelist!A:D,2,FALSE)),"",VLOOKUP(B82,Pricelist!A:D,3,FALSE))</f>
        <v/>
      </c>
    </row>
    <row r="83" spans="2:4">
      <c r="B83" s="270"/>
      <c r="C83" s="369" t="str">
        <f>IF(ISNA(VLOOKUP(B83,Pricelist!A:D,2,FALSE)),"",VLOOKUP(B83,Pricelist!A:D,2,FALSE))</f>
        <v/>
      </c>
      <c r="D83" s="134" t="str">
        <f>IF(ISNA(VLOOKUP(B83,Pricelist!A:D,2,FALSE)),"",VLOOKUP(B83,Pricelist!A:D,3,FALSE))</f>
        <v/>
      </c>
    </row>
    <row r="84" spans="2:4">
      <c r="B84" s="270"/>
      <c r="C84" s="369" t="str">
        <f>IF(ISNA(VLOOKUP(B84,Pricelist!A:D,2,FALSE)),"",VLOOKUP(B84,Pricelist!A:D,2,FALSE))</f>
        <v/>
      </c>
      <c r="D84" s="134" t="str">
        <f>IF(ISNA(VLOOKUP(B84,Pricelist!A:D,2,FALSE)),"",VLOOKUP(B84,Pricelist!A:D,3,FALSE))</f>
        <v/>
      </c>
    </row>
    <row r="85" spans="2:4">
      <c r="B85" s="270"/>
      <c r="C85" s="369" t="str">
        <f>IF(ISNA(VLOOKUP(B85,Pricelist!A:D,2,FALSE)),"",VLOOKUP(B85,Pricelist!A:D,2,FALSE))</f>
        <v/>
      </c>
      <c r="D85" s="134" t="str">
        <f>IF(ISNA(VLOOKUP(B85,Pricelist!A:D,2,FALSE)),"",VLOOKUP(B85,Pricelist!A:D,3,FALSE))</f>
        <v/>
      </c>
    </row>
    <row r="86" spans="2:4">
      <c r="B86" s="270"/>
      <c r="C86" s="369" t="str">
        <f>IF(ISNA(VLOOKUP(B86,Pricelist!A:D,2,FALSE)),"",VLOOKUP(B86,Pricelist!A:D,2,FALSE))</f>
        <v/>
      </c>
      <c r="D86" s="134" t="str">
        <f>IF(ISNA(VLOOKUP(B86,Pricelist!A:D,2,FALSE)),"",VLOOKUP(B86,Pricelist!A:D,3,FALSE))</f>
        <v/>
      </c>
    </row>
    <row r="87" spans="2:4">
      <c r="B87" s="270"/>
      <c r="C87" s="369" t="str">
        <f>IF(ISNA(VLOOKUP(B87,Pricelist!A:D,2,FALSE)),"",VLOOKUP(B87,Pricelist!A:D,2,FALSE))</f>
        <v/>
      </c>
      <c r="D87" s="134" t="str">
        <f>IF(ISNA(VLOOKUP(B87,Pricelist!A:D,2,FALSE)),"",VLOOKUP(B87,Pricelist!A:D,3,FALSE))</f>
        <v/>
      </c>
    </row>
    <row r="88" spans="2:4">
      <c r="B88" s="270"/>
      <c r="C88" s="369" t="str">
        <f>IF(ISNA(VLOOKUP(B88,Pricelist!A:D,2,FALSE)),"",VLOOKUP(B88,Pricelist!A:D,2,FALSE))</f>
        <v/>
      </c>
      <c r="D88" s="134" t="str">
        <f>IF(ISNA(VLOOKUP(B88,Pricelist!A:D,2,FALSE)),"",VLOOKUP(B88,Pricelist!A:D,3,FALSE))</f>
        <v/>
      </c>
    </row>
    <row r="89" spans="2:4">
      <c r="B89" s="270"/>
      <c r="C89" s="369" t="str">
        <f>IF(ISNA(VLOOKUP(B89,Pricelist!A:D,2,FALSE)),"",VLOOKUP(B89,Pricelist!A:D,2,FALSE))</f>
        <v/>
      </c>
      <c r="D89" s="134" t="str">
        <f>IF(ISNA(VLOOKUP(B89,Pricelist!A:D,2,FALSE)),"",VLOOKUP(B89,Pricelist!A:D,3,FALSE))</f>
        <v/>
      </c>
    </row>
    <row r="90" spans="2:4">
      <c r="B90" s="270"/>
      <c r="C90" s="369" t="str">
        <f>IF(ISNA(VLOOKUP(B90,Pricelist!A:D,2,FALSE)),"",VLOOKUP(B90,Pricelist!A:D,2,FALSE))</f>
        <v/>
      </c>
      <c r="D90" s="134" t="str">
        <f>IF(ISNA(VLOOKUP(B90,Pricelist!A:D,2,FALSE)),"",VLOOKUP(B90,Pricelist!A:D,3,FALSE))</f>
        <v/>
      </c>
    </row>
    <row r="91" spans="2:4">
      <c r="B91" s="270"/>
      <c r="C91" s="369" t="str">
        <f>IF(ISNA(VLOOKUP(B91,Pricelist!A:D,2,FALSE)),"",VLOOKUP(B91,Pricelist!A:D,2,FALSE))</f>
        <v/>
      </c>
      <c r="D91" s="134" t="str">
        <f>IF(ISNA(VLOOKUP(B91,Pricelist!A:D,2,FALSE)),"",VLOOKUP(B91,Pricelist!A:D,3,FALSE))</f>
        <v/>
      </c>
    </row>
    <row r="92" spans="2:4">
      <c r="B92" s="270"/>
      <c r="C92" s="369" t="str">
        <f>IF(ISNA(VLOOKUP(B92,Pricelist!A:D,2,FALSE)),"",VLOOKUP(B92,Pricelist!A:D,2,FALSE))</f>
        <v/>
      </c>
      <c r="D92" s="134" t="str">
        <f>IF(ISNA(VLOOKUP(B92,Pricelist!A:D,2,FALSE)),"",VLOOKUP(B92,Pricelist!A:D,3,FALSE))</f>
        <v/>
      </c>
    </row>
    <row r="93" spans="2:4">
      <c r="B93" s="270"/>
      <c r="C93" s="369" t="str">
        <f>IF(ISNA(VLOOKUP(B93,Pricelist!A:D,2,FALSE)),"",VLOOKUP(B93,Pricelist!A:D,2,FALSE))</f>
        <v/>
      </c>
      <c r="D93" s="134" t="str">
        <f>IF(ISNA(VLOOKUP(B93,Pricelist!A:D,2,FALSE)),"",VLOOKUP(B93,Pricelist!A:D,3,FALSE))</f>
        <v/>
      </c>
    </row>
    <row r="94" spans="2:4">
      <c r="B94" s="270"/>
      <c r="C94" s="369" t="str">
        <f>IF(ISNA(VLOOKUP(B94,Pricelist!A:D,2,FALSE)),"",VLOOKUP(B94,Pricelist!A:D,2,FALSE))</f>
        <v/>
      </c>
      <c r="D94" s="134" t="str">
        <f>IF(ISNA(VLOOKUP(B94,Pricelist!A:D,2,FALSE)),"",VLOOKUP(B94,Pricelist!A:D,3,FALSE))</f>
        <v/>
      </c>
    </row>
    <row r="95" spans="2:4">
      <c r="B95" s="270"/>
      <c r="C95" s="369" t="str">
        <f>IF(ISNA(VLOOKUP(B95,Pricelist!A:D,2,FALSE)),"",VLOOKUP(B95,Pricelist!A:D,2,FALSE))</f>
        <v/>
      </c>
      <c r="D95" s="134" t="str">
        <f>IF(ISNA(VLOOKUP(B95,Pricelist!A:D,2,FALSE)),"",VLOOKUP(B95,Pricelist!A:D,3,FALSE))</f>
        <v/>
      </c>
    </row>
    <row r="96" spans="2:4">
      <c r="B96" s="270"/>
      <c r="C96" s="369" t="str">
        <f>IF(ISNA(VLOOKUP(B96,Pricelist!A:D,2,FALSE)),"",VLOOKUP(B96,Pricelist!A:D,2,FALSE))</f>
        <v/>
      </c>
      <c r="D96" s="134" t="str">
        <f>IF(ISNA(VLOOKUP(B96,Pricelist!A:D,2,FALSE)),"",VLOOKUP(B96,Pricelist!A:D,3,FALSE))</f>
        <v/>
      </c>
    </row>
    <row r="97" spans="2:4">
      <c r="B97" s="270"/>
      <c r="C97" s="370" t="str">
        <f>IF(ISNA(VLOOKUP(B97,Pricelist!A:D,2,FALSE)),"",VLOOKUP(B97,Pricelist!A:D,2,FALSE))</f>
        <v/>
      </c>
      <c r="D97" s="144" t="str">
        <f>IF(ISNA(VLOOKUP(B97,Pricelist!A:D,2,FALSE)),"",VLOOKUP(B97,Pricelist!A:D,3,FALSE))</f>
        <v/>
      </c>
    </row>
    <row r="98" spans="2:4">
      <c r="B98" s="270"/>
      <c r="C98" s="369" t="str">
        <f>IF(ISNA(VLOOKUP(B98,Pricelist!A:D,2,FALSE)),"",VLOOKUP(B98,Pricelist!A:D,2,FALSE))</f>
        <v/>
      </c>
      <c r="D98" s="134" t="str">
        <f>IF(ISNA(VLOOKUP(B98,Pricelist!A:D,2,FALSE)),"",VLOOKUP(B98,Pricelist!A:D,3,FALSE))</f>
        <v/>
      </c>
    </row>
    <row r="99" spans="2:4">
      <c r="B99" s="270"/>
      <c r="C99" s="369" t="str">
        <f>IF(ISNA(VLOOKUP(B99,Pricelist!A:D,2,FALSE)),"",VLOOKUP(B99,Pricelist!A:D,2,FALSE))</f>
        <v/>
      </c>
      <c r="D99" s="134" t="str">
        <f>IF(ISNA(VLOOKUP(B99,Pricelist!A:D,2,FALSE)),"",VLOOKUP(B99,Pricelist!A:D,3,FALSE))</f>
        <v/>
      </c>
    </row>
    <row r="100" spans="2:4">
      <c r="B100" s="270"/>
      <c r="C100" s="369" t="str">
        <f>IF(ISNA(VLOOKUP(B100,Pricelist!A:D,2,FALSE)),"",VLOOKUP(B100,Pricelist!A:D,2,FALSE))</f>
        <v/>
      </c>
      <c r="D100" s="134" t="str">
        <f>IF(ISNA(VLOOKUP(B100,Pricelist!A:D,2,FALSE)),"",VLOOKUP(B100,Pricelist!A:D,3,FALSE))</f>
        <v/>
      </c>
    </row>
    <row r="101" spans="2:4">
      <c r="B101" s="270"/>
      <c r="C101" s="369" t="str">
        <f>IF(ISNA(VLOOKUP(B101,Pricelist!A:D,2,FALSE)),"",VLOOKUP(B101,Pricelist!A:D,2,FALSE))</f>
        <v/>
      </c>
      <c r="D101" s="134" t="str">
        <f>IF(ISNA(VLOOKUP(B101,Pricelist!A:D,2,FALSE)),"",VLOOKUP(B101,Pricelist!A:D,3,FALSE))</f>
        <v/>
      </c>
    </row>
    <row r="102" spans="2:4">
      <c r="B102" s="270"/>
      <c r="C102" s="369" t="str">
        <f>IF(ISNA(VLOOKUP(B102,Pricelist!A:D,2,FALSE)),"",VLOOKUP(B102,Pricelist!A:D,2,FALSE))</f>
        <v/>
      </c>
      <c r="D102" s="134" t="str">
        <f>IF(ISNA(VLOOKUP(B102,Pricelist!A:D,2,FALSE)),"",VLOOKUP(B102,Pricelist!A:D,3,FALSE))</f>
        <v/>
      </c>
    </row>
    <row r="103" spans="2:4">
      <c r="B103" s="270"/>
      <c r="C103" s="369" t="str">
        <f>IF(ISNA(VLOOKUP(B103,Pricelist!A:D,2,FALSE)),"",VLOOKUP(B103,Pricelist!A:D,2,FALSE))</f>
        <v/>
      </c>
      <c r="D103" s="134" t="str">
        <f>IF(ISNA(VLOOKUP(B103,Pricelist!A:D,2,FALSE)),"",VLOOKUP(B103,Pricelist!A:D,3,FALSE))</f>
        <v/>
      </c>
    </row>
    <row r="104" spans="2:4">
      <c r="B104" s="270"/>
      <c r="C104" s="369" t="str">
        <f>IF(ISNA(VLOOKUP(B104,Pricelist!A:D,2,FALSE)),"",VLOOKUP(B104,Pricelist!A:D,2,FALSE))</f>
        <v/>
      </c>
      <c r="D104" s="134" t="str">
        <f>IF(ISNA(VLOOKUP(B104,Pricelist!A:D,2,FALSE)),"",VLOOKUP(B104,Pricelist!A:D,3,FALSE))</f>
        <v/>
      </c>
    </row>
    <row r="105" spans="2:4">
      <c r="B105" s="270"/>
      <c r="C105" s="369" t="str">
        <f>IF(ISNA(VLOOKUP(B105,Pricelist!A:D,2,FALSE)),"",VLOOKUP(B105,Pricelist!A:D,2,FALSE))</f>
        <v/>
      </c>
      <c r="D105" s="134" t="str">
        <f>IF(ISNA(VLOOKUP(B105,Pricelist!A:D,2,FALSE)),"",VLOOKUP(B105,Pricelist!A:D,3,FALSE))</f>
        <v/>
      </c>
    </row>
    <row r="106" spans="2:4">
      <c r="B106" s="270"/>
      <c r="C106" s="369" t="str">
        <f>IF(ISNA(VLOOKUP(B106,Pricelist!A:D,2,FALSE)),"",VLOOKUP(B106,Pricelist!A:D,2,FALSE))</f>
        <v/>
      </c>
      <c r="D106" s="134" t="str">
        <f>IF(ISNA(VLOOKUP(B106,Pricelist!A:D,2,FALSE)),"",VLOOKUP(B106,Pricelist!A:D,3,FALSE))</f>
        <v/>
      </c>
    </row>
    <row r="107" spans="2:4">
      <c r="B107" s="270"/>
      <c r="C107" s="369" t="str">
        <f>IF(ISNA(VLOOKUP(B107,Pricelist!A:D,2,FALSE)),"",VLOOKUP(B107,Pricelist!A:D,2,FALSE))</f>
        <v/>
      </c>
      <c r="D107" s="134" t="str">
        <f>IF(ISNA(VLOOKUP(B107,Pricelist!A:D,2,FALSE)),"",VLOOKUP(B107,Pricelist!A:D,3,FALSE))</f>
        <v/>
      </c>
    </row>
    <row r="108" spans="2:4">
      <c r="B108" s="270"/>
      <c r="C108" s="369" t="str">
        <f>IF(ISNA(VLOOKUP(B108,Pricelist!A:D,2,FALSE)),"",VLOOKUP(B108,Pricelist!A:D,2,FALSE))</f>
        <v/>
      </c>
      <c r="D108" s="134" t="str">
        <f>IF(ISNA(VLOOKUP(B108,Pricelist!A:D,2,FALSE)),"",VLOOKUP(B108,Pricelist!A:D,3,FALSE))</f>
        <v/>
      </c>
    </row>
    <row r="109" spans="2:4">
      <c r="B109" s="270"/>
      <c r="C109" s="369" t="str">
        <f>IF(ISNA(VLOOKUP(B109,Pricelist!A:D,2,FALSE)),"",VLOOKUP(B109,Pricelist!A:D,2,FALSE))</f>
        <v/>
      </c>
      <c r="D109" s="134" t="str">
        <f>IF(ISNA(VLOOKUP(B109,Pricelist!A:D,2,FALSE)),"",VLOOKUP(B109,Pricelist!A:D,3,FALSE))</f>
        <v/>
      </c>
    </row>
    <row r="110" spans="2:4">
      <c r="B110" s="270"/>
      <c r="C110" s="369" t="str">
        <f>IF(ISNA(VLOOKUP(B110,Pricelist!A:D,2,FALSE)),"",VLOOKUP(B110,Pricelist!A:D,2,FALSE))</f>
        <v/>
      </c>
      <c r="D110" s="134" t="str">
        <f>IF(ISNA(VLOOKUP(B110,Pricelist!A:D,2,FALSE)),"",VLOOKUP(B110,Pricelist!A:D,3,FALSE))</f>
        <v/>
      </c>
    </row>
    <row r="111" spans="2:4">
      <c r="B111" s="270"/>
      <c r="C111" s="369" t="str">
        <f>IF(ISNA(VLOOKUP(B111,Pricelist!A:D,2,FALSE)),"",VLOOKUP(B111,Pricelist!A:D,2,FALSE))</f>
        <v/>
      </c>
      <c r="D111" s="134" t="str">
        <f>IF(ISNA(VLOOKUP(B111,Pricelist!A:D,2,FALSE)),"",VLOOKUP(B111,Pricelist!A:D,3,FALSE))</f>
        <v/>
      </c>
    </row>
    <row r="112" spans="2:4">
      <c r="B112" s="270"/>
      <c r="C112" s="369" t="str">
        <f>IF(ISNA(VLOOKUP(B112,Pricelist!A:D,2,FALSE)),"",VLOOKUP(B112,Pricelist!A:D,2,FALSE))</f>
        <v/>
      </c>
      <c r="D112" s="134" t="str">
        <f>IF(ISNA(VLOOKUP(B112,Pricelist!A:D,2,FALSE)),"",VLOOKUP(B112,Pricelist!A:D,3,FALSE))</f>
        <v/>
      </c>
    </row>
    <row r="113" spans="1:4">
      <c r="B113" s="270"/>
      <c r="C113" s="369" t="str">
        <f>IF(ISNA(VLOOKUP(B113,Pricelist!A:D,2,FALSE)),"",VLOOKUP(B113,Pricelist!A:D,2,FALSE))</f>
        <v/>
      </c>
      <c r="D113" s="134" t="str">
        <f>IF(ISNA(VLOOKUP(B113,Pricelist!A:D,2,FALSE)),"",VLOOKUP(B113,Pricelist!A:D,3,FALSE))</f>
        <v/>
      </c>
    </row>
    <row r="114" spans="1:4">
      <c r="B114" s="270"/>
      <c r="C114" s="369" t="str">
        <f>IF(ISNA(VLOOKUP(B114,Pricelist!A:D,2,FALSE)),"",VLOOKUP(B114,Pricelist!A:D,2,FALSE))</f>
        <v/>
      </c>
      <c r="D114" s="134" t="str">
        <f>IF(ISNA(VLOOKUP(B114,Pricelist!A:D,2,FALSE)),"",VLOOKUP(B114,Pricelist!A:D,3,FALSE))</f>
        <v/>
      </c>
    </row>
    <row r="115" spans="1:4">
      <c r="B115" s="270"/>
      <c r="C115" s="369" t="str">
        <f>IF(ISNA(VLOOKUP(B115,Pricelist!A:D,2,FALSE)),"",VLOOKUP(B115,Pricelist!A:D,2,FALSE))</f>
        <v/>
      </c>
      <c r="D115" s="134" t="str">
        <f>IF(ISNA(VLOOKUP(B115,Pricelist!A:D,2,FALSE)),"",VLOOKUP(B115,Pricelist!A:D,3,FALSE))</f>
        <v/>
      </c>
    </row>
    <row r="116" spans="1:4">
      <c r="B116" s="270"/>
      <c r="C116" s="369" t="str">
        <f>IF(ISNA(VLOOKUP(B116,Pricelist!A:D,2,FALSE)),"",VLOOKUP(B116,Pricelist!A:D,2,FALSE))</f>
        <v/>
      </c>
      <c r="D116" s="134" t="str">
        <f>IF(ISNA(VLOOKUP(B116,Pricelist!A:D,2,FALSE)),"",VLOOKUP(B116,Pricelist!A:D,3,FALSE))</f>
        <v/>
      </c>
    </row>
    <row r="117" spans="1:4">
      <c r="B117" s="270"/>
      <c r="C117" s="369" t="str">
        <f>IF(ISNA(VLOOKUP(B117,Pricelist!A:D,2,FALSE)),"",VLOOKUP(B117,Pricelist!A:D,2,FALSE))</f>
        <v/>
      </c>
      <c r="D117" s="134" t="str">
        <f>IF(ISNA(VLOOKUP(B117,Pricelist!A:D,2,FALSE)),"",VLOOKUP(B117,Pricelist!A:D,3,FALSE))</f>
        <v/>
      </c>
    </row>
    <row r="118" spans="1:4">
      <c r="B118" s="270"/>
      <c r="C118" s="369" t="str">
        <f>IF(ISNA(VLOOKUP(B118,Pricelist!A:D,2,FALSE)),"",VLOOKUP(B118,Pricelist!A:D,2,FALSE))</f>
        <v/>
      </c>
      <c r="D118" s="134" t="str">
        <f>IF(ISNA(VLOOKUP(B118,Pricelist!A:D,2,FALSE)),"",VLOOKUP(B118,Pricelist!A:D,3,FALSE))</f>
        <v/>
      </c>
    </row>
    <row r="119" spans="1:4">
      <c r="B119" s="270"/>
      <c r="C119" s="369" t="str">
        <f>IF(ISNA(VLOOKUP(B119,Pricelist!A:D,2,FALSE)),"",VLOOKUP(B119,Pricelist!A:D,2,FALSE))</f>
        <v/>
      </c>
      <c r="D119" s="134" t="str">
        <f>IF(ISNA(VLOOKUP(B119,Pricelist!A:D,2,FALSE)),"",VLOOKUP(B119,Pricelist!A:D,3,FALSE))</f>
        <v/>
      </c>
    </row>
    <row r="120" spans="1:4">
      <c r="B120" s="270"/>
      <c r="C120" s="369" t="str">
        <f>IF(ISNA(VLOOKUP(B120,Pricelist!A:D,2,FALSE)),"",VLOOKUP(B120,Pricelist!A:D,2,FALSE))</f>
        <v/>
      </c>
      <c r="D120" s="134" t="str">
        <f>IF(ISNA(VLOOKUP(B120,Pricelist!A:D,2,FALSE)),"",VLOOKUP(B120,Pricelist!A:D,3,FALSE))</f>
        <v/>
      </c>
    </row>
    <row r="121" spans="1:4">
      <c r="B121" s="270"/>
      <c r="C121" s="369" t="str">
        <f>IF(ISNA(VLOOKUP(B121,Pricelist!A:D,2,FALSE)),"",VLOOKUP(B121,Pricelist!A:D,2,FALSE))</f>
        <v/>
      </c>
      <c r="D121" s="134" t="str">
        <f>IF(ISNA(VLOOKUP(B121,Pricelist!A:D,2,FALSE)),"",VLOOKUP(B121,Pricelist!A:D,3,FALSE))</f>
        <v/>
      </c>
    </row>
    <row r="122" spans="1:4">
      <c r="B122" s="270"/>
      <c r="C122" s="369" t="str">
        <f>IF(ISNA(VLOOKUP(B122,Pricelist!A:D,2,FALSE)),"",VLOOKUP(B122,Pricelist!A:D,2,FALSE))</f>
        <v/>
      </c>
      <c r="D122" s="134" t="str">
        <f>IF(ISNA(VLOOKUP(B122,Pricelist!A:D,2,FALSE)),"",VLOOKUP(B122,Pricelist!A:D,3,FALSE))</f>
        <v/>
      </c>
    </row>
    <row r="123" spans="1:4">
      <c r="B123" s="270"/>
      <c r="C123" s="369" t="str">
        <f>IF(ISNA(VLOOKUP(B123,Pricelist!A:D,2,FALSE)),"",VLOOKUP(B123,Pricelist!A:D,2,FALSE))</f>
        <v/>
      </c>
      <c r="D123" s="134" t="str">
        <f>IF(ISNA(VLOOKUP(B123,Pricelist!A:D,2,FALSE)),"",VLOOKUP(B123,Pricelist!A:D,3,FALSE))</f>
        <v/>
      </c>
    </row>
    <row r="124" spans="1:4">
      <c r="B124" s="270"/>
      <c r="C124" s="369" t="str">
        <f>IF(ISNA(VLOOKUP(B124,Pricelist!A:D,2,FALSE)),"",VLOOKUP(B124,Pricelist!A:D,2,FALSE))</f>
        <v/>
      </c>
      <c r="D124" s="134" t="str">
        <f>IF(ISNA(VLOOKUP(B124,Pricelist!A:D,2,FALSE)),"",VLOOKUP(B124,Pricelist!A:D,3,FALSE))</f>
        <v/>
      </c>
    </row>
    <row r="125" spans="1:4">
      <c r="B125" s="270"/>
      <c r="C125" s="369" t="str">
        <f>IF(ISNA(VLOOKUP(B125,Pricelist!A:D,2,FALSE)),"",VLOOKUP(B125,Pricelist!A:D,2,FALSE))</f>
        <v/>
      </c>
      <c r="D125" s="134" t="str">
        <f>IF(ISNA(VLOOKUP(B125,Pricelist!A:D,2,FALSE)),"",VLOOKUP(B125,Pricelist!A:D,3,FALSE))</f>
        <v/>
      </c>
    </row>
    <row r="126" spans="1:4">
      <c r="B126" s="270"/>
      <c r="C126" s="369" t="str">
        <f>IF(ISNA(VLOOKUP(B126,Pricelist!A:D,2,FALSE)),"",VLOOKUP(B126,Pricelist!A:D,2,FALSE))</f>
        <v/>
      </c>
      <c r="D126" s="134" t="str">
        <f>IF(ISNA(VLOOKUP(B126,Pricelist!A:D,2,FALSE)),"",VLOOKUP(B126,Pricelist!A:D,3,FALSE))</f>
        <v/>
      </c>
    </row>
    <row r="127" spans="1:4">
      <c r="A127" s="133" t="s">
        <v>494</v>
      </c>
      <c r="B127" s="270"/>
      <c r="C127" s="369" t="str">
        <f>IF(ISNA(VLOOKUP(B127,Pricelist!A:D,2,FALSE)),"",VLOOKUP(B127,Pricelist!A:D,2,FALSE))</f>
        <v/>
      </c>
      <c r="D127" s="134" t="str">
        <f>IF(ISNA(VLOOKUP(B127,Pricelist!A:D,2,FALSE)),"",VLOOKUP(B127,Pricelist!A:D,3,FALSE))</f>
        <v/>
      </c>
    </row>
    <row r="128" spans="1:4">
      <c r="A128" s="133">
        <f>COUNTA(B128:B165)</f>
        <v>0</v>
      </c>
      <c r="B128" s="270"/>
      <c r="C128" s="369" t="str">
        <f>IF(ISNA(VLOOKUP(B128,Pricelist!A:D,2,FALSE)),"",VLOOKUP(B128,Pricelist!A:D,2,FALSE))</f>
        <v/>
      </c>
      <c r="D128" s="134" t="str">
        <f>IF(ISNA(VLOOKUP(B128,Pricelist!A:D,2,FALSE)),"",VLOOKUP(B128,Pricelist!A:D,3,FALSE))</f>
        <v/>
      </c>
    </row>
    <row r="129" spans="1:4">
      <c r="A129" s="133" t="s">
        <v>665</v>
      </c>
      <c r="B129" s="270"/>
      <c r="C129" s="369" t="str">
        <f>IF(ISNA(VLOOKUP(B129,Pricelist!A:D,2,FALSE)),"",VLOOKUP(B129,Pricelist!A:D,2,FALSE))</f>
        <v/>
      </c>
      <c r="D129" s="134" t="str">
        <f>IF(ISNA(VLOOKUP(B129,Pricelist!A:D,2,FALSE)),"",VLOOKUP(B129,Pricelist!A:D,3,FALSE))</f>
        <v/>
      </c>
    </row>
    <row r="130" spans="1:4">
      <c r="B130" s="270"/>
      <c r="C130" s="369" t="str">
        <f>IF(ISNA(VLOOKUP(B130,Pricelist!A:D,2,FALSE)),"",VLOOKUP(B130,Pricelist!A:D,2,FALSE))</f>
        <v/>
      </c>
      <c r="D130" s="134" t="str">
        <f>IF(ISNA(VLOOKUP(B130,Pricelist!A:D,2,FALSE)),"",VLOOKUP(B130,Pricelist!A:D,3,FALSE))</f>
        <v/>
      </c>
    </row>
    <row r="131" spans="1:4">
      <c r="B131" s="270"/>
      <c r="C131" s="369" t="str">
        <f>IF(ISNA(VLOOKUP(B131,Pricelist!A:D,2,FALSE)),"",VLOOKUP(B131,Pricelist!A:D,2,FALSE))</f>
        <v/>
      </c>
      <c r="D131" s="134" t="str">
        <f>IF(ISNA(VLOOKUP(B131,Pricelist!A:D,2,FALSE)),"",VLOOKUP(B131,Pricelist!A:D,3,FALSE))</f>
        <v/>
      </c>
    </row>
    <row r="132" spans="1:4">
      <c r="B132" s="270"/>
      <c r="C132" s="369" t="str">
        <f>IF(ISNA(VLOOKUP(B132,Pricelist!A:D,2,FALSE)),"",VLOOKUP(B132,Pricelist!A:D,2,FALSE))</f>
        <v/>
      </c>
      <c r="D132" s="134" t="str">
        <f>IF(ISNA(VLOOKUP(B132,Pricelist!A:D,2,FALSE)),"",VLOOKUP(B132,Pricelist!A:D,3,FALSE))</f>
        <v/>
      </c>
    </row>
    <row r="133" spans="1:4">
      <c r="B133" s="270"/>
      <c r="C133" s="369" t="str">
        <f>IF(ISNA(VLOOKUP(B133,Pricelist!A:D,2,FALSE)),"",VLOOKUP(B133,Pricelist!A:D,2,FALSE))</f>
        <v/>
      </c>
      <c r="D133" s="134" t="str">
        <f>IF(ISNA(VLOOKUP(B133,Pricelist!A:D,2,FALSE)),"",VLOOKUP(B133,Pricelist!A:D,3,FALSE))</f>
        <v/>
      </c>
    </row>
    <row r="134" spans="1:4">
      <c r="B134" s="270"/>
      <c r="C134" s="369" t="str">
        <f>IF(ISNA(VLOOKUP(B134,Pricelist!A:D,2,FALSE)),"",VLOOKUP(B134,Pricelist!A:D,2,FALSE))</f>
        <v/>
      </c>
      <c r="D134" s="134" t="str">
        <f>IF(ISNA(VLOOKUP(B134,Pricelist!A:D,2,FALSE)),"",VLOOKUP(B134,Pricelist!A:D,3,FALSE))</f>
        <v/>
      </c>
    </row>
    <row r="135" spans="1:4">
      <c r="B135" s="270"/>
      <c r="C135" s="369" t="str">
        <f>IF(ISNA(VLOOKUP(B135,Pricelist!A:D,2,FALSE)),"",VLOOKUP(B135,Pricelist!A:D,2,FALSE))</f>
        <v/>
      </c>
      <c r="D135" s="134" t="str">
        <f>IF(ISNA(VLOOKUP(B135,Pricelist!A:D,2,FALSE)),"",VLOOKUP(B135,Pricelist!A:D,3,FALSE))</f>
        <v/>
      </c>
    </row>
    <row r="136" spans="1:4">
      <c r="B136" s="270"/>
      <c r="C136" s="369" t="str">
        <f>IF(ISNA(VLOOKUP(B136,Pricelist!A:D,2,FALSE)),"",VLOOKUP(B136,Pricelist!A:D,2,FALSE))</f>
        <v/>
      </c>
      <c r="D136" s="134" t="str">
        <f>IF(ISNA(VLOOKUP(B136,Pricelist!A:D,2,FALSE)),"",VLOOKUP(B136,Pricelist!A:D,3,FALSE))</f>
        <v/>
      </c>
    </row>
    <row r="137" spans="1:4">
      <c r="B137" s="270"/>
      <c r="C137" s="369" t="str">
        <f>IF(ISNA(VLOOKUP(B137,Pricelist!A:D,2,FALSE)),"",VLOOKUP(B137,Pricelist!A:D,2,FALSE))</f>
        <v/>
      </c>
      <c r="D137" s="134" t="str">
        <f>IF(ISNA(VLOOKUP(B137,Pricelist!A:D,2,FALSE)),"",VLOOKUP(B137,Pricelist!A:D,3,FALSE))</f>
        <v/>
      </c>
    </row>
    <row r="138" spans="1:4">
      <c r="B138" s="270"/>
      <c r="C138" s="369" t="str">
        <f>IF(ISNA(VLOOKUP(B138,Pricelist!A:D,2,FALSE)),"",VLOOKUP(B138,Pricelist!A:D,2,FALSE))</f>
        <v/>
      </c>
      <c r="D138" s="134" t="str">
        <f>IF(ISNA(VLOOKUP(B138,Pricelist!A:D,2,FALSE)),"",VLOOKUP(B138,Pricelist!A:D,3,FALSE))</f>
        <v/>
      </c>
    </row>
    <row r="139" spans="1:4">
      <c r="B139" s="270"/>
      <c r="C139" s="369" t="str">
        <f>IF(ISNA(VLOOKUP(B139,Pricelist!A:D,2,FALSE)),"",VLOOKUP(B139,Pricelist!A:D,2,FALSE))</f>
        <v/>
      </c>
      <c r="D139" s="134" t="str">
        <f>IF(ISNA(VLOOKUP(B139,Pricelist!A:D,2,FALSE)),"",VLOOKUP(B139,Pricelist!A:D,3,FALSE))</f>
        <v/>
      </c>
    </row>
    <row r="140" spans="1:4">
      <c r="B140" s="270"/>
      <c r="C140" s="369" t="str">
        <f>IF(ISNA(VLOOKUP(B140,Pricelist!A:D,2,FALSE)),"",VLOOKUP(B140,Pricelist!A:D,2,FALSE))</f>
        <v/>
      </c>
      <c r="D140" s="134" t="str">
        <f>IF(ISNA(VLOOKUP(B140,Pricelist!A:D,2,FALSE)),"",VLOOKUP(B140,Pricelist!A:D,3,FALSE))</f>
        <v/>
      </c>
    </row>
    <row r="141" spans="1:4">
      <c r="B141" s="270"/>
      <c r="C141" s="369" t="str">
        <f>IF(ISNA(VLOOKUP(B141,Pricelist!A:D,2,FALSE)),"",VLOOKUP(B141,Pricelist!A:D,2,FALSE))</f>
        <v/>
      </c>
      <c r="D141" s="134" t="str">
        <f>IF(ISNA(VLOOKUP(B141,Pricelist!A:D,2,FALSE)),"",VLOOKUP(B141,Pricelist!A:D,3,FALSE))</f>
        <v/>
      </c>
    </row>
    <row r="142" spans="1:4">
      <c r="B142" s="270"/>
      <c r="C142" s="369" t="str">
        <f>IF(ISNA(VLOOKUP(B142,Pricelist!A:D,2,FALSE)),"",VLOOKUP(B142,Pricelist!A:D,2,FALSE))</f>
        <v/>
      </c>
      <c r="D142" s="134" t="str">
        <f>IF(ISNA(VLOOKUP(B142,Pricelist!A:D,2,FALSE)),"",VLOOKUP(B142,Pricelist!A:D,3,FALSE))</f>
        <v/>
      </c>
    </row>
    <row r="143" spans="1:4">
      <c r="B143" s="270"/>
      <c r="C143" s="369" t="str">
        <f>IF(ISNA(VLOOKUP(B143,Pricelist!A:D,2,FALSE)),"",VLOOKUP(B143,Pricelist!A:D,2,FALSE))</f>
        <v/>
      </c>
      <c r="D143" s="134" t="str">
        <f>IF(ISNA(VLOOKUP(B143,Pricelist!A:D,2,FALSE)),"",VLOOKUP(B143,Pricelist!A:D,3,FALSE))</f>
        <v/>
      </c>
    </row>
    <row r="144" spans="1:4">
      <c r="B144" s="270"/>
      <c r="C144" s="369" t="str">
        <f>IF(ISNA(VLOOKUP(B144,Pricelist!A:D,2,FALSE)),"",VLOOKUP(B144,Pricelist!A:D,2,FALSE))</f>
        <v/>
      </c>
      <c r="D144" s="134" t="str">
        <f>IF(ISNA(VLOOKUP(B144,Pricelist!A:D,2,FALSE)),"",VLOOKUP(B144,Pricelist!A:D,3,FALSE))</f>
        <v/>
      </c>
    </row>
    <row r="145" spans="2:4">
      <c r="B145" s="270"/>
      <c r="C145" s="369" t="str">
        <f>IF(ISNA(VLOOKUP(B145,Pricelist!A:D,2,FALSE)),"",VLOOKUP(B145,Pricelist!A:D,2,FALSE))</f>
        <v/>
      </c>
      <c r="D145" s="134" t="str">
        <f>IF(ISNA(VLOOKUP(B145,Pricelist!A:D,2,FALSE)),"",VLOOKUP(B145,Pricelist!A:D,3,FALSE))</f>
        <v/>
      </c>
    </row>
    <row r="146" spans="2:4">
      <c r="B146" s="270"/>
      <c r="C146" s="369" t="str">
        <f>IF(ISNA(VLOOKUP(B146,Pricelist!A:D,2,FALSE)),"",VLOOKUP(B146,Pricelist!A:D,2,FALSE))</f>
        <v/>
      </c>
      <c r="D146" s="134" t="str">
        <f>IF(ISNA(VLOOKUP(B146,Pricelist!A:D,2,FALSE)),"",VLOOKUP(B146,Pricelist!A:D,3,FALSE))</f>
        <v/>
      </c>
    </row>
    <row r="147" spans="2:4">
      <c r="B147" s="270"/>
      <c r="C147" s="369" t="str">
        <f>IF(ISNA(VLOOKUP(B147,Pricelist!A:D,2,FALSE)),"",VLOOKUP(B147,Pricelist!A:D,2,FALSE))</f>
        <v/>
      </c>
      <c r="D147" s="134" t="str">
        <f>IF(ISNA(VLOOKUP(B147,Pricelist!A:D,2,FALSE)),"",VLOOKUP(B147,Pricelist!A:D,3,FALSE))</f>
        <v/>
      </c>
    </row>
    <row r="148" spans="2:4">
      <c r="B148" s="270"/>
      <c r="C148" s="369" t="str">
        <f>IF(ISNA(VLOOKUP(B148,Pricelist!A:D,2,FALSE)),"",VLOOKUP(B148,Pricelist!A:D,2,FALSE))</f>
        <v/>
      </c>
      <c r="D148" s="134" t="str">
        <f>IF(ISNA(VLOOKUP(B148,Pricelist!A:D,2,FALSE)),"",VLOOKUP(B148,Pricelist!A:D,3,FALSE))</f>
        <v/>
      </c>
    </row>
    <row r="149" spans="2:4">
      <c r="B149" s="270"/>
      <c r="C149" s="369" t="str">
        <f>IF(ISNA(VLOOKUP(B149,Pricelist!A:D,2,FALSE)),"",VLOOKUP(B149,Pricelist!A:D,2,FALSE))</f>
        <v/>
      </c>
      <c r="D149" s="134" t="str">
        <f>IF(ISNA(VLOOKUP(B149,Pricelist!A:D,2,FALSE)),"",VLOOKUP(B149,Pricelist!A:D,3,FALSE))</f>
        <v/>
      </c>
    </row>
    <row r="150" spans="2:4">
      <c r="B150" s="270"/>
      <c r="C150" s="369" t="str">
        <f>IF(ISNA(VLOOKUP(B150,Pricelist!A:D,2,FALSE)),"",VLOOKUP(B150,Pricelist!A:D,2,FALSE))</f>
        <v/>
      </c>
      <c r="D150" s="134" t="str">
        <f>IF(ISNA(VLOOKUP(B150,Pricelist!A:D,2,FALSE)),"",VLOOKUP(B150,Pricelist!A:D,3,FALSE))</f>
        <v/>
      </c>
    </row>
    <row r="151" spans="2:4">
      <c r="B151" s="270"/>
      <c r="C151" s="369" t="str">
        <f>IF(ISNA(VLOOKUP(B151,Pricelist!A:D,2,FALSE)),"",VLOOKUP(B151,Pricelist!A:D,2,FALSE))</f>
        <v/>
      </c>
      <c r="D151" s="134" t="str">
        <f>IF(ISNA(VLOOKUP(B151,Pricelist!A:D,2,FALSE)),"",VLOOKUP(B151,Pricelist!A:D,3,FALSE))</f>
        <v/>
      </c>
    </row>
    <row r="152" spans="2:4">
      <c r="B152" s="270"/>
      <c r="C152" s="369" t="str">
        <f>IF(ISNA(VLOOKUP(B152,Pricelist!A:D,2,FALSE)),"",VLOOKUP(B152,Pricelist!A:D,2,FALSE))</f>
        <v/>
      </c>
      <c r="D152" s="134" t="str">
        <f>IF(ISNA(VLOOKUP(B152,Pricelist!A:D,2,FALSE)),"",VLOOKUP(B152,Pricelist!A:D,3,FALSE))</f>
        <v/>
      </c>
    </row>
    <row r="153" spans="2:4">
      <c r="B153" s="270"/>
      <c r="C153" s="369" t="str">
        <f>IF(ISNA(VLOOKUP(B153,Pricelist!A:D,2,FALSE)),"",VLOOKUP(B153,Pricelist!A:D,2,FALSE))</f>
        <v/>
      </c>
      <c r="D153" s="134" t="str">
        <f>IF(ISNA(VLOOKUP(B153,Pricelist!A:D,2,FALSE)),"",VLOOKUP(B153,Pricelist!A:D,3,FALSE))</f>
        <v/>
      </c>
    </row>
    <row r="154" spans="2:4">
      <c r="B154" s="270"/>
      <c r="C154" s="369" t="str">
        <f>IF(ISNA(VLOOKUP(B154,Pricelist!A:D,2,FALSE)),"",VLOOKUP(B154,Pricelist!A:D,2,FALSE))</f>
        <v/>
      </c>
      <c r="D154" s="134" t="str">
        <f>IF(ISNA(VLOOKUP(B154,Pricelist!A:D,2,FALSE)),"",VLOOKUP(B154,Pricelist!A:D,3,FALSE))</f>
        <v/>
      </c>
    </row>
    <row r="155" spans="2:4">
      <c r="B155" s="270"/>
      <c r="C155" s="369" t="str">
        <f>IF(ISNA(VLOOKUP(B155,Pricelist!A:D,2,FALSE)),"",VLOOKUP(B155,Pricelist!A:D,2,FALSE))</f>
        <v/>
      </c>
      <c r="D155" s="134" t="str">
        <f>IF(ISNA(VLOOKUP(B155,Pricelist!A:D,2,FALSE)),"",VLOOKUP(B155,Pricelist!A:D,3,FALSE))</f>
        <v/>
      </c>
    </row>
    <row r="156" spans="2:4">
      <c r="B156" s="270"/>
      <c r="C156" s="369" t="str">
        <f>IF(ISNA(VLOOKUP(B156,Pricelist!A:D,2,FALSE)),"",VLOOKUP(B156,Pricelist!A:D,2,FALSE))</f>
        <v/>
      </c>
      <c r="D156" s="134" t="str">
        <f>IF(ISNA(VLOOKUP(B156,Pricelist!A:D,2,FALSE)),"",VLOOKUP(B156,Pricelist!A:D,3,FALSE))</f>
        <v/>
      </c>
    </row>
    <row r="157" spans="2:4">
      <c r="B157" s="270"/>
      <c r="C157" s="369" t="str">
        <f>IF(ISNA(VLOOKUP(B157,Pricelist!A:D,2,FALSE)),"",VLOOKUP(B157,Pricelist!A:D,2,FALSE))</f>
        <v/>
      </c>
      <c r="D157" s="134" t="str">
        <f>IF(ISNA(VLOOKUP(B157,Pricelist!A:D,2,FALSE)),"",VLOOKUP(B157,Pricelist!A:D,3,FALSE))</f>
        <v/>
      </c>
    </row>
    <row r="158" spans="2:4">
      <c r="B158" s="270"/>
      <c r="C158" s="369" t="str">
        <f>IF(ISNA(VLOOKUP(B158,Pricelist!A:D,2,FALSE)),"",VLOOKUP(B158,Pricelist!A:D,2,FALSE))</f>
        <v/>
      </c>
      <c r="D158" s="134" t="str">
        <f>IF(ISNA(VLOOKUP(B158,Pricelist!A:D,2,FALSE)),"",VLOOKUP(B158,Pricelist!A:D,3,FALSE))</f>
        <v/>
      </c>
    </row>
    <row r="159" spans="2:4">
      <c r="B159" s="270"/>
      <c r="C159" s="369" t="str">
        <f>IF(ISNA(VLOOKUP(B159,Pricelist!A:D,2,FALSE)),"",VLOOKUP(B159,Pricelist!A:D,2,FALSE))</f>
        <v/>
      </c>
      <c r="D159" s="134" t="str">
        <f>IF(ISNA(VLOOKUP(B159,Pricelist!A:D,2,FALSE)),"",VLOOKUP(B159,Pricelist!A:D,3,FALSE))</f>
        <v/>
      </c>
    </row>
    <row r="160" spans="2:4">
      <c r="B160" s="270"/>
      <c r="C160" s="369" t="str">
        <f>IF(ISNA(VLOOKUP(B160,Pricelist!A:D,2,FALSE)),"",VLOOKUP(B160,Pricelist!A:D,2,FALSE))</f>
        <v/>
      </c>
      <c r="D160" s="134" t="str">
        <f>IF(ISNA(VLOOKUP(B160,Pricelist!A:D,2,FALSE)),"",VLOOKUP(B160,Pricelist!A:D,3,FALSE))</f>
        <v/>
      </c>
    </row>
    <row r="161" spans="2:4">
      <c r="B161" s="270"/>
      <c r="C161" s="369" t="str">
        <f>IF(ISNA(VLOOKUP(B161,Pricelist!A:D,2,FALSE)),"",VLOOKUP(B161,Pricelist!A:D,2,FALSE))</f>
        <v/>
      </c>
      <c r="D161" s="134" t="str">
        <f>IF(ISNA(VLOOKUP(B161,Pricelist!A:D,2,FALSE)),"",VLOOKUP(B161,Pricelist!A:D,3,FALSE))</f>
        <v/>
      </c>
    </row>
    <row r="162" spans="2:4">
      <c r="B162" s="270"/>
      <c r="C162" s="369" t="str">
        <f>IF(ISNA(VLOOKUP(B162,Pricelist!A:D,2,FALSE)),"",VLOOKUP(B162,Pricelist!A:D,2,FALSE))</f>
        <v/>
      </c>
      <c r="D162" s="134" t="str">
        <f>IF(ISNA(VLOOKUP(B162,Pricelist!A:D,2,FALSE)),"",VLOOKUP(B162,Pricelist!A:D,3,FALSE))</f>
        <v/>
      </c>
    </row>
    <row r="163" spans="2:4">
      <c r="B163" s="270"/>
      <c r="C163" s="369" t="str">
        <f>IF(ISNA(VLOOKUP(B163,Pricelist!A:D,2,FALSE)),"",VLOOKUP(B163,Pricelist!A:D,2,FALSE))</f>
        <v/>
      </c>
      <c r="D163" s="134" t="str">
        <f>IF(ISNA(VLOOKUP(B163,Pricelist!A:D,2,FALSE)),"",VLOOKUP(B163,Pricelist!A:D,3,FALSE))</f>
        <v/>
      </c>
    </row>
    <row r="164" spans="2:4">
      <c r="B164" s="270"/>
      <c r="C164" s="369" t="str">
        <f>IF(ISNA(VLOOKUP(B164,Pricelist!A:D,2,FALSE)),"",VLOOKUP(B164,Pricelist!A:D,2,FALSE))</f>
        <v/>
      </c>
      <c r="D164" s="134" t="str">
        <f>IF(ISNA(VLOOKUP(B164,Pricelist!A:D,2,FALSE)),"",VLOOKUP(B164,Pricelist!A:D,3,FALSE))</f>
        <v/>
      </c>
    </row>
    <row r="165" spans="2:4">
      <c r="B165" s="270"/>
      <c r="C165" s="369" t="str">
        <f>IF(ISNA(VLOOKUP(B165,Pricelist!A:D,2,FALSE)),"",VLOOKUP(B165,Pricelist!A:D,2,FALSE))</f>
        <v/>
      </c>
      <c r="D165" s="134" t="str">
        <f>IF(ISNA(VLOOKUP(B165,Pricelist!A:D,2,FALSE)),"",VLOOKUP(B165,Pricelist!A:D,3,FALSE))</f>
        <v/>
      </c>
    </row>
    <row r="166" spans="2:4">
      <c r="B166" s="270"/>
      <c r="C166" s="369" t="str">
        <f>IF(ISNA(VLOOKUP(B166,Pricelist!A:D,2,FALSE)),"",VLOOKUP(B166,Pricelist!A:D,2,FALSE))</f>
        <v/>
      </c>
      <c r="D166" s="134" t="str">
        <f>IF(ISNA(VLOOKUP(B166,Pricelist!A:D,2,FALSE)),"",VLOOKUP(B166,Pricelist!A:D,3,FALSE))</f>
        <v/>
      </c>
    </row>
    <row r="167" spans="2:4">
      <c r="B167" s="270"/>
      <c r="C167" s="369" t="str">
        <f>IF(ISNA(VLOOKUP(B167,Pricelist!A:D,2,FALSE)),"",VLOOKUP(B167,Pricelist!A:D,2,FALSE))</f>
        <v/>
      </c>
      <c r="D167" s="134" t="str">
        <f>IF(ISNA(VLOOKUP(B167,Pricelist!A:D,2,FALSE)),"",VLOOKUP(B167,Pricelist!A:D,3,FALSE))</f>
        <v/>
      </c>
    </row>
    <row r="168" spans="2:4">
      <c r="B168" s="270"/>
      <c r="C168" s="369" t="str">
        <f>IF(ISNA(VLOOKUP(B168,Pricelist!A:D,2,FALSE)),"",VLOOKUP(B168,Pricelist!A:D,2,FALSE))</f>
        <v/>
      </c>
      <c r="D168" s="134" t="str">
        <f>IF(ISNA(VLOOKUP(B168,Pricelist!A:D,2,FALSE)),"",VLOOKUP(B168,Pricelist!A:D,3,FALSE))</f>
        <v/>
      </c>
    </row>
    <row r="169" spans="2:4">
      <c r="B169" s="270"/>
      <c r="C169" s="369" t="str">
        <f>IF(ISNA(VLOOKUP(B169,Pricelist!A:D,2,FALSE)),"",VLOOKUP(B169,Pricelist!A:D,2,FALSE))</f>
        <v/>
      </c>
      <c r="D169" s="134" t="str">
        <f>IF(ISNA(VLOOKUP(B169,Pricelist!A:D,2,FALSE)),"",VLOOKUP(B169,Pricelist!A:D,3,FALSE))</f>
        <v/>
      </c>
    </row>
    <row r="170" spans="2:4">
      <c r="B170" s="270"/>
      <c r="C170" s="369" t="str">
        <f>IF(ISNA(VLOOKUP(B170,Pricelist!A:D,2,FALSE)),"",VLOOKUP(B170,Pricelist!A:D,2,FALSE))</f>
        <v/>
      </c>
      <c r="D170" s="134" t="str">
        <f>IF(ISNA(VLOOKUP(B170,Pricelist!A:D,2,FALSE)),"",VLOOKUP(B170,Pricelist!A:D,3,FALSE))</f>
        <v/>
      </c>
    </row>
    <row r="171" spans="2:4">
      <c r="B171" s="270"/>
      <c r="C171" s="369" t="str">
        <f>IF(ISNA(VLOOKUP(B171,Pricelist!A:D,2,FALSE)),"",VLOOKUP(B171,Pricelist!A:D,2,FALSE))</f>
        <v/>
      </c>
      <c r="D171" s="134" t="str">
        <f>IF(ISNA(VLOOKUP(B171,Pricelist!A:D,2,FALSE)),"",VLOOKUP(B171,Pricelist!A:D,3,FALSE))</f>
        <v/>
      </c>
    </row>
    <row r="172" spans="2:4">
      <c r="B172" s="270"/>
      <c r="C172" s="369" t="str">
        <f>IF(ISNA(VLOOKUP(B172,Pricelist!A:D,2,FALSE)),"",VLOOKUP(B172,Pricelist!A:D,2,FALSE))</f>
        <v/>
      </c>
      <c r="D172" s="134" t="str">
        <f>IF(ISNA(VLOOKUP(B172,Pricelist!A:D,2,FALSE)),"",VLOOKUP(B172,Pricelist!A:D,3,FALSE))</f>
        <v/>
      </c>
    </row>
    <row r="173" spans="2:4">
      <c r="B173" s="270"/>
      <c r="C173" s="369" t="str">
        <f>IF(ISNA(VLOOKUP(B173,Pricelist!A:D,2,FALSE)),"",VLOOKUP(B173,Pricelist!A:D,2,FALSE))</f>
        <v/>
      </c>
      <c r="D173" s="134" t="str">
        <f>IF(ISNA(VLOOKUP(B173,Pricelist!A:D,2,FALSE)),"",VLOOKUP(B173,Pricelist!A:D,3,FALSE))</f>
        <v/>
      </c>
    </row>
    <row r="174" spans="2:4">
      <c r="B174" s="270"/>
      <c r="C174" s="369" t="str">
        <f>IF(ISNA(VLOOKUP(B174,Pricelist!A:D,2,FALSE)),"",VLOOKUP(B174,Pricelist!A:D,2,FALSE))</f>
        <v/>
      </c>
      <c r="D174" s="134" t="str">
        <f>IF(ISNA(VLOOKUP(B174,Pricelist!A:D,2,FALSE)),"",VLOOKUP(B174,Pricelist!A:D,3,FALSE))</f>
        <v/>
      </c>
    </row>
    <row r="175" spans="2:4">
      <c r="B175" s="270"/>
      <c r="C175" s="369" t="str">
        <f>IF(ISNA(VLOOKUP(B175,Pricelist!A:D,2,FALSE)),"",VLOOKUP(B175,Pricelist!A:D,2,FALSE))</f>
        <v/>
      </c>
      <c r="D175" s="134" t="str">
        <f>IF(ISNA(VLOOKUP(B175,Pricelist!A:D,2,FALSE)),"",VLOOKUP(B175,Pricelist!A:D,3,FALSE))</f>
        <v/>
      </c>
    </row>
    <row r="176" spans="2:4">
      <c r="B176" s="270"/>
      <c r="C176" s="369" t="str">
        <f>IF(ISNA(VLOOKUP(B176,Pricelist!A:D,2,FALSE)),"",VLOOKUP(B176,Pricelist!A:D,2,FALSE))</f>
        <v/>
      </c>
      <c r="D176" s="134" t="str">
        <f>IF(ISNA(VLOOKUP(B176,Pricelist!A:D,2,FALSE)),"",VLOOKUP(B176,Pricelist!A:D,3,FALSE))</f>
        <v/>
      </c>
    </row>
    <row r="177" spans="2:4">
      <c r="B177" s="270"/>
      <c r="C177" s="369" t="str">
        <f>IF(ISNA(VLOOKUP(B177,Pricelist!A:D,2,FALSE)),"",VLOOKUP(B177,Pricelist!A:D,2,FALSE))</f>
        <v/>
      </c>
      <c r="D177" s="134" t="str">
        <f>IF(ISNA(VLOOKUP(B177,Pricelist!A:D,2,FALSE)),"",VLOOKUP(B177,Pricelist!A:D,3,FALSE))</f>
        <v/>
      </c>
    </row>
    <row r="178" spans="2:4">
      <c r="B178" s="270"/>
      <c r="C178" s="369" t="str">
        <f>IF(ISNA(VLOOKUP(B178,Pricelist!A:D,2,FALSE)),"",VLOOKUP(B178,Pricelist!A:D,2,FALSE))</f>
        <v/>
      </c>
      <c r="D178" s="134" t="str">
        <f>IF(ISNA(VLOOKUP(B178,Pricelist!A:D,2,FALSE)),"",VLOOKUP(B178,Pricelist!A:D,3,FALSE))</f>
        <v/>
      </c>
    </row>
    <row r="179" spans="2:4">
      <c r="B179" s="270"/>
      <c r="C179" s="369" t="str">
        <f>IF(ISNA(VLOOKUP(B179,Pricelist!A:D,2,FALSE)),"",VLOOKUP(B179,Pricelist!A:D,2,FALSE))</f>
        <v/>
      </c>
      <c r="D179" s="134" t="str">
        <f>IF(ISNA(VLOOKUP(B179,Pricelist!A:D,2,FALSE)),"",VLOOKUP(B179,Pricelist!A:D,3,FALSE))</f>
        <v/>
      </c>
    </row>
    <row r="180" spans="2:4">
      <c r="B180" s="270"/>
      <c r="C180" s="369" t="str">
        <f>IF(ISNA(VLOOKUP(B180,Pricelist!A:D,2,FALSE)),"",VLOOKUP(B180,Pricelist!A:D,2,FALSE))</f>
        <v/>
      </c>
      <c r="D180" s="134" t="str">
        <f>IF(ISNA(VLOOKUP(B180,Pricelist!A:D,2,FALSE)),"",VLOOKUP(B180,Pricelist!A:D,3,FALSE))</f>
        <v/>
      </c>
    </row>
    <row r="181" spans="2:4">
      <c r="B181" s="270"/>
      <c r="C181" s="369" t="str">
        <f>IF(ISNA(VLOOKUP(B181,Pricelist!A:D,2,FALSE)),"",VLOOKUP(B181,Pricelist!A:D,2,FALSE))</f>
        <v/>
      </c>
      <c r="D181" s="134" t="str">
        <f>IF(ISNA(VLOOKUP(B181,Pricelist!A:D,2,FALSE)),"",VLOOKUP(B181,Pricelist!A:D,3,FALSE))</f>
        <v/>
      </c>
    </row>
    <row r="182" spans="2:4">
      <c r="B182" s="270"/>
      <c r="C182" s="369" t="str">
        <f>IF(ISNA(VLOOKUP(B182,Pricelist!A:D,2,FALSE)),"",VLOOKUP(B182,Pricelist!A:D,2,FALSE))</f>
        <v/>
      </c>
      <c r="D182" s="134" t="str">
        <f>IF(ISNA(VLOOKUP(B182,Pricelist!A:D,2,FALSE)),"",VLOOKUP(B182,Pricelist!A:D,3,FALSE))</f>
        <v/>
      </c>
    </row>
    <row r="183" spans="2:4">
      <c r="B183" s="270"/>
      <c r="C183" s="369" t="str">
        <f>IF(ISNA(VLOOKUP(B183,Pricelist!A:D,2,FALSE)),"",VLOOKUP(B183,Pricelist!A:D,2,FALSE))</f>
        <v/>
      </c>
      <c r="D183" s="134" t="str">
        <f>IF(ISNA(VLOOKUP(B183,Pricelist!A:D,2,FALSE)),"",VLOOKUP(B183,Pricelist!A:D,3,FALSE))</f>
        <v/>
      </c>
    </row>
    <row r="184" spans="2:4">
      <c r="B184" s="270"/>
      <c r="C184" s="369" t="str">
        <f>IF(ISNA(VLOOKUP(B184,Pricelist!A:D,2,FALSE)),"",VLOOKUP(B184,Pricelist!A:D,2,FALSE))</f>
        <v/>
      </c>
      <c r="D184" s="134" t="str">
        <f>IF(ISNA(VLOOKUP(B184,Pricelist!A:D,2,FALSE)),"",VLOOKUP(B184,Pricelist!A:D,3,FALSE))</f>
        <v/>
      </c>
    </row>
    <row r="185" spans="2:4">
      <c r="B185" s="270"/>
      <c r="C185" s="370" t="str">
        <f>IF(ISNA(VLOOKUP(B185,Pricelist!A:D,2,FALSE)),"",VLOOKUP(B185,Pricelist!A:D,2,FALSE))</f>
        <v/>
      </c>
      <c r="D185" s="144" t="str">
        <f>IF(ISNA(VLOOKUP(B185,Pricelist!A:D,2,FALSE)),"",VLOOKUP(B185,Pricelist!A:D,3,FALSE))</f>
        <v/>
      </c>
    </row>
    <row r="186" spans="2:4">
      <c r="B186" s="270"/>
      <c r="C186" s="370" t="str">
        <f>IF(ISNA(VLOOKUP(B186,Pricelist!A:D,2,FALSE)),"",VLOOKUP(B186,Pricelist!A:D,2,FALSE))</f>
        <v/>
      </c>
      <c r="D186" s="144" t="str">
        <f>IF(ISNA(VLOOKUP(B186,Pricelist!A:D,2,FALSE)),"",VLOOKUP(B186,Pricelist!A:D,3,FALSE))</f>
        <v/>
      </c>
    </row>
    <row r="187" spans="2:4">
      <c r="B187" s="270"/>
      <c r="C187" s="369" t="str">
        <f>IF(ISNA(VLOOKUP(B187,Pricelist!A:D,2,FALSE)),"",VLOOKUP(B187,Pricelist!A:D,2,FALSE))</f>
        <v/>
      </c>
      <c r="D187" s="134" t="str">
        <f>IF(ISNA(VLOOKUP(B187,Pricelist!A:D,2,FALSE)),"",VLOOKUP(B187,Pricelist!A:D,3,FALSE))</f>
        <v/>
      </c>
    </row>
    <row r="188" spans="2:4">
      <c r="B188" s="270"/>
      <c r="C188" s="369" t="str">
        <f>IF(ISNA(VLOOKUP(B188,Pricelist!A:D,2,FALSE)),"",VLOOKUP(B188,Pricelist!A:D,2,FALSE))</f>
        <v/>
      </c>
      <c r="D188" s="134" t="str">
        <f>IF(ISNA(VLOOKUP(B188,Pricelist!A:D,2,FALSE)),"",VLOOKUP(B188,Pricelist!A:D,3,FALSE))</f>
        <v/>
      </c>
    </row>
    <row r="189" spans="2:4">
      <c r="B189" s="270"/>
      <c r="C189" s="369" t="str">
        <f>IF(ISNA(VLOOKUP(B189,Pricelist!A:D,2,FALSE)),"",VLOOKUP(B189,Pricelist!A:D,2,FALSE))</f>
        <v/>
      </c>
      <c r="D189" s="134" t="str">
        <f>IF(ISNA(VLOOKUP(B189,Pricelist!A:D,2,FALSE)),"",VLOOKUP(B189,Pricelist!A:D,3,FALSE))</f>
        <v/>
      </c>
    </row>
    <row r="190" spans="2:4">
      <c r="B190" s="270"/>
      <c r="C190" s="369" t="str">
        <f>IF(ISNA(VLOOKUP(B190,Pricelist!A:D,2,FALSE)),"",VLOOKUP(B190,Pricelist!A:D,2,FALSE))</f>
        <v/>
      </c>
      <c r="D190" s="134" t="str">
        <f>IF(ISNA(VLOOKUP(B190,Pricelist!A:D,2,FALSE)),"",VLOOKUP(B190,Pricelist!A:D,3,FALSE))</f>
        <v/>
      </c>
    </row>
    <row r="191" spans="2:4">
      <c r="B191" s="270"/>
      <c r="C191" s="369" t="str">
        <f>IF(ISNA(VLOOKUP(B191,Pricelist!A:D,2,FALSE)),"",VLOOKUP(B191,Pricelist!A:D,2,FALSE))</f>
        <v/>
      </c>
      <c r="D191" s="134" t="str">
        <f>IF(ISNA(VLOOKUP(B191,Pricelist!A:D,2,FALSE)),"",VLOOKUP(B191,Pricelist!A:D,3,FALSE))</f>
        <v/>
      </c>
    </row>
    <row r="192" spans="2:4">
      <c r="B192" s="270"/>
      <c r="C192" s="369" t="str">
        <f>IF(ISNA(VLOOKUP(B192,Pricelist!A:D,2,FALSE)),"",VLOOKUP(B192,Pricelist!A:D,2,FALSE))</f>
        <v/>
      </c>
      <c r="D192" s="134" t="str">
        <f>IF(ISNA(VLOOKUP(B192,Pricelist!A:D,2,FALSE)),"",VLOOKUP(B192,Pricelist!A:D,3,FALSE))</f>
        <v/>
      </c>
    </row>
    <row r="193" spans="1:4">
      <c r="A193" s="133" t="s">
        <v>495</v>
      </c>
      <c r="B193" s="270"/>
      <c r="C193" s="369" t="str">
        <f>IF(ISNA(VLOOKUP(B193,Pricelist!A:D,2,FALSE)),"",VLOOKUP(B193,Pricelist!A:D,2,FALSE))</f>
        <v/>
      </c>
      <c r="D193" s="134" t="str">
        <f>IF(ISNA(VLOOKUP(B193,Pricelist!A:D,2,FALSE)),"",VLOOKUP(B193,Pricelist!A:D,3,FALSE))</f>
        <v/>
      </c>
    </row>
    <row r="194" spans="1:4">
      <c r="A194" s="133">
        <f>COUNTA(B193:B238)</f>
        <v>0</v>
      </c>
      <c r="B194" s="270"/>
      <c r="C194" s="369" t="str">
        <f>IF(ISNA(VLOOKUP(B194,Pricelist!A:D,2,FALSE)),"",VLOOKUP(B194,Pricelist!A:D,2,FALSE))</f>
        <v/>
      </c>
      <c r="D194" s="134" t="str">
        <f>IF(ISNA(VLOOKUP(B194,Pricelist!A:D,2,FALSE)),"",VLOOKUP(B194,Pricelist!A:D,3,FALSE))</f>
        <v/>
      </c>
    </row>
    <row r="195" spans="1:4">
      <c r="A195" s="133" t="s">
        <v>665</v>
      </c>
      <c r="B195" s="270"/>
      <c r="C195" s="369" t="str">
        <f>IF(ISNA(VLOOKUP(B195,Pricelist!A:D,2,FALSE)),"",VLOOKUP(B195,Pricelist!A:D,2,FALSE))</f>
        <v/>
      </c>
      <c r="D195" s="134" t="str">
        <f>IF(ISNA(VLOOKUP(B195,Pricelist!A:D,2,FALSE)),"",VLOOKUP(B195,Pricelist!A:D,3,FALSE))</f>
        <v/>
      </c>
    </row>
    <row r="196" spans="1:4">
      <c r="B196" s="270"/>
      <c r="C196" s="369" t="str">
        <f>IF(ISNA(VLOOKUP(B196,Pricelist!A:D,2,FALSE)),"",VLOOKUP(B196,Pricelist!A:D,2,FALSE))</f>
        <v/>
      </c>
      <c r="D196" s="134" t="str">
        <f>IF(ISNA(VLOOKUP(B196,Pricelist!A:D,2,FALSE)),"",VLOOKUP(B196,Pricelist!A:D,3,FALSE))</f>
        <v/>
      </c>
    </row>
    <row r="197" spans="1:4">
      <c r="B197" s="270"/>
      <c r="C197" s="369" t="str">
        <f>IF(ISNA(VLOOKUP(B197,Pricelist!A:D,2,FALSE)),"",VLOOKUP(B197,Pricelist!A:D,2,FALSE))</f>
        <v/>
      </c>
      <c r="D197" s="134" t="str">
        <f>IF(ISNA(VLOOKUP(B197,Pricelist!A:D,2,FALSE)),"",VLOOKUP(B197,Pricelist!A:D,3,FALSE))</f>
        <v/>
      </c>
    </row>
    <row r="198" spans="1:4">
      <c r="B198" s="270"/>
      <c r="C198" s="369" t="str">
        <f>IF(ISNA(VLOOKUP(B198,Pricelist!A:D,2,FALSE)),"",VLOOKUP(B198,Pricelist!A:D,2,FALSE))</f>
        <v/>
      </c>
      <c r="D198" s="134" t="str">
        <f>IF(ISNA(VLOOKUP(B198,Pricelist!A:D,2,FALSE)),"",VLOOKUP(B198,Pricelist!A:D,3,FALSE))</f>
        <v/>
      </c>
    </row>
    <row r="199" spans="1:4">
      <c r="B199" s="270"/>
      <c r="C199" s="369" t="str">
        <f>IF(ISNA(VLOOKUP(B199,Pricelist!A:D,2,FALSE)),"",VLOOKUP(B199,Pricelist!A:D,2,FALSE))</f>
        <v/>
      </c>
      <c r="D199" s="134" t="str">
        <f>IF(ISNA(VLOOKUP(B199,Pricelist!A:D,2,FALSE)),"",VLOOKUP(B199,Pricelist!A:D,3,FALSE))</f>
        <v/>
      </c>
    </row>
    <row r="200" spans="1:4">
      <c r="B200" s="270"/>
      <c r="C200" s="369" t="str">
        <f>IF(ISNA(VLOOKUP(B200,Pricelist!A:D,2,FALSE)),"",VLOOKUP(B200,Pricelist!A:D,2,FALSE))</f>
        <v/>
      </c>
      <c r="D200" s="134" t="str">
        <f>IF(ISNA(VLOOKUP(B200,Pricelist!A:D,2,FALSE)),"",VLOOKUP(B200,Pricelist!A:D,3,FALSE))</f>
        <v/>
      </c>
    </row>
    <row r="201" spans="1:4">
      <c r="B201" s="270"/>
      <c r="C201" s="369" t="str">
        <f>IF(ISNA(VLOOKUP(B201,Pricelist!A:D,2,FALSE)),"",VLOOKUP(B201,Pricelist!A:D,2,FALSE))</f>
        <v/>
      </c>
      <c r="D201" s="134" t="str">
        <f>IF(ISNA(VLOOKUP(B201,Pricelist!A:D,2,FALSE)),"",VLOOKUP(B201,Pricelist!A:D,3,FALSE))</f>
        <v/>
      </c>
    </row>
    <row r="202" spans="1:4">
      <c r="B202" s="270"/>
      <c r="C202" s="369" t="str">
        <f>IF(ISNA(VLOOKUP(B202,Pricelist!A:D,2,FALSE)),"",VLOOKUP(B202,Pricelist!A:D,2,FALSE))</f>
        <v/>
      </c>
      <c r="D202" s="134" t="str">
        <f>IF(ISNA(VLOOKUP(B202,Pricelist!A:D,2,FALSE)),"",VLOOKUP(B202,Pricelist!A:D,3,FALSE))</f>
        <v/>
      </c>
    </row>
    <row r="203" spans="1:4">
      <c r="B203" s="270"/>
      <c r="C203" s="369" t="str">
        <f>IF(ISNA(VLOOKUP(B203,Pricelist!A:D,2,FALSE)),"",VLOOKUP(B203,Pricelist!A:D,2,FALSE))</f>
        <v/>
      </c>
      <c r="D203" s="134" t="str">
        <f>IF(ISNA(VLOOKUP(B203,Pricelist!A:D,2,FALSE)),"",VLOOKUP(B203,Pricelist!A:D,3,FALSE))</f>
        <v/>
      </c>
    </row>
    <row r="204" spans="1:4">
      <c r="B204" s="270"/>
      <c r="C204" s="369" t="str">
        <f>IF(ISNA(VLOOKUP(B204,Pricelist!A:D,2,FALSE)),"",VLOOKUP(B204,Pricelist!A:D,2,FALSE))</f>
        <v/>
      </c>
      <c r="D204" s="134" t="str">
        <f>IF(ISNA(VLOOKUP(B204,Pricelist!A:D,2,FALSE)),"",VLOOKUP(B204,Pricelist!A:D,3,FALSE))</f>
        <v/>
      </c>
    </row>
    <row r="205" spans="1:4">
      <c r="B205" s="270"/>
      <c r="C205" s="369" t="str">
        <f>IF(ISNA(VLOOKUP(B205,Pricelist!A:D,2,FALSE)),"",VLOOKUP(B205,Pricelist!A:D,2,FALSE))</f>
        <v/>
      </c>
      <c r="D205" s="134" t="str">
        <f>IF(ISNA(VLOOKUP(B205,Pricelist!A:D,2,FALSE)),"",VLOOKUP(B205,Pricelist!A:D,3,FALSE))</f>
        <v/>
      </c>
    </row>
    <row r="206" spans="1:4">
      <c r="B206" s="270"/>
      <c r="C206" s="369" t="str">
        <f>IF(ISNA(VLOOKUP(B206,Pricelist!A:D,2,FALSE)),"",VLOOKUP(B206,Pricelist!A:D,2,FALSE))</f>
        <v/>
      </c>
      <c r="D206" s="134" t="str">
        <f>IF(ISNA(VLOOKUP(B206,Pricelist!A:D,2,FALSE)),"",VLOOKUP(B206,Pricelist!A:D,3,FALSE))</f>
        <v/>
      </c>
    </row>
    <row r="207" spans="1:4">
      <c r="B207" s="270"/>
      <c r="C207" s="369" t="str">
        <f>IF(ISNA(VLOOKUP(B207,Pricelist!A:D,2,FALSE)),"",VLOOKUP(B207,Pricelist!A:D,2,FALSE))</f>
        <v/>
      </c>
      <c r="D207" s="134" t="str">
        <f>IF(ISNA(VLOOKUP(B207,Pricelist!A:D,2,FALSE)),"",VLOOKUP(B207,Pricelist!A:D,3,FALSE))</f>
        <v/>
      </c>
    </row>
    <row r="208" spans="1:4">
      <c r="B208" s="270"/>
      <c r="C208" s="369" t="str">
        <f>IF(ISNA(VLOOKUP(B208,Pricelist!A:D,2,FALSE)),"",VLOOKUP(B208,Pricelist!A:D,2,FALSE))</f>
        <v/>
      </c>
      <c r="D208" s="134" t="str">
        <f>IF(ISNA(VLOOKUP(B208,Pricelist!A:D,2,FALSE)),"",VLOOKUP(B208,Pricelist!A:D,3,FALSE))</f>
        <v/>
      </c>
    </row>
    <row r="209" spans="2:4">
      <c r="B209" s="270"/>
      <c r="C209" s="369" t="str">
        <f>IF(ISNA(VLOOKUP(B209,Pricelist!A:D,2,FALSE)),"",VLOOKUP(B209,Pricelist!A:D,2,FALSE))</f>
        <v/>
      </c>
      <c r="D209" s="134" t="str">
        <f>IF(ISNA(VLOOKUP(B209,Pricelist!A:D,2,FALSE)),"",VLOOKUP(B209,Pricelist!A:D,3,FALSE))</f>
        <v/>
      </c>
    </row>
    <row r="210" spans="2:4">
      <c r="B210" s="270"/>
      <c r="C210" s="369" t="str">
        <f>IF(ISNA(VLOOKUP(B210,Pricelist!A:D,2,FALSE)),"",VLOOKUP(B210,Pricelist!A:D,2,FALSE))</f>
        <v/>
      </c>
      <c r="D210" s="134" t="str">
        <f>IF(ISNA(VLOOKUP(B210,Pricelist!A:D,2,FALSE)),"",VLOOKUP(B210,Pricelist!A:D,3,FALSE))</f>
        <v/>
      </c>
    </row>
    <row r="211" spans="2:4">
      <c r="B211" s="270"/>
      <c r="C211" s="369" t="str">
        <f>IF(ISNA(VLOOKUP(B211,Pricelist!A:D,2,FALSE)),"",VLOOKUP(B211,Pricelist!A:D,2,FALSE))</f>
        <v/>
      </c>
      <c r="D211" s="134" t="str">
        <f>IF(ISNA(VLOOKUP(B211,Pricelist!A:D,2,FALSE)),"",VLOOKUP(B211,Pricelist!A:D,3,FALSE))</f>
        <v/>
      </c>
    </row>
    <row r="212" spans="2:4">
      <c r="B212" s="270"/>
      <c r="C212" s="369" t="str">
        <f>IF(ISNA(VLOOKUP(B212,Pricelist!A:D,2,FALSE)),"",VLOOKUP(B212,Pricelist!A:D,2,FALSE))</f>
        <v/>
      </c>
      <c r="D212" s="134" t="str">
        <f>IF(ISNA(VLOOKUP(B212,Pricelist!A:D,2,FALSE)),"",VLOOKUP(B212,Pricelist!A:D,3,FALSE))</f>
        <v/>
      </c>
    </row>
    <row r="213" spans="2:4">
      <c r="B213" s="270"/>
      <c r="C213" s="369" t="str">
        <f>IF(ISNA(VLOOKUP(B213,Pricelist!A:D,2,FALSE)),"",VLOOKUP(B213,Pricelist!A:D,2,FALSE))</f>
        <v/>
      </c>
      <c r="D213" s="134" t="str">
        <f>IF(ISNA(VLOOKUP(B213,Pricelist!A:D,2,FALSE)),"",VLOOKUP(B213,Pricelist!A:D,3,FALSE))</f>
        <v/>
      </c>
    </row>
    <row r="214" spans="2:4">
      <c r="B214" s="270"/>
      <c r="C214" s="369" t="str">
        <f>IF(ISNA(VLOOKUP(B214,Pricelist!A:D,2,FALSE)),"",VLOOKUP(B214,Pricelist!A:D,2,FALSE))</f>
        <v/>
      </c>
      <c r="D214" s="134" t="str">
        <f>IF(ISNA(VLOOKUP(B214,Pricelist!A:D,2,FALSE)),"",VLOOKUP(B214,Pricelist!A:D,3,FALSE))</f>
        <v/>
      </c>
    </row>
    <row r="215" spans="2:4">
      <c r="B215" s="270"/>
      <c r="C215" s="369" t="str">
        <f>IF(ISNA(VLOOKUP(B215,Pricelist!A:D,2,FALSE)),"",VLOOKUP(B215,Pricelist!A:D,2,FALSE))</f>
        <v/>
      </c>
      <c r="D215" s="134" t="str">
        <f>IF(ISNA(VLOOKUP(B215,Pricelist!A:D,2,FALSE)),"",VLOOKUP(B215,Pricelist!A:D,3,FALSE))</f>
        <v/>
      </c>
    </row>
    <row r="216" spans="2:4">
      <c r="B216" s="270"/>
      <c r="C216" s="369" t="str">
        <f>IF(ISNA(VLOOKUP(B216,Pricelist!A:D,2,FALSE)),"",VLOOKUP(B216,Pricelist!A:D,2,FALSE))</f>
        <v/>
      </c>
      <c r="D216" s="134" t="str">
        <f>IF(ISNA(VLOOKUP(B216,Pricelist!A:D,2,FALSE)),"",VLOOKUP(B216,Pricelist!A:D,3,FALSE))</f>
        <v/>
      </c>
    </row>
    <row r="217" spans="2:4">
      <c r="B217" s="270"/>
      <c r="C217" s="369" t="str">
        <f>IF(ISNA(VLOOKUP(B217,Pricelist!A:D,2,FALSE)),"",VLOOKUP(B217,Pricelist!A:D,2,FALSE))</f>
        <v/>
      </c>
      <c r="D217" s="134" t="str">
        <f>IF(ISNA(VLOOKUP(B217,Pricelist!A:D,2,FALSE)),"",VLOOKUP(B217,Pricelist!A:D,3,FALSE))</f>
        <v/>
      </c>
    </row>
    <row r="218" spans="2:4">
      <c r="B218" s="270"/>
      <c r="C218" s="369" t="str">
        <f>IF(ISNA(VLOOKUP(B218,Pricelist!A:D,2,FALSE)),"",VLOOKUP(B218,Pricelist!A:D,2,FALSE))</f>
        <v/>
      </c>
      <c r="D218" s="134" t="str">
        <f>IF(ISNA(VLOOKUP(B218,Pricelist!A:D,2,FALSE)),"",VLOOKUP(B218,Pricelist!A:D,3,FALSE))</f>
        <v/>
      </c>
    </row>
    <row r="219" spans="2:4">
      <c r="B219" s="270"/>
      <c r="C219" s="369" t="str">
        <f>IF(ISNA(VLOOKUP(B219,Pricelist!A:D,2,FALSE)),"",VLOOKUP(B219,Pricelist!A:D,2,FALSE))</f>
        <v/>
      </c>
      <c r="D219" s="134" t="str">
        <f>IF(ISNA(VLOOKUP(B219,Pricelist!A:D,2,FALSE)),"",VLOOKUP(B219,Pricelist!A:D,3,FALSE))</f>
        <v/>
      </c>
    </row>
    <row r="220" spans="2:4">
      <c r="B220" s="270"/>
      <c r="C220" s="369" t="str">
        <f>IF(ISNA(VLOOKUP(B220,Pricelist!A:D,2,FALSE)),"",VLOOKUP(B220,Pricelist!A:D,2,FALSE))</f>
        <v/>
      </c>
      <c r="D220" s="134" t="str">
        <f>IF(ISNA(VLOOKUP(B220,Pricelist!A:D,2,FALSE)),"",VLOOKUP(B220,Pricelist!A:D,3,FALSE))</f>
        <v/>
      </c>
    </row>
    <row r="221" spans="2:4">
      <c r="B221" s="270"/>
      <c r="C221" s="369" t="str">
        <f>IF(ISNA(VLOOKUP(B221,Pricelist!A:D,2,FALSE)),"",VLOOKUP(B221,Pricelist!A:D,2,FALSE))</f>
        <v/>
      </c>
      <c r="D221" s="134" t="str">
        <f>IF(ISNA(VLOOKUP(B221,Pricelist!A:D,2,FALSE)),"",VLOOKUP(B221,Pricelist!A:D,3,FALSE))</f>
        <v/>
      </c>
    </row>
    <row r="222" spans="2:4">
      <c r="B222" s="270"/>
      <c r="C222" s="369" t="str">
        <f>IF(ISNA(VLOOKUP(B222,Pricelist!A:D,2,FALSE)),"",VLOOKUP(B222,Pricelist!A:D,2,FALSE))</f>
        <v/>
      </c>
      <c r="D222" s="134" t="str">
        <f>IF(ISNA(VLOOKUP(B222,Pricelist!A:D,2,FALSE)),"",VLOOKUP(B222,Pricelist!A:D,3,FALSE))</f>
        <v/>
      </c>
    </row>
    <row r="223" spans="2:4">
      <c r="B223" s="270"/>
      <c r="C223" s="369" t="str">
        <f>IF(ISNA(VLOOKUP(B223,Pricelist!A:D,2,FALSE)),"",VLOOKUP(B223,Pricelist!A:D,2,FALSE))</f>
        <v/>
      </c>
      <c r="D223" s="134" t="str">
        <f>IF(ISNA(VLOOKUP(B223,Pricelist!A:D,2,FALSE)),"",VLOOKUP(B223,Pricelist!A:D,3,FALSE))</f>
        <v/>
      </c>
    </row>
    <row r="224" spans="2:4">
      <c r="B224" s="270"/>
      <c r="C224" s="369" t="str">
        <f>IF(ISNA(VLOOKUP(B224,Pricelist!A:D,2,FALSE)),"",VLOOKUP(B224,Pricelist!A:D,2,FALSE))</f>
        <v/>
      </c>
      <c r="D224" s="134" t="str">
        <f>IF(ISNA(VLOOKUP(B224,Pricelist!A:D,2,FALSE)),"",VLOOKUP(B224,Pricelist!A:D,3,FALSE))</f>
        <v/>
      </c>
    </row>
    <row r="225" spans="1:4">
      <c r="B225" s="270"/>
      <c r="C225" s="369" t="str">
        <f>IF(ISNA(VLOOKUP(B225,Pricelist!A:D,2,FALSE)),"",VLOOKUP(B225,Pricelist!A:D,2,FALSE))</f>
        <v/>
      </c>
      <c r="D225" s="134" t="str">
        <f>IF(ISNA(VLOOKUP(B225,Pricelist!A:D,2,FALSE)),"",VLOOKUP(B225,Pricelist!A:D,3,FALSE))</f>
        <v/>
      </c>
    </row>
    <row r="226" spans="1:4">
      <c r="B226" s="270"/>
      <c r="C226" s="369" t="str">
        <f>IF(ISNA(VLOOKUP(B226,Pricelist!A:D,2,FALSE)),"",VLOOKUP(B226,Pricelist!A:D,2,FALSE))</f>
        <v/>
      </c>
      <c r="D226" s="134" t="str">
        <f>IF(ISNA(VLOOKUP(B226,Pricelist!A:D,2,FALSE)),"",VLOOKUP(B226,Pricelist!A:D,3,FALSE))</f>
        <v/>
      </c>
    </row>
    <row r="227" spans="1:4">
      <c r="B227" s="270"/>
      <c r="C227" s="369" t="str">
        <f>IF(ISNA(VLOOKUP(B227,Pricelist!A:D,2,FALSE)),"",VLOOKUP(B227,Pricelist!A:D,2,FALSE))</f>
        <v/>
      </c>
      <c r="D227" s="134" t="str">
        <f>IF(ISNA(VLOOKUP(B227,Pricelist!A:D,2,FALSE)),"",VLOOKUP(B227,Pricelist!A:D,3,FALSE))</f>
        <v/>
      </c>
    </row>
    <row r="228" spans="1:4">
      <c r="B228" s="270"/>
      <c r="C228" s="369" t="str">
        <f>IF(ISNA(VLOOKUP(B228,Pricelist!A:D,2,FALSE)),"",VLOOKUP(B228,Pricelist!A:D,2,FALSE))</f>
        <v/>
      </c>
      <c r="D228" s="134" t="str">
        <f>IF(ISNA(VLOOKUP(B228,Pricelist!A:D,2,FALSE)),"",VLOOKUP(B228,Pricelist!A:D,3,FALSE))</f>
        <v/>
      </c>
    </row>
    <row r="229" spans="1:4">
      <c r="B229" s="270"/>
      <c r="C229" s="369" t="str">
        <f>IF(ISNA(VLOOKUP(B229,Pricelist!A:D,2,FALSE)),"",VLOOKUP(B229,Pricelist!A:D,2,FALSE))</f>
        <v/>
      </c>
      <c r="D229" s="134" t="str">
        <f>IF(ISNA(VLOOKUP(B229,Pricelist!A:D,2,FALSE)),"",VLOOKUP(B229,Pricelist!A:D,3,FALSE))</f>
        <v/>
      </c>
    </row>
    <row r="230" spans="1:4">
      <c r="A230" s="133" t="s">
        <v>1783</v>
      </c>
      <c r="B230" s="270"/>
      <c r="C230" s="369" t="str">
        <f>IF(ISNA(VLOOKUP(B230,Pricelist!A:D,2,FALSE)),"",VLOOKUP(B230,Pricelist!A:D,2,FALSE))</f>
        <v/>
      </c>
      <c r="D230" s="134" t="str">
        <f>IF(ISNA(VLOOKUP(B230,Pricelist!A:D,2,FALSE)),"",VLOOKUP(B230,Pricelist!A:D,3,FALSE))</f>
        <v/>
      </c>
    </row>
    <row r="231" spans="1:4">
      <c r="B231" s="270"/>
      <c r="C231" s="369" t="str">
        <f>IF(ISNA(VLOOKUP(B231,Pricelist!A:D,2,FALSE)),"",VLOOKUP(B231,Pricelist!A:D,2,FALSE))</f>
        <v/>
      </c>
      <c r="D231" s="134" t="str">
        <f>IF(ISNA(VLOOKUP(B231,Pricelist!A:D,2,FALSE)),"",VLOOKUP(B231,Pricelist!A:D,3,FALSE))</f>
        <v/>
      </c>
    </row>
    <row r="232" spans="1:4">
      <c r="B232" s="270"/>
      <c r="C232" s="369" t="str">
        <f>IF(ISNA(VLOOKUP(B232,Pricelist!A:D,2,FALSE)),"",VLOOKUP(B232,Pricelist!A:D,2,FALSE))</f>
        <v/>
      </c>
      <c r="D232" s="134" t="str">
        <f>IF(ISNA(VLOOKUP(B232,Pricelist!A:D,2,FALSE)),"",VLOOKUP(B232,Pricelist!A:D,3,FALSE))</f>
        <v/>
      </c>
    </row>
    <row r="233" spans="1:4">
      <c r="B233" s="270"/>
      <c r="C233" s="369" t="str">
        <f>IF(ISNA(VLOOKUP(B233,Pricelist!A:D,2,FALSE)),"",VLOOKUP(B233,Pricelist!A:D,2,FALSE))</f>
        <v/>
      </c>
      <c r="D233" s="134" t="str">
        <f>IF(ISNA(VLOOKUP(B233,Pricelist!A:D,2,FALSE)),"",VLOOKUP(B233,Pricelist!A:D,3,FALSE))</f>
        <v/>
      </c>
    </row>
    <row r="234" spans="1:4">
      <c r="B234" s="270"/>
      <c r="C234" s="369" t="str">
        <f>IF(ISNA(VLOOKUP(B234,Pricelist!A:D,2,FALSE)),"",VLOOKUP(B234,Pricelist!A:D,2,FALSE))</f>
        <v/>
      </c>
      <c r="D234" s="134" t="str">
        <f>IF(ISNA(VLOOKUP(B234,Pricelist!A:D,2,FALSE)),"",VLOOKUP(B234,Pricelist!A:D,3,FALSE))</f>
        <v/>
      </c>
    </row>
    <row r="235" spans="1:4">
      <c r="B235" s="270"/>
      <c r="C235" s="369" t="str">
        <f>IF(ISNA(VLOOKUP(B235,Pricelist!A:D,2,FALSE)),"",VLOOKUP(B235,Pricelist!A:D,2,FALSE))</f>
        <v/>
      </c>
      <c r="D235" s="134" t="str">
        <f>IF(ISNA(VLOOKUP(B235,Pricelist!A:D,2,FALSE)),"",VLOOKUP(B235,Pricelist!A:D,3,FALSE))</f>
        <v/>
      </c>
    </row>
    <row r="236" spans="1:4">
      <c r="B236" s="270"/>
      <c r="C236" s="369" t="str">
        <f>IF(ISNA(VLOOKUP(B236,Pricelist!A:D,2,FALSE)),"",VLOOKUP(B236,Pricelist!A:D,2,FALSE))</f>
        <v/>
      </c>
      <c r="D236" s="134" t="str">
        <f>IF(ISNA(VLOOKUP(B236,Pricelist!A:D,2,FALSE)),"",VLOOKUP(B236,Pricelist!A:D,3,FALSE))</f>
        <v/>
      </c>
    </row>
    <row r="237" spans="1:4">
      <c r="B237" s="270"/>
      <c r="C237" s="369" t="str">
        <f>IF(ISNA(VLOOKUP(B237,Pricelist!A:D,2,FALSE)),"",VLOOKUP(B237,Pricelist!A:D,2,FALSE))</f>
        <v/>
      </c>
      <c r="D237" s="134" t="str">
        <f>IF(ISNA(VLOOKUP(B237,Pricelist!A:D,2,FALSE)),"",VLOOKUP(B237,Pricelist!A:D,3,FALSE))</f>
        <v/>
      </c>
    </row>
    <row r="238" spans="1:4">
      <c r="B238" s="270"/>
      <c r="C238" s="369" t="str">
        <f>IF(ISNA(VLOOKUP(B238,Pricelist!A:D,2,FALSE)),"",VLOOKUP(B238,Pricelist!A:D,2,FALSE))</f>
        <v/>
      </c>
      <c r="D238" s="134" t="str">
        <f>IF(ISNA(VLOOKUP(B238,Pricelist!A:D,2,FALSE)),"",VLOOKUP(B238,Pricelist!A:D,3,FALSE))</f>
        <v/>
      </c>
    </row>
    <row r="239" spans="1:4">
      <c r="B239" s="270"/>
      <c r="C239" s="369" t="str">
        <f>IF(ISNA(VLOOKUP(B239,Pricelist!A:D,2,FALSE)),"",VLOOKUP(B239,Pricelist!A:D,2,FALSE))</f>
        <v/>
      </c>
      <c r="D239" s="134" t="str">
        <f>IF(ISNA(VLOOKUP(B239,Pricelist!A:D,2,FALSE)),"",VLOOKUP(B239,Pricelist!A:D,3,FALSE))</f>
        <v/>
      </c>
    </row>
    <row r="240" spans="1:4">
      <c r="B240" s="270"/>
      <c r="C240" s="369" t="str">
        <f>IF(ISNA(VLOOKUP(B240,Pricelist!A:D,2,FALSE)),"",VLOOKUP(B240,Pricelist!A:D,2,FALSE))</f>
        <v/>
      </c>
      <c r="D240" s="134" t="str">
        <f>IF(ISNA(VLOOKUP(B240,Pricelist!A:D,2,FALSE)),"",VLOOKUP(B240,Pricelist!A:D,3,FALSE))</f>
        <v/>
      </c>
    </row>
    <row r="241" spans="2:4">
      <c r="B241" s="270"/>
      <c r="C241" s="369" t="str">
        <f>IF(ISNA(VLOOKUP(B241,Pricelist!A:D,2,FALSE)),"",VLOOKUP(B241,Pricelist!A:D,2,FALSE))</f>
        <v/>
      </c>
      <c r="D241" s="134" t="str">
        <f>IF(ISNA(VLOOKUP(B241,Pricelist!A:D,2,FALSE)),"",VLOOKUP(B241,Pricelist!A:D,3,FALSE))</f>
        <v/>
      </c>
    </row>
    <row r="242" spans="2:4">
      <c r="B242" s="270"/>
      <c r="C242" s="369" t="str">
        <f>IF(ISNA(VLOOKUP(B242,Pricelist!A:D,2,FALSE)),"",VLOOKUP(B242,Pricelist!A:D,2,FALSE))</f>
        <v/>
      </c>
      <c r="D242" s="134" t="str">
        <f>IF(ISNA(VLOOKUP(B242,Pricelist!A:D,2,FALSE)),"",VLOOKUP(B242,Pricelist!A:D,3,FALSE))</f>
        <v/>
      </c>
    </row>
    <row r="243" spans="2:4">
      <c r="B243" s="270"/>
      <c r="C243" s="369" t="str">
        <f>IF(ISNA(VLOOKUP(B243,Pricelist!A:D,2,FALSE)),"",VLOOKUP(B243,Pricelist!A:D,2,FALSE))</f>
        <v/>
      </c>
      <c r="D243" s="134" t="str">
        <f>IF(ISNA(VLOOKUP(B243,Pricelist!A:D,2,FALSE)),"",VLOOKUP(B243,Pricelist!A:D,3,FALSE))</f>
        <v/>
      </c>
    </row>
    <row r="244" spans="2:4">
      <c r="B244" s="270"/>
      <c r="C244" s="369" t="str">
        <f>IF(ISNA(VLOOKUP(B244,Pricelist!A:D,2,FALSE)),"",VLOOKUP(B244,Pricelist!A:D,2,FALSE))</f>
        <v/>
      </c>
      <c r="D244" s="134" t="str">
        <f>IF(ISNA(VLOOKUP(B244,Pricelist!A:D,2,FALSE)),"",VLOOKUP(B244,Pricelist!A:D,3,FALSE))</f>
        <v/>
      </c>
    </row>
    <row r="245" spans="2:4">
      <c r="B245" s="270"/>
      <c r="C245" s="369" t="str">
        <f>IF(ISNA(VLOOKUP(B245,Pricelist!A:D,2,FALSE)),"",VLOOKUP(B245,Pricelist!A:D,2,FALSE))</f>
        <v/>
      </c>
      <c r="D245" s="134" t="str">
        <f>IF(ISNA(VLOOKUP(B245,Pricelist!A:D,2,FALSE)),"",VLOOKUP(B245,Pricelist!A:D,3,FALSE))</f>
        <v/>
      </c>
    </row>
    <row r="246" spans="2:4">
      <c r="B246" s="270"/>
      <c r="C246" s="369" t="str">
        <f>IF(ISNA(VLOOKUP(B246,Pricelist!A:D,2,FALSE)),"",VLOOKUP(B246,Pricelist!A:D,2,FALSE))</f>
        <v/>
      </c>
      <c r="D246" s="134" t="str">
        <f>IF(ISNA(VLOOKUP(B246,Pricelist!A:D,2,FALSE)),"",VLOOKUP(B246,Pricelist!A:D,3,FALSE))</f>
        <v/>
      </c>
    </row>
    <row r="247" spans="2:4">
      <c r="B247" s="270"/>
      <c r="C247" s="369" t="str">
        <f>IF(ISNA(VLOOKUP(B247,Pricelist!A:D,2,FALSE)),"",VLOOKUP(B247,Pricelist!A:D,2,FALSE))</f>
        <v/>
      </c>
      <c r="D247" s="134" t="str">
        <f>IF(ISNA(VLOOKUP(B247,Pricelist!A:D,2,FALSE)),"",VLOOKUP(B247,Pricelist!A:D,3,FALSE))</f>
        <v/>
      </c>
    </row>
    <row r="248" spans="2:4">
      <c r="B248" s="270"/>
      <c r="C248" s="369" t="str">
        <f>IF(ISNA(VLOOKUP(B248,Pricelist!A:D,2,FALSE)),"",VLOOKUP(B248,Pricelist!A:D,2,FALSE))</f>
        <v/>
      </c>
      <c r="D248" s="134" t="str">
        <f>IF(ISNA(VLOOKUP(B248,Pricelist!A:D,2,FALSE)),"",VLOOKUP(B248,Pricelist!A:D,3,FALSE))</f>
        <v/>
      </c>
    </row>
    <row r="249" spans="2:4">
      <c r="B249" s="270"/>
      <c r="C249" s="369" t="str">
        <f>IF(ISNA(VLOOKUP(B249,Pricelist!A:D,2,FALSE)),"",VLOOKUP(B249,Pricelist!A:D,2,FALSE))</f>
        <v/>
      </c>
      <c r="D249" s="134" t="str">
        <f>IF(ISNA(VLOOKUP(B249,Pricelist!A:D,2,FALSE)),"",VLOOKUP(B249,Pricelist!A:D,3,FALSE))</f>
        <v/>
      </c>
    </row>
    <row r="250" spans="2:4">
      <c r="B250" s="270"/>
      <c r="C250" s="369" t="str">
        <f>IF(ISNA(VLOOKUP(B250,Pricelist!A:D,2,FALSE)),"",VLOOKUP(B250,Pricelist!A:D,2,FALSE))</f>
        <v/>
      </c>
      <c r="D250" s="134" t="str">
        <f>IF(ISNA(VLOOKUP(B250,Pricelist!A:D,2,FALSE)),"",VLOOKUP(B250,Pricelist!A:D,3,FALSE))</f>
        <v/>
      </c>
    </row>
    <row r="251" spans="2:4">
      <c r="B251" s="270"/>
      <c r="C251" s="369" t="str">
        <f>IF(ISNA(VLOOKUP(B251,Pricelist!A:D,2,FALSE)),"",VLOOKUP(B251,Pricelist!A:D,2,FALSE))</f>
        <v/>
      </c>
      <c r="D251" s="134" t="str">
        <f>IF(ISNA(VLOOKUP(B251,Pricelist!A:D,2,FALSE)),"",VLOOKUP(B251,Pricelist!A:D,3,FALSE))</f>
        <v/>
      </c>
    </row>
    <row r="252" spans="2:4">
      <c r="B252" s="270"/>
      <c r="C252" s="369" t="str">
        <f>IF(ISNA(VLOOKUP(B252,Pricelist!A:D,2,FALSE)),"",VLOOKUP(B252,Pricelist!A:D,2,FALSE))</f>
        <v/>
      </c>
      <c r="D252" s="134" t="str">
        <f>IF(ISNA(VLOOKUP(B252,Pricelist!A:D,2,FALSE)),"",VLOOKUP(B252,Pricelist!A:D,3,FALSE))</f>
        <v/>
      </c>
    </row>
    <row r="253" spans="2:4">
      <c r="B253" s="270"/>
      <c r="C253" s="369" t="str">
        <f>IF(ISNA(VLOOKUP(B253,Pricelist!A:D,2,FALSE)),"",VLOOKUP(B253,Pricelist!A:D,2,FALSE))</f>
        <v/>
      </c>
      <c r="D253" s="134" t="str">
        <f>IF(ISNA(VLOOKUP(B253,Pricelist!A:D,2,FALSE)),"",VLOOKUP(B253,Pricelist!A:D,3,FALSE))</f>
        <v/>
      </c>
    </row>
    <row r="254" spans="2:4">
      <c r="B254" s="270"/>
      <c r="C254" s="369" t="str">
        <f>IF(ISNA(VLOOKUP(B254,Pricelist!A:D,2,FALSE)),"",VLOOKUP(B254,Pricelist!A:D,2,FALSE))</f>
        <v/>
      </c>
      <c r="D254" s="134" t="str">
        <f>IF(ISNA(VLOOKUP(B254,Pricelist!A:D,2,FALSE)),"",VLOOKUP(B254,Pricelist!A:D,3,FALSE))</f>
        <v/>
      </c>
    </row>
    <row r="255" spans="2:4">
      <c r="B255" s="270"/>
      <c r="C255" s="369" t="str">
        <f>IF(ISNA(VLOOKUP(B255,Pricelist!A:D,2,FALSE)),"",VLOOKUP(B255,Pricelist!A:D,2,FALSE))</f>
        <v/>
      </c>
      <c r="D255" s="134" t="str">
        <f>IF(ISNA(VLOOKUP(B255,Pricelist!A:D,2,FALSE)),"",VLOOKUP(B255,Pricelist!A:D,3,FALSE))</f>
        <v/>
      </c>
    </row>
    <row r="256" spans="2:4">
      <c r="B256" s="270"/>
      <c r="C256" s="369" t="str">
        <f>IF(ISNA(VLOOKUP(B256,Pricelist!A:D,2,FALSE)),"",VLOOKUP(B256,Pricelist!A:D,2,FALSE))</f>
        <v/>
      </c>
      <c r="D256" s="134" t="str">
        <f>IF(ISNA(VLOOKUP(B256,Pricelist!A:D,2,FALSE)),"",VLOOKUP(B256,Pricelist!A:D,3,FALSE))</f>
        <v/>
      </c>
    </row>
    <row r="257" spans="2:4">
      <c r="B257" s="270"/>
      <c r="C257" s="369" t="str">
        <f>IF(ISNA(VLOOKUP(B257,Pricelist!A:D,2,FALSE)),"",VLOOKUP(B257,Pricelist!A:D,2,FALSE))</f>
        <v/>
      </c>
      <c r="D257" s="134" t="str">
        <f>IF(ISNA(VLOOKUP(B257,Pricelist!A:D,2,FALSE)),"",VLOOKUP(B257,Pricelist!A:D,3,FALSE))</f>
        <v/>
      </c>
    </row>
    <row r="258" spans="2:4">
      <c r="B258" s="270"/>
      <c r="C258" s="369" t="str">
        <f>IF(ISNA(VLOOKUP(B258,Pricelist!A:D,2,FALSE)),"",VLOOKUP(B258,Pricelist!A:D,2,FALSE))</f>
        <v/>
      </c>
      <c r="D258" s="134" t="str">
        <f>IF(ISNA(VLOOKUP(B258,Pricelist!A:D,2,FALSE)),"",VLOOKUP(B258,Pricelist!A:D,3,FALSE))</f>
        <v/>
      </c>
    </row>
    <row r="259" spans="2:4">
      <c r="B259" s="270"/>
      <c r="C259" s="369" t="str">
        <f>IF(ISNA(VLOOKUP(B259,Pricelist!A:D,2,FALSE)),"",VLOOKUP(B259,Pricelist!A:D,2,FALSE))</f>
        <v/>
      </c>
      <c r="D259" s="134" t="str">
        <f>IF(ISNA(VLOOKUP(B259,Pricelist!A:D,2,FALSE)),"",VLOOKUP(B259,Pricelist!A:D,3,FALSE))</f>
        <v/>
      </c>
    </row>
    <row r="260" spans="2:4">
      <c r="B260" s="270"/>
      <c r="C260" s="369" t="str">
        <f>IF(ISNA(VLOOKUP(B260,Pricelist!A:D,2,FALSE)),"",VLOOKUP(B260,Pricelist!A:D,2,FALSE))</f>
        <v/>
      </c>
      <c r="D260" s="134" t="str">
        <f>IF(ISNA(VLOOKUP(B260,Pricelist!A:D,2,FALSE)),"",VLOOKUP(B260,Pricelist!A:D,3,FALSE))</f>
        <v/>
      </c>
    </row>
    <row r="261" spans="2:4">
      <c r="B261" s="270"/>
      <c r="C261" s="369" t="str">
        <f>IF(ISNA(VLOOKUP(B261,Pricelist!A:D,2,FALSE)),"",VLOOKUP(B261,Pricelist!A:D,2,FALSE))</f>
        <v/>
      </c>
      <c r="D261" s="134" t="str">
        <f>IF(ISNA(VLOOKUP(B261,Pricelist!A:D,2,FALSE)),"",VLOOKUP(B261,Pricelist!A:D,3,FALSE))</f>
        <v/>
      </c>
    </row>
    <row r="262" spans="2:4">
      <c r="B262" s="270"/>
      <c r="C262" s="369" t="str">
        <f>IF(ISNA(VLOOKUP(B262,Pricelist!A:D,2,FALSE)),"",VLOOKUP(B262,Pricelist!A:D,2,FALSE))</f>
        <v/>
      </c>
      <c r="D262" s="134" t="str">
        <f>IF(ISNA(VLOOKUP(B262,Pricelist!A:D,2,FALSE)),"",VLOOKUP(B262,Pricelist!A:D,3,FALSE))</f>
        <v/>
      </c>
    </row>
    <row r="263" spans="2:4">
      <c r="B263" s="270"/>
      <c r="C263" s="369" t="str">
        <f>IF(ISNA(VLOOKUP(B263,Pricelist!A:D,2,FALSE)),"",VLOOKUP(B263,Pricelist!A:D,2,FALSE))</f>
        <v/>
      </c>
      <c r="D263" s="134" t="str">
        <f>IF(ISNA(VLOOKUP(B263,Pricelist!A:D,2,FALSE)),"",VLOOKUP(B263,Pricelist!A:D,3,FALSE))</f>
        <v/>
      </c>
    </row>
    <row r="264" spans="2:4">
      <c r="B264" s="270"/>
      <c r="C264" s="369" t="str">
        <f>IF(ISNA(VLOOKUP(B264,Pricelist!A:D,2,FALSE)),"",VLOOKUP(B264,Pricelist!A:D,2,FALSE))</f>
        <v/>
      </c>
      <c r="D264" s="134" t="str">
        <f>IF(ISNA(VLOOKUP(B264,Pricelist!A:D,2,FALSE)),"",VLOOKUP(B264,Pricelist!A:D,3,FALSE))</f>
        <v/>
      </c>
    </row>
    <row r="265" spans="2:4">
      <c r="B265" s="270"/>
      <c r="C265" s="369" t="str">
        <f>IF(ISNA(VLOOKUP(B265,Pricelist!A:D,2,FALSE)),"",VLOOKUP(B265,Pricelist!A:D,2,FALSE))</f>
        <v/>
      </c>
      <c r="D265" s="134" t="str">
        <f>IF(ISNA(VLOOKUP(B265,Pricelist!A:D,2,FALSE)),"",VLOOKUP(B265,Pricelist!A:D,3,FALSE))</f>
        <v/>
      </c>
    </row>
    <row r="266" spans="2:4">
      <c r="B266" s="270"/>
      <c r="C266" s="369" t="str">
        <f>IF(ISNA(VLOOKUP(B266,Pricelist!A:D,2,FALSE)),"",VLOOKUP(B266,Pricelist!A:D,2,FALSE))</f>
        <v/>
      </c>
      <c r="D266" s="134" t="str">
        <f>IF(ISNA(VLOOKUP(B266,Pricelist!A:D,2,FALSE)),"",VLOOKUP(B266,Pricelist!A:D,3,FALSE))</f>
        <v/>
      </c>
    </row>
    <row r="267" spans="2:4">
      <c r="B267" s="270"/>
      <c r="C267" s="369" t="str">
        <f>IF(ISNA(VLOOKUP(B267,Pricelist!A:D,2,FALSE)),"",VLOOKUP(B267,Pricelist!A:D,2,FALSE))</f>
        <v/>
      </c>
      <c r="D267" s="134" t="str">
        <f>IF(ISNA(VLOOKUP(B267,Pricelist!A:D,2,FALSE)),"",VLOOKUP(B267,Pricelist!A:D,3,FALSE))</f>
        <v/>
      </c>
    </row>
    <row r="268" spans="2:4">
      <c r="B268" s="270"/>
      <c r="C268" s="369" t="str">
        <f>IF(ISNA(VLOOKUP(B268,Pricelist!A:D,2,FALSE)),"",VLOOKUP(B268,Pricelist!A:D,2,FALSE))</f>
        <v/>
      </c>
      <c r="D268" s="134" t="str">
        <f>IF(ISNA(VLOOKUP(B268,Pricelist!A:D,2,FALSE)),"",VLOOKUP(B268,Pricelist!A:D,3,FALSE))</f>
        <v/>
      </c>
    </row>
    <row r="269" spans="2:4">
      <c r="B269" s="270"/>
      <c r="C269" s="369" t="str">
        <f>IF(ISNA(VLOOKUP(B269,Pricelist!A:D,2,FALSE)),"",VLOOKUP(B269,Pricelist!A:D,2,FALSE))</f>
        <v/>
      </c>
      <c r="D269" s="134" t="str">
        <f>IF(ISNA(VLOOKUP(B269,Pricelist!A:D,2,FALSE)),"",VLOOKUP(B269,Pricelist!A:D,3,FALSE))</f>
        <v/>
      </c>
    </row>
    <row r="270" spans="2:4">
      <c r="B270" s="270"/>
      <c r="C270" s="369" t="str">
        <f>IF(ISNA(VLOOKUP(B270,Pricelist!A:D,2,FALSE)),"",VLOOKUP(B270,Pricelist!A:D,2,FALSE))</f>
        <v/>
      </c>
      <c r="D270" s="134" t="str">
        <f>IF(ISNA(VLOOKUP(B270,Pricelist!A:D,2,FALSE)),"",VLOOKUP(B270,Pricelist!A:D,3,FALSE))</f>
        <v/>
      </c>
    </row>
    <row r="271" spans="2:4">
      <c r="B271" s="270"/>
      <c r="C271" s="369" t="str">
        <f>IF(ISNA(VLOOKUP(B271,Pricelist!A:D,2,FALSE)),"",VLOOKUP(B271,Pricelist!A:D,2,FALSE))</f>
        <v/>
      </c>
      <c r="D271" s="134" t="str">
        <f>IF(ISNA(VLOOKUP(B271,Pricelist!A:D,2,FALSE)),"",VLOOKUP(B271,Pricelist!A:D,3,FALSE))</f>
        <v/>
      </c>
    </row>
    <row r="272" spans="2:4">
      <c r="B272" s="270"/>
      <c r="C272" s="369" t="str">
        <f>IF(ISNA(VLOOKUP(B272,Pricelist!A:D,2,FALSE)),"",VLOOKUP(B272,Pricelist!A:D,2,FALSE))</f>
        <v/>
      </c>
      <c r="D272" s="134" t="str">
        <f>IF(ISNA(VLOOKUP(B272,Pricelist!A:D,2,FALSE)),"",VLOOKUP(B272,Pricelist!A:D,3,FALSE))</f>
        <v/>
      </c>
    </row>
    <row r="273" spans="2:4">
      <c r="B273" s="270"/>
      <c r="C273" s="369" t="str">
        <f>IF(ISNA(VLOOKUP(B273,Pricelist!A:D,2,FALSE)),"",VLOOKUP(B273,Pricelist!A:D,2,FALSE))</f>
        <v/>
      </c>
      <c r="D273" s="134" t="str">
        <f>IF(ISNA(VLOOKUP(B273,Pricelist!A:D,2,FALSE)),"",VLOOKUP(B273,Pricelist!A:D,3,FALSE))</f>
        <v/>
      </c>
    </row>
    <row r="274" spans="2:4">
      <c r="B274" s="270"/>
      <c r="C274" s="369" t="str">
        <f>IF(ISNA(VLOOKUP(B274,Pricelist!A:D,2,FALSE)),"",VLOOKUP(B274,Pricelist!A:D,2,FALSE))</f>
        <v/>
      </c>
      <c r="D274" s="134" t="str">
        <f>IF(ISNA(VLOOKUP(B274,Pricelist!A:D,2,FALSE)),"",VLOOKUP(B274,Pricelist!A:D,3,FALSE))</f>
        <v/>
      </c>
    </row>
    <row r="275" spans="2:4">
      <c r="B275" s="270"/>
      <c r="C275" s="369" t="str">
        <f>IF(ISNA(VLOOKUP(B275,Pricelist!A:D,2,FALSE)),"",VLOOKUP(B275,Pricelist!A:D,2,FALSE))</f>
        <v/>
      </c>
      <c r="D275" s="134" t="str">
        <f>IF(ISNA(VLOOKUP(B275,Pricelist!A:D,2,FALSE)),"",VLOOKUP(B275,Pricelist!A:D,3,FALSE))</f>
        <v/>
      </c>
    </row>
    <row r="276" spans="2:4">
      <c r="B276" s="270"/>
      <c r="C276" s="369" t="str">
        <f>IF(ISNA(VLOOKUP(B276,Pricelist!A:D,2,FALSE)),"",VLOOKUP(B276,Pricelist!A:D,2,FALSE))</f>
        <v/>
      </c>
      <c r="D276" s="134" t="str">
        <f>IF(ISNA(VLOOKUP(B276,Pricelist!A:D,2,FALSE)),"",VLOOKUP(B276,Pricelist!A:D,3,FALSE))</f>
        <v/>
      </c>
    </row>
    <row r="277" spans="2:4">
      <c r="B277" s="270"/>
      <c r="C277" s="369" t="str">
        <f>IF(ISNA(VLOOKUP(B277,Pricelist!A:D,2,FALSE)),"",VLOOKUP(B277,Pricelist!A:D,2,FALSE))</f>
        <v/>
      </c>
      <c r="D277" s="134" t="str">
        <f>IF(ISNA(VLOOKUP(B277,Pricelist!A:D,2,FALSE)),"",VLOOKUP(B277,Pricelist!A:D,3,FALSE))</f>
        <v/>
      </c>
    </row>
    <row r="278" spans="2:4">
      <c r="B278" s="270"/>
      <c r="C278" s="369" t="str">
        <f>IF(ISNA(VLOOKUP(B278,Pricelist!A:D,2,FALSE)),"",VLOOKUP(B278,Pricelist!A:D,2,FALSE))</f>
        <v/>
      </c>
      <c r="D278" s="134" t="str">
        <f>IF(ISNA(VLOOKUP(B278,Pricelist!A:D,2,FALSE)),"",VLOOKUP(B278,Pricelist!A:D,3,FALSE))</f>
        <v/>
      </c>
    </row>
    <row r="279" spans="2:4">
      <c r="B279" s="270"/>
      <c r="C279" s="369" t="str">
        <f>IF(ISNA(VLOOKUP(B279,Pricelist!A:D,2,FALSE)),"",VLOOKUP(B279,Pricelist!A:D,2,FALSE))</f>
        <v/>
      </c>
      <c r="D279" s="134" t="str">
        <f>IF(ISNA(VLOOKUP(B279,Pricelist!A:D,2,FALSE)),"",VLOOKUP(B279,Pricelist!A:D,3,FALSE))</f>
        <v/>
      </c>
    </row>
    <row r="280" spans="2:4">
      <c r="B280" s="270"/>
      <c r="C280" s="369" t="str">
        <f>IF(ISNA(VLOOKUP(B280,Pricelist!A:D,2,FALSE)),"",VLOOKUP(B280,Pricelist!A:D,2,FALSE))</f>
        <v/>
      </c>
      <c r="D280" s="134" t="str">
        <f>IF(ISNA(VLOOKUP(B280,Pricelist!A:D,2,FALSE)),"",VLOOKUP(B280,Pricelist!A:D,3,FALSE))</f>
        <v/>
      </c>
    </row>
    <row r="281" spans="2:4">
      <c r="B281" s="270"/>
      <c r="C281" s="369" t="str">
        <f>IF(ISNA(VLOOKUP(B281,Pricelist!A:D,2,FALSE)),"",VLOOKUP(B281,Pricelist!A:D,2,FALSE))</f>
        <v/>
      </c>
      <c r="D281" s="134" t="str">
        <f>IF(ISNA(VLOOKUP(B281,Pricelist!A:D,2,FALSE)),"",VLOOKUP(B281,Pricelist!A:D,3,FALSE))</f>
        <v/>
      </c>
    </row>
    <row r="282" spans="2:4">
      <c r="B282" s="270"/>
      <c r="C282" s="369" t="str">
        <f>IF(ISNA(VLOOKUP(B282,Pricelist!A:D,2,FALSE)),"",VLOOKUP(B282,Pricelist!A:D,2,FALSE))</f>
        <v/>
      </c>
      <c r="D282" s="134" t="str">
        <f>IF(ISNA(VLOOKUP(B282,Pricelist!A:D,2,FALSE)),"",VLOOKUP(B282,Pricelist!A:D,3,FALSE))</f>
        <v/>
      </c>
    </row>
    <row r="283" spans="2:4">
      <c r="B283" s="270"/>
      <c r="C283" s="369" t="str">
        <f>IF(ISNA(VLOOKUP(B283,Pricelist!A:D,2,FALSE)),"",VLOOKUP(B283,Pricelist!A:D,2,FALSE))</f>
        <v/>
      </c>
      <c r="D283" s="134" t="str">
        <f>IF(ISNA(VLOOKUP(B283,Pricelist!A:D,2,FALSE)),"",VLOOKUP(B283,Pricelist!A:D,3,FALSE))</f>
        <v/>
      </c>
    </row>
    <row r="284" spans="2:4">
      <c r="B284" s="270"/>
      <c r="C284" s="369" t="str">
        <f>IF(ISNA(VLOOKUP(B284,Pricelist!A:D,2,FALSE)),"",VLOOKUP(B284,Pricelist!A:D,2,FALSE))</f>
        <v/>
      </c>
      <c r="D284" s="134" t="str">
        <f>IF(ISNA(VLOOKUP(B284,Pricelist!A:D,2,FALSE)),"",VLOOKUP(B284,Pricelist!A:D,3,FALSE))</f>
        <v/>
      </c>
    </row>
    <row r="285" spans="2:4">
      <c r="B285" s="270"/>
      <c r="C285" s="369" t="str">
        <f>IF(ISNA(VLOOKUP(B285,Pricelist!A:D,2,FALSE)),"",VLOOKUP(B285,Pricelist!A:D,2,FALSE))</f>
        <v/>
      </c>
      <c r="D285" s="134" t="str">
        <f>IF(ISNA(VLOOKUP(B285,Pricelist!A:D,2,FALSE)),"",VLOOKUP(B285,Pricelist!A:D,3,FALSE))</f>
        <v/>
      </c>
    </row>
    <row r="286" spans="2:4">
      <c r="B286" s="270"/>
      <c r="C286" s="369" t="str">
        <f>IF(ISNA(VLOOKUP(B286,Pricelist!A:D,2,FALSE)),"",VLOOKUP(B286,Pricelist!A:D,2,FALSE))</f>
        <v/>
      </c>
      <c r="D286" s="134" t="str">
        <f>IF(ISNA(VLOOKUP(B286,Pricelist!A:D,2,FALSE)),"",VLOOKUP(B286,Pricelist!A:D,3,FALSE))</f>
        <v/>
      </c>
    </row>
    <row r="287" spans="2:4">
      <c r="B287" s="270"/>
      <c r="C287" s="369" t="str">
        <f>IF(ISNA(VLOOKUP(B287,Pricelist!A:D,2,FALSE)),"",VLOOKUP(B287,Pricelist!A:D,2,FALSE))</f>
        <v/>
      </c>
      <c r="D287" s="134" t="str">
        <f>IF(ISNA(VLOOKUP(B287,Pricelist!A:D,2,FALSE)),"",VLOOKUP(B287,Pricelist!A:D,3,FALSE))</f>
        <v/>
      </c>
    </row>
    <row r="288" spans="2:4">
      <c r="B288" s="270"/>
      <c r="C288" s="369" t="str">
        <f>IF(ISNA(VLOOKUP(B288,Pricelist!A:D,2,FALSE)),"",VLOOKUP(B288,Pricelist!A:D,2,FALSE))</f>
        <v/>
      </c>
      <c r="D288" s="134" t="str">
        <f>IF(ISNA(VLOOKUP(B288,Pricelist!A:D,2,FALSE)),"",VLOOKUP(B288,Pricelist!A:D,3,FALSE))</f>
        <v/>
      </c>
    </row>
    <row r="289" spans="1:4">
      <c r="B289" s="270"/>
      <c r="C289" s="369" t="str">
        <f>IF(ISNA(VLOOKUP(B289,Pricelist!A:D,2,FALSE)),"",VLOOKUP(B289,Pricelist!A:D,2,FALSE))</f>
        <v/>
      </c>
      <c r="D289" s="134" t="str">
        <f>IF(ISNA(VLOOKUP(B289,Pricelist!A:D,2,FALSE)),"",VLOOKUP(B289,Pricelist!A:D,3,FALSE))</f>
        <v/>
      </c>
    </row>
    <row r="290" spans="1:4">
      <c r="B290" s="270"/>
      <c r="C290" s="369" t="str">
        <f>IF(ISNA(VLOOKUP(B290,Pricelist!A:D,2,FALSE)),"",VLOOKUP(B290,Pricelist!A:D,2,FALSE))</f>
        <v/>
      </c>
      <c r="D290" s="134" t="str">
        <f>IF(ISNA(VLOOKUP(B290,Pricelist!A:D,2,FALSE)),"",VLOOKUP(B290,Pricelist!A:D,3,FALSE))</f>
        <v/>
      </c>
    </row>
    <row r="291" spans="1:4">
      <c r="B291" s="270"/>
      <c r="C291" s="369" t="str">
        <f>IF(ISNA(VLOOKUP(B291,Pricelist!A:D,2,FALSE)),"",VLOOKUP(B291,Pricelist!A:D,2,FALSE))</f>
        <v/>
      </c>
      <c r="D291" s="134" t="str">
        <f>IF(ISNA(VLOOKUP(B291,Pricelist!A:D,2,FALSE)),"",VLOOKUP(B291,Pricelist!A:D,3,FALSE))</f>
        <v/>
      </c>
    </row>
    <row r="292" spans="1:4">
      <c r="B292" s="270"/>
      <c r="C292" s="369" t="str">
        <f>IF(ISNA(VLOOKUP(B292,Pricelist!A:D,2,FALSE)),"",VLOOKUP(B292,Pricelist!A:D,2,FALSE))</f>
        <v/>
      </c>
      <c r="D292" s="134" t="str">
        <f>IF(ISNA(VLOOKUP(B292,Pricelist!A:D,2,FALSE)),"",VLOOKUP(B292,Pricelist!A:D,3,FALSE))</f>
        <v/>
      </c>
    </row>
    <row r="293" spans="1:4">
      <c r="B293" s="270"/>
      <c r="C293" s="369" t="str">
        <f>IF(ISNA(VLOOKUP(B293,Pricelist!A:D,2,FALSE)),"",VLOOKUP(B293,Pricelist!A:D,2,FALSE))</f>
        <v/>
      </c>
      <c r="D293" s="134" t="str">
        <f>IF(ISNA(VLOOKUP(B293,Pricelist!A:D,2,FALSE)),"",VLOOKUP(B293,Pricelist!A:D,3,FALSE))</f>
        <v/>
      </c>
    </row>
    <row r="294" spans="1:4">
      <c r="B294" s="270"/>
      <c r="C294" s="369" t="str">
        <f>IF(ISNA(VLOOKUP(B294,Pricelist!A:D,2,FALSE)),"",VLOOKUP(B294,Pricelist!A:D,2,FALSE))</f>
        <v/>
      </c>
      <c r="D294" s="134" t="str">
        <f>IF(ISNA(VLOOKUP(B294,Pricelist!A:D,2,FALSE)),"",VLOOKUP(B294,Pricelist!A:D,3,FALSE))</f>
        <v/>
      </c>
    </row>
    <row r="295" spans="1:4">
      <c r="B295" s="270"/>
      <c r="C295" s="369" t="str">
        <f>IF(ISNA(VLOOKUP(B295,Pricelist!A:D,2,FALSE)),"",VLOOKUP(B295,Pricelist!A:D,2,FALSE))</f>
        <v/>
      </c>
      <c r="D295" s="134" t="str">
        <f>IF(ISNA(VLOOKUP(B295,Pricelist!A:D,2,FALSE)),"",VLOOKUP(B295,Pricelist!A:D,3,FALSE))</f>
        <v/>
      </c>
    </row>
    <row r="296" spans="1:4">
      <c r="B296" s="270"/>
      <c r="C296" s="369" t="str">
        <f>IF(ISNA(VLOOKUP(B296,Pricelist!A:D,2,FALSE)),"",VLOOKUP(B296,Pricelist!A:D,2,FALSE))</f>
        <v/>
      </c>
      <c r="D296" s="134" t="str">
        <f>IF(ISNA(VLOOKUP(B296,Pricelist!A:D,2,FALSE)),"",VLOOKUP(B296,Pricelist!A:D,3,FALSE))</f>
        <v/>
      </c>
    </row>
    <row r="297" spans="1:4">
      <c r="B297" s="270"/>
      <c r="C297" s="369" t="str">
        <f>IF(ISNA(VLOOKUP(B297,Pricelist!A:D,2,FALSE)),"",VLOOKUP(B297,Pricelist!A:D,2,FALSE))</f>
        <v/>
      </c>
      <c r="D297" s="134" t="str">
        <f>IF(ISNA(VLOOKUP(B297,Pricelist!A:D,2,FALSE)),"",VLOOKUP(B297,Pricelist!A:D,3,FALSE))</f>
        <v/>
      </c>
    </row>
    <row r="298" spans="1:4">
      <c r="A298" s="133" t="s">
        <v>633</v>
      </c>
      <c r="B298" s="270"/>
      <c r="C298" s="369" t="str">
        <f>IF(ISNA(VLOOKUP(B298,Pricelist!A:D,2,FALSE)),"",VLOOKUP(B298,Pricelist!A:D,2,FALSE))</f>
        <v/>
      </c>
      <c r="D298" s="134" t="str">
        <f>IF(ISNA(VLOOKUP(B298,Pricelist!A:D,2,FALSE)),"",VLOOKUP(B298,Pricelist!A:D,3,FALSE))</f>
        <v/>
      </c>
    </row>
    <row r="299" spans="1:4">
      <c r="A299" s="133">
        <f>COUNTA(B299:B356)</f>
        <v>0</v>
      </c>
      <c r="B299" s="270"/>
      <c r="C299" s="369" t="str">
        <f>IF(ISNA(VLOOKUP(B299,Pricelist!A:D,2,FALSE)),"",VLOOKUP(B299,Pricelist!A:D,2,FALSE))</f>
        <v/>
      </c>
      <c r="D299" s="134" t="str">
        <f>IF(ISNA(VLOOKUP(B299,Pricelist!A:D,2,FALSE)),"",VLOOKUP(B299,Pricelist!A:D,3,FALSE))</f>
        <v/>
      </c>
    </row>
    <row r="300" spans="1:4">
      <c r="B300" s="270"/>
      <c r="C300" s="369" t="str">
        <f>IF(ISNA(VLOOKUP(B300,Pricelist!A:D,2,FALSE)),"",VLOOKUP(B300,Pricelist!A:D,2,FALSE))</f>
        <v/>
      </c>
      <c r="D300" s="134" t="str">
        <f>IF(ISNA(VLOOKUP(B300,Pricelist!A:D,2,FALSE)),"",VLOOKUP(B300,Pricelist!A:D,3,FALSE))</f>
        <v/>
      </c>
    </row>
    <row r="301" spans="1:4">
      <c r="B301" s="270"/>
      <c r="C301" s="369" t="str">
        <f>IF(ISNA(VLOOKUP(B301,Pricelist!A:D,2,FALSE)),"",VLOOKUP(B301,Pricelist!A:D,2,FALSE))</f>
        <v/>
      </c>
      <c r="D301" s="134" t="str">
        <f>IF(ISNA(VLOOKUP(B301,Pricelist!A:D,2,FALSE)),"",VLOOKUP(B301,Pricelist!A:D,3,FALSE))</f>
        <v/>
      </c>
    </row>
    <row r="302" spans="1:4">
      <c r="B302" s="270"/>
      <c r="C302" s="369" t="str">
        <f>IF(ISNA(VLOOKUP(B302,Pricelist!A:D,2,FALSE)),"",VLOOKUP(B302,Pricelist!A:D,2,FALSE))</f>
        <v/>
      </c>
      <c r="D302" s="134" t="str">
        <f>IF(ISNA(VLOOKUP(B302,Pricelist!A:D,2,FALSE)),"",VLOOKUP(B302,Pricelist!A:D,3,FALSE))</f>
        <v/>
      </c>
    </row>
    <row r="303" spans="1:4">
      <c r="B303" s="270"/>
      <c r="C303" s="369" t="str">
        <f>IF(ISNA(VLOOKUP(B303,Pricelist!A:D,2,FALSE)),"",VLOOKUP(B303,Pricelist!A:D,2,FALSE))</f>
        <v/>
      </c>
      <c r="D303" s="134" t="str">
        <f>IF(ISNA(VLOOKUP(B303,Pricelist!A:D,2,FALSE)),"",VLOOKUP(B303,Pricelist!A:D,3,FALSE))</f>
        <v/>
      </c>
    </row>
    <row r="304" spans="1:4">
      <c r="B304" s="270"/>
      <c r="C304" s="369" t="str">
        <f>IF(ISNA(VLOOKUP(B304,Pricelist!A:D,2,FALSE)),"",VLOOKUP(B304,Pricelist!A:D,2,FALSE))</f>
        <v/>
      </c>
      <c r="D304" s="134" t="str">
        <f>IF(ISNA(VLOOKUP(B304,Pricelist!A:D,2,FALSE)),"",VLOOKUP(B304,Pricelist!A:D,3,FALSE))</f>
        <v/>
      </c>
    </row>
    <row r="305" spans="2:4">
      <c r="B305" s="270"/>
      <c r="C305" s="369" t="str">
        <f>IF(ISNA(VLOOKUP(B305,Pricelist!A:D,2,FALSE)),"",VLOOKUP(B305,Pricelist!A:D,2,FALSE))</f>
        <v/>
      </c>
      <c r="D305" s="134" t="str">
        <f>IF(ISNA(VLOOKUP(B305,Pricelist!A:D,2,FALSE)),"",VLOOKUP(B305,Pricelist!A:D,3,FALSE))</f>
        <v/>
      </c>
    </row>
    <row r="306" spans="2:4">
      <c r="B306" s="270"/>
      <c r="C306" s="369" t="str">
        <f>IF(ISNA(VLOOKUP(B306,Pricelist!A:D,2,FALSE)),"",VLOOKUP(B306,Pricelist!A:D,2,FALSE))</f>
        <v/>
      </c>
      <c r="D306" s="134" t="str">
        <f>IF(ISNA(VLOOKUP(B306,Pricelist!A:D,2,FALSE)),"",VLOOKUP(B306,Pricelist!A:D,3,FALSE))</f>
        <v/>
      </c>
    </row>
    <row r="307" spans="2:4">
      <c r="B307" s="270"/>
      <c r="C307" s="369" t="str">
        <f>IF(ISNA(VLOOKUP(B307,Pricelist!A:D,2,FALSE)),"",VLOOKUP(B307,Pricelist!A:D,2,FALSE))</f>
        <v/>
      </c>
      <c r="D307" s="134" t="str">
        <f>IF(ISNA(VLOOKUP(B307,Pricelist!A:D,2,FALSE)),"",VLOOKUP(B307,Pricelist!A:D,3,FALSE))</f>
        <v/>
      </c>
    </row>
    <row r="308" spans="2:4">
      <c r="B308" s="270"/>
      <c r="C308" s="369" t="str">
        <f>IF(ISNA(VLOOKUP(B308,Pricelist!A:D,2,FALSE)),"",VLOOKUP(B308,Pricelist!A:D,2,FALSE))</f>
        <v/>
      </c>
      <c r="D308" s="134" t="str">
        <f>IF(ISNA(VLOOKUP(B308,Pricelist!A:D,2,FALSE)),"",VLOOKUP(B308,Pricelist!A:D,3,FALSE))</f>
        <v/>
      </c>
    </row>
    <row r="309" spans="2:4">
      <c r="B309" s="270"/>
      <c r="C309" s="369" t="str">
        <f>IF(ISNA(VLOOKUP(B309,Pricelist!A:D,2,FALSE)),"",VLOOKUP(B309,Pricelist!A:D,2,FALSE))</f>
        <v/>
      </c>
      <c r="D309" s="134" t="str">
        <f>IF(ISNA(VLOOKUP(B309,Pricelist!A:D,2,FALSE)),"",VLOOKUP(B309,Pricelist!A:D,3,FALSE))</f>
        <v/>
      </c>
    </row>
    <row r="310" spans="2:4">
      <c r="B310" s="270"/>
      <c r="C310" s="369" t="str">
        <f>IF(ISNA(VLOOKUP(B310,Pricelist!A:D,2,FALSE)),"",VLOOKUP(B310,Pricelist!A:D,2,FALSE))</f>
        <v/>
      </c>
      <c r="D310" s="134" t="str">
        <f>IF(ISNA(VLOOKUP(B310,Pricelist!A:D,2,FALSE)),"",VLOOKUP(B310,Pricelist!A:D,3,FALSE))</f>
        <v/>
      </c>
    </row>
    <row r="311" spans="2:4">
      <c r="B311" s="270"/>
      <c r="C311" s="369" t="str">
        <f>IF(ISNA(VLOOKUP(B311,Pricelist!A:D,2,FALSE)),"",VLOOKUP(B311,Pricelist!A:D,2,FALSE))</f>
        <v/>
      </c>
      <c r="D311" s="134" t="str">
        <f>IF(ISNA(VLOOKUP(B311,Pricelist!A:D,2,FALSE)),"",VLOOKUP(B311,Pricelist!A:D,3,FALSE))</f>
        <v/>
      </c>
    </row>
    <row r="312" spans="2:4">
      <c r="B312" s="270"/>
      <c r="C312" s="369" t="str">
        <f>IF(ISNA(VLOOKUP(B312,Pricelist!A:D,2,FALSE)),"",VLOOKUP(B312,Pricelist!A:D,2,FALSE))</f>
        <v/>
      </c>
      <c r="D312" s="134" t="str">
        <f>IF(ISNA(VLOOKUP(B312,Pricelist!A:D,2,FALSE)),"",VLOOKUP(B312,Pricelist!A:D,3,FALSE))</f>
        <v/>
      </c>
    </row>
    <row r="313" spans="2:4">
      <c r="B313" s="270"/>
      <c r="C313" s="369" t="str">
        <f>IF(ISNA(VLOOKUP(B313,Pricelist!A:D,2,FALSE)),"",VLOOKUP(B313,Pricelist!A:D,2,FALSE))</f>
        <v/>
      </c>
      <c r="D313" s="134" t="str">
        <f>IF(ISNA(VLOOKUP(B313,Pricelist!A:D,2,FALSE)),"",VLOOKUP(B313,Pricelist!A:D,3,FALSE))</f>
        <v/>
      </c>
    </row>
    <row r="314" spans="2:4">
      <c r="B314" s="270"/>
      <c r="C314" s="369" t="str">
        <f>IF(ISNA(VLOOKUP(B314,Pricelist!A:D,2,FALSE)),"",VLOOKUP(B314,Pricelist!A:D,2,FALSE))</f>
        <v/>
      </c>
      <c r="D314" s="134" t="str">
        <f>IF(ISNA(VLOOKUP(B314,Pricelist!A:D,2,FALSE)),"",VLOOKUP(B314,Pricelist!A:D,3,FALSE))</f>
        <v/>
      </c>
    </row>
    <row r="315" spans="2:4">
      <c r="B315" s="270"/>
      <c r="C315" s="369" t="str">
        <f>IF(ISNA(VLOOKUP(B315,Pricelist!A:D,2,FALSE)),"",VLOOKUP(B315,Pricelist!A:D,2,FALSE))</f>
        <v/>
      </c>
      <c r="D315" s="134" t="str">
        <f>IF(ISNA(VLOOKUP(B315,Pricelist!A:D,2,FALSE)),"",VLOOKUP(B315,Pricelist!A:D,3,FALSE))</f>
        <v/>
      </c>
    </row>
    <row r="316" spans="2:4">
      <c r="B316" s="270"/>
      <c r="C316" s="369" t="str">
        <f>IF(ISNA(VLOOKUP(B316,Pricelist!A:D,2,FALSE)),"",VLOOKUP(B316,Pricelist!A:D,2,FALSE))</f>
        <v/>
      </c>
      <c r="D316" s="134" t="str">
        <f>IF(ISNA(VLOOKUP(B316,Pricelist!A:D,2,FALSE)),"",VLOOKUP(B316,Pricelist!A:D,3,FALSE))</f>
        <v/>
      </c>
    </row>
    <row r="317" spans="2:4">
      <c r="B317" s="270"/>
      <c r="C317" s="369" t="str">
        <f>IF(ISNA(VLOOKUP(B317,Pricelist!A:D,2,FALSE)),"",VLOOKUP(B317,Pricelist!A:D,2,FALSE))</f>
        <v/>
      </c>
      <c r="D317" s="134" t="str">
        <f>IF(ISNA(VLOOKUP(B317,Pricelist!A:D,2,FALSE)),"",VLOOKUP(B317,Pricelist!A:D,3,FALSE))</f>
        <v/>
      </c>
    </row>
    <row r="318" spans="2:4">
      <c r="B318" s="270"/>
      <c r="C318" s="369" t="str">
        <f>IF(ISNA(VLOOKUP(B318,Pricelist!A:D,2,FALSE)),"",VLOOKUP(B318,Pricelist!A:D,2,FALSE))</f>
        <v/>
      </c>
      <c r="D318" s="134" t="str">
        <f>IF(ISNA(VLOOKUP(B318,Pricelist!A:D,2,FALSE)),"",VLOOKUP(B318,Pricelist!A:D,3,FALSE))</f>
        <v/>
      </c>
    </row>
    <row r="319" spans="2:4">
      <c r="B319" s="270"/>
      <c r="C319" s="369" t="str">
        <f>IF(ISNA(VLOOKUP(B319,Pricelist!A:D,2,FALSE)),"",VLOOKUP(B319,Pricelist!A:D,2,FALSE))</f>
        <v/>
      </c>
      <c r="D319" s="134" t="str">
        <f>IF(ISNA(VLOOKUP(B319,Pricelist!A:D,2,FALSE)),"",VLOOKUP(B319,Pricelist!A:D,3,FALSE))</f>
        <v/>
      </c>
    </row>
    <row r="320" spans="2:4">
      <c r="B320" s="270"/>
      <c r="C320" s="369" t="str">
        <f>IF(ISNA(VLOOKUP(B320,Pricelist!A:D,2,FALSE)),"",VLOOKUP(B320,Pricelist!A:D,2,FALSE))</f>
        <v/>
      </c>
      <c r="D320" s="134" t="str">
        <f>IF(ISNA(VLOOKUP(B320,Pricelist!A:D,2,FALSE)),"",VLOOKUP(B320,Pricelist!A:D,3,FALSE))</f>
        <v/>
      </c>
    </row>
    <row r="321" spans="2:4">
      <c r="B321" s="270"/>
      <c r="C321" s="369" t="str">
        <f>IF(ISNA(VLOOKUP(B321,Pricelist!A:D,2,FALSE)),"",VLOOKUP(B321,Pricelist!A:D,2,FALSE))</f>
        <v/>
      </c>
      <c r="D321" s="134" t="str">
        <f>IF(ISNA(VLOOKUP(B321,Pricelist!A:D,2,FALSE)),"",VLOOKUP(B321,Pricelist!A:D,3,FALSE))</f>
        <v/>
      </c>
    </row>
    <row r="322" spans="2:4">
      <c r="B322" s="270"/>
      <c r="C322" s="369" t="str">
        <f>IF(ISNA(VLOOKUP(B322,Pricelist!A:D,2,FALSE)),"",VLOOKUP(B322,Pricelist!A:D,2,FALSE))</f>
        <v/>
      </c>
      <c r="D322" s="134" t="str">
        <f>IF(ISNA(VLOOKUP(B322,Pricelist!A:D,2,FALSE)),"",VLOOKUP(B322,Pricelist!A:D,3,FALSE))</f>
        <v/>
      </c>
    </row>
    <row r="323" spans="2:4">
      <c r="B323" s="270"/>
      <c r="C323" s="369" t="str">
        <f>IF(ISNA(VLOOKUP(B323,Pricelist!A:D,2,FALSE)),"",VLOOKUP(B323,Pricelist!A:D,2,FALSE))</f>
        <v/>
      </c>
      <c r="D323" s="134" t="str">
        <f>IF(ISNA(VLOOKUP(B323,Pricelist!A:D,2,FALSE)),"",VLOOKUP(B323,Pricelist!A:D,3,FALSE))</f>
        <v/>
      </c>
    </row>
    <row r="324" spans="2:4">
      <c r="B324" s="270"/>
      <c r="C324" s="369" t="str">
        <f>IF(ISNA(VLOOKUP(B324,Pricelist!A:D,2,FALSE)),"",VLOOKUP(B324,Pricelist!A:D,2,FALSE))</f>
        <v/>
      </c>
      <c r="D324" s="134" t="str">
        <f>IF(ISNA(VLOOKUP(B324,Pricelist!A:D,2,FALSE)),"",VLOOKUP(B324,Pricelist!A:D,3,FALSE))</f>
        <v/>
      </c>
    </row>
    <row r="325" spans="2:4">
      <c r="B325" s="270"/>
      <c r="C325" s="369" t="str">
        <f>IF(ISNA(VLOOKUP(B325,Pricelist!A:D,2,FALSE)),"",VLOOKUP(B325,Pricelist!A:D,2,FALSE))</f>
        <v/>
      </c>
      <c r="D325" s="134" t="str">
        <f>IF(ISNA(VLOOKUP(B325,Pricelist!A:D,2,FALSE)),"",VLOOKUP(B325,Pricelist!A:D,3,FALSE))</f>
        <v/>
      </c>
    </row>
    <row r="326" spans="2:4">
      <c r="B326" s="270"/>
      <c r="C326" s="369" t="str">
        <f>IF(ISNA(VLOOKUP(B326,Pricelist!A:D,2,FALSE)),"",VLOOKUP(B326,Pricelist!A:D,2,FALSE))</f>
        <v/>
      </c>
      <c r="D326" s="134" t="str">
        <f>IF(ISNA(VLOOKUP(B326,Pricelist!A:D,2,FALSE)),"",VLOOKUP(B326,Pricelist!A:D,3,FALSE))</f>
        <v/>
      </c>
    </row>
    <row r="327" spans="2:4">
      <c r="B327" s="270"/>
      <c r="C327" s="369" t="str">
        <f>IF(ISNA(VLOOKUP(B327,Pricelist!A:D,2,FALSE)),"",VLOOKUP(B327,Pricelist!A:D,2,FALSE))</f>
        <v/>
      </c>
      <c r="D327" s="134" t="str">
        <f>IF(ISNA(VLOOKUP(B327,Pricelist!A:D,2,FALSE)),"",VLOOKUP(B327,Pricelist!A:D,3,FALSE))</f>
        <v/>
      </c>
    </row>
    <row r="328" spans="2:4">
      <c r="B328" s="270"/>
      <c r="C328" s="369" t="str">
        <f>IF(ISNA(VLOOKUP(B328,Pricelist!A:D,2,FALSE)),"",VLOOKUP(B328,Pricelist!A:D,2,FALSE))</f>
        <v/>
      </c>
      <c r="D328" s="134" t="str">
        <f>IF(ISNA(VLOOKUP(B328,Pricelist!A:D,2,FALSE)),"",VLOOKUP(B328,Pricelist!A:D,3,FALSE))</f>
        <v/>
      </c>
    </row>
    <row r="329" spans="2:4">
      <c r="B329" s="270"/>
      <c r="C329" s="369" t="str">
        <f>IF(ISNA(VLOOKUP(B329,Pricelist!A:D,2,FALSE)),"",VLOOKUP(B329,Pricelist!A:D,2,FALSE))</f>
        <v/>
      </c>
      <c r="D329" s="134" t="str">
        <f>IF(ISNA(VLOOKUP(B329,Pricelist!A:D,2,FALSE)),"",VLOOKUP(B329,Pricelist!A:D,3,FALSE))</f>
        <v/>
      </c>
    </row>
    <row r="330" spans="2:4">
      <c r="B330" s="270"/>
      <c r="C330" s="369" t="str">
        <f>IF(ISNA(VLOOKUP(B330,Pricelist!A:D,2,FALSE)),"",VLOOKUP(B330,Pricelist!A:D,2,FALSE))</f>
        <v/>
      </c>
      <c r="D330" s="134" t="str">
        <f>IF(ISNA(VLOOKUP(B330,Pricelist!A:D,2,FALSE)),"",VLOOKUP(B330,Pricelist!A:D,3,FALSE))</f>
        <v/>
      </c>
    </row>
    <row r="331" spans="2:4">
      <c r="B331" s="270"/>
      <c r="C331" s="369" t="str">
        <f>IF(ISNA(VLOOKUP(B331,Pricelist!A:D,2,FALSE)),"",VLOOKUP(B331,Pricelist!A:D,2,FALSE))</f>
        <v/>
      </c>
      <c r="D331" s="134" t="str">
        <f>IF(ISNA(VLOOKUP(B331,Pricelist!A:D,2,FALSE)),"",VLOOKUP(B331,Pricelist!A:D,3,FALSE))</f>
        <v/>
      </c>
    </row>
    <row r="332" spans="2:4">
      <c r="B332" s="270"/>
      <c r="C332" s="369" t="str">
        <f>IF(ISNA(VLOOKUP(B332,Pricelist!A:D,2,FALSE)),"",VLOOKUP(B332,Pricelist!A:D,2,FALSE))</f>
        <v/>
      </c>
      <c r="D332" s="134" t="str">
        <f>IF(ISNA(VLOOKUP(B332,Pricelist!A:D,2,FALSE)),"",VLOOKUP(B332,Pricelist!A:D,3,FALSE))</f>
        <v/>
      </c>
    </row>
    <row r="333" spans="2:4">
      <c r="B333" s="270"/>
      <c r="C333" s="369" t="str">
        <f>IF(ISNA(VLOOKUP(B333,Pricelist!A:D,2,FALSE)),"",VLOOKUP(B333,Pricelist!A:D,2,FALSE))</f>
        <v/>
      </c>
      <c r="D333" s="134" t="str">
        <f>IF(ISNA(VLOOKUP(B333,Pricelist!A:D,2,FALSE)),"",VLOOKUP(B333,Pricelist!A:D,3,FALSE))</f>
        <v/>
      </c>
    </row>
    <row r="334" spans="2:4">
      <c r="B334" s="270"/>
      <c r="C334" s="369" t="str">
        <f>IF(ISNA(VLOOKUP(B334,Pricelist!A:D,2,FALSE)),"",VLOOKUP(B334,Pricelist!A:D,2,FALSE))</f>
        <v/>
      </c>
      <c r="D334" s="134" t="str">
        <f>IF(ISNA(VLOOKUP(B334,Pricelist!A:D,2,FALSE)),"",VLOOKUP(B334,Pricelist!A:D,3,FALSE))</f>
        <v/>
      </c>
    </row>
    <row r="335" spans="2:4">
      <c r="B335" s="270"/>
      <c r="C335" s="369" t="str">
        <f>IF(ISNA(VLOOKUP(B335,Pricelist!A:D,2,FALSE)),"",VLOOKUP(B335,Pricelist!A:D,2,FALSE))</f>
        <v/>
      </c>
      <c r="D335" s="134" t="str">
        <f>IF(ISNA(VLOOKUP(B335,Pricelist!A:D,2,FALSE)),"",VLOOKUP(B335,Pricelist!A:D,3,FALSE))</f>
        <v/>
      </c>
    </row>
    <row r="336" spans="2:4">
      <c r="B336" s="270"/>
      <c r="C336" s="369" t="str">
        <f>IF(ISNA(VLOOKUP(B336,Pricelist!A:D,2,FALSE)),"",VLOOKUP(B336,Pricelist!A:D,2,FALSE))</f>
        <v/>
      </c>
      <c r="D336" s="134" t="str">
        <f>IF(ISNA(VLOOKUP(B336,Pricelist!A:D,2,FALSE)),"",VLOOKUP(B336,Pricelist!A:D,3,FALSE))</f>
        <v/>
      </c>
    </row>
    <row r="337" spans="2:4">
      <c r="B337" s="270"/>
      <c r="C337" s="369" t="str">
        <f>IF(ISNA(VLOOKUP(B337,Pricelist!A:D,2,FALSE)),"",VLOOKUP(B337,Pricelist!A:D,2,FALSE))</f>
        <v/>
      </c>
      <c r="D337" s="134" t="str">
        <f>IF(ISNA(VLOOKUP(B337,Pricelist!A:D,2,FALSE)),"",VLOOKUP(B337,Pricelist!A:D,3,FALSE))</f>
        <v/>
      </c>
    </row>
    <row r="338" spans="2:4">
      <c r="B338" s="270"/>
      <c r="C338" s="369" t="str">
        <f>IF(ISNA(VLOOKUP(B338,Pricelist!A:D,2,FALSE)),"",VLOOKUP(B338,Pricelist!A:D,2,FALSE))</f>
        <v/>
      </c>
      <c r="D338" s="134" t="str">
        <f>IF(ISNA(VLOOKUP(B338,Pricelist!A:D,2,FALSE)),"",VLOOKUP(B338,Pricelist!A:D,3,FALSE))</f>
        <v/>
      </c>
    </row>
    <row r="339" spans="2:4">
      <c r="B339" s="270"/>
      <c r="C339" s="369" t="str">
        <f>IF(ISNA(VLOOKUP(B339,Pricelist!A:D,2,FALSE)),"",VLOOKUP(B339,Pricelist!A:D,2,FALSE))</f>
        <v/>
      </c>
      <c r="D339" s="134" t="str">
        <f>IF(ISNA(VLOOKUP(B339,Pricelist!A:D,2,FALSE)),"",VLOOKUP(B339,Pricelist!A:D,3,FALSE))</f>
        <v/>
      </c>
    </row>
    <row r="340" spans="2:4">
      <c r="B340" s="270"/>
      <c r="C340" s="369" t="str">
        <f>IF(ISNA(VLOOKUP(B340,Pricelist!A:D,2,FALSE)),"",VLOOKUP(B340,Pricelist!A:D,2,FALSE))</f>
        <v/>
      </c>
      <c r="D340" s="134" t="str">
        <f>IF(ISNA(VLOOKUP(B340,Pricelist!A:D,2,FALSE)),"",VLOOKUP(B340,Pricelist!A:D,3,FALSE))</f>
        <v/>
      </c>
    </row>
    <row r="341" spans="2:4">
      <c r="B341" s="270"/>
      <c r="C341" s="369" t="str">
        <f>IF(ISNA(VLOOKUP(B341,Pricelist!A:D,2,FALSE)),"",VLOOKUP(B341,Pricelist!A:D,2,FALSE))</f>
        <v/>
      </c>
      <c r="D341" s="134" t="str">
        <f>IF(ISNA(VLOOKUP(B341,Pricelist!A:D,2,FALSE)),"",VLOOKUP(B341,Pricelist!A:D,3,FALSE))</f>
        <v/>
      </c>
    </row>
    <row r="342" spans="2:4">
      <c r="B342" s="270"/>
      <c r="C342" s="369" t="str">
        <f>IF(ISNA(VLOOKUP(B342,Pricelist!A:D,2,FALSE)),"",VLOOKUP(B342,Pricelist!A:D,2,FALSE))</f>
        <v/>
      </c>
      <c r="D342" s="134" t="str">
        <f>IF(ISNA(VLOOKUP(B342,Pricelist!A:D,2,FALSE)),"",VLOOKUP(B342,Pricelist!A:D,3,FALSE))</f>
        <v/>
      </c>
    </row>
    <row r="343" spans="2:4">
      <c r="B343" s="270"/>
      <c r="C343" s="369" t="str">
        <f>IF(ISNA(VLOOKUP(B343,Pricelist!A:D,2,FALSE)),"",VLOOKUP(B343,Pricelist!A:D,2,FALSE))</f>
        <v/>
      </c>
      <c r="D343" s="134" t="str">
        <f>IF(ISNA(VLOOKUP(B343,Pricelist!A:D,2,FALSE)),"",VLOOKUP(B343,Pricelist!A:D,3,FALSE))</f>
        <v/>
      </c>
    </row>
    <row r="344" spans="2:4">
      <c r="B344" s="270"/>
      <c r="C344" s="369" t="str">
        <f>IF(ISNA(VLOOKUP(B344,Pricelist!A:D,2,FALSE)),"",VLOOKUP(B344,Pricelist!A:D,2,FALSE))</f>
        <v/>
      </c>
      <c r="D344" s="134" t="str">
        <f>IF(ISNA(VLOOKUP(B344,Pricelist!A:D,2,FALSE)),"",VLOOKUP(B344,Pricelist!A:D,3,FALSE))</f>
        <v/>
      </c>
    </row>
    <row r="345" spans="2:4">
      <c r="B345" s="270"/>
      <c r="C345" s="369" t="str">
        <f>IF(ISNA(VLOOKUP(B345,Pricelist!A:D,2,FALSE)),"",VLOOKUP(B345,Pricelist!A:D,2,FALSE))</f>
        <v/>
      </c>
      <c r="D345" s="134" t="str">
        <f>IF(ISNA(VLOOKUP(B345,Pricelist!A:D,2,FALSE)),"",VLOOKUP(B345,Pricelist!A:D,3,FALSE))</f>
        <v/>
      </c>
    </row>
    <row r="346" spans="2:4">
      <c r="B346" s="270"/>
      <c r="C346" s="369" t="str">
        <f>IF(ISNA(VLOOKUP(B346,Pricelist!A:D,2,FALSE)),"",VLOOKUP(B346,Pricelist!A:D,2,FALSE))</f>
        <v/>
      </c>
      <c r="D346" s="134" t="str">
        <f>IF(ISNA(VLOOKUP(B346,Pricelist!A:D,2,FALSE)),"",VLOOKUP(B346,Pricelist!A:D,3,FALSE))</f>
        <v/>
      </c>
    </row>
    <row r="347" spans="2:4">
      <c r="B347" s="270"/>
      <c r="C347" s="369" t="str">
        <f>IF(ISNA(VLOOKUP(B347,Pricelist!A:D,2,FALSE)),"",VLOOKUP(B347,Pricelist!A:D,2,FALSE))</f>
        <v/>
      </c>
      <c r="D347" s="134" t="str">
        <f>IF(ISNA(VLOOKUP(B347,Pricelist!A:D,2,FALSE)),"",VLOOKUP(B347,Pricelist!A:D,3,FALSE))</f>
        <v/>
      </c>
    </row>
    <row r="348" spans="2:4">
      <c r="B348" s="270"/>
      <c r="C348" s="369" t="str">
        <f>IF(ISNA(VLOOKUP(B348,Pricelist!A:D,2,FALSE)),"",VLOOKUP(B348,Pricelist!A:D,2,FALSE))</f>
        <v/>
      </c>
      <c r="D348" s="134" t="str">
        <f>IF(ISNA(VLOOKUP(B348,Pricelist!A:D,2,FALSE)),"",VLOOKUP(B348,Pricelist!A:D,3,FALSE))</f>
        <v/>
      </c>
    </row>
    <row r="349" spans="2:4">
      <c r="B349" s="270"/>
      <c r="C349" s="369" t="str">
        <f>IF(ISNA(VLOOKUP(B349,Pricelist!A:D,2,FALSE)),"",VLOOKUP(B349,Pricelist!A:D,2,FALSE))</f>
        <v/>
      </c>
      <c r="D349" s="134" t="str">
        <f>IF(ISNA(VLOOKUP(B349,Pricelist!A:D,2,FALSE)),"",VLOOKUP(B349,Pricelist!A:D,3,FALSE))</f>
        <v/>
      </c>
    </row>
    <row r="350" spans="2:4">
      <c r="B350" s="270"/>
      <c r="C350" s="369" t="str">
        <f>IF(ISNA(VLOOKUP(B350,Pricelist!A:D,2,FALSE)),"",VLOOKUP(B350,Pricelist!A:D,2,FALSE))</f>
        <v/>
      </c>
      <c r="D350" s="134" t="str">
        <f>IF(ISNA(VLOOKUP(B350,Pricelist!A:D,2,FALSE)),"",VLOOKUP(B350,Pricelist!A:D,3,FALSE))</f>
        <v/>
      </c>
    </row>
    <row r="351" spans="2:4">
      <c r="B351" s="270"/>
      <c r="C351" s="369" t="str">
        <f>IF(ISNA(VLOOKUP(B351,Pricelist!A:D,2,FALSE)),"",VLOOKUP(B351,Pricelist!A:D,2,FALSE))</f>
        <v/>
      </c>
      <c r="D351" s="134" t="str">
        <f>IF(ISNA(VLOOKUP(B351,Pricelist!A:D,2,FALSE)),"",VLOOKUP(B351,Pricelist!A:D,3,FALSE))</f>
        <v/>
      </c>
    </row>
    <row r="352" spans="2:4">
      <c r="B352" s="270"/>
      <c r="C352" s="369" t="str">
        <f>IF(ISNA(VLOOKUP(B352,Pricelist!A:D,2,FALSE)),"",VLOOKUP(B352,Pricelist!A:D,2,FALSE))</f>
        <v/>
      </c>
      <c r="D352" s="134" t="str">
        <f>IF(ISNA(VLOOKUP(B352,Pricelist!A:D,2,FALSE)),"",VLOOKUP(B352,Pricelist!A:D,3,FALSE))</f>
        <v/>
      </c>
    </row>
    <row r="353" spans="1:4">
      <c r="B353" s="270"/>
      <c r="C353" s="369" t="str">
        <f>IF(ISNA(VLOOKUP(B353,Pricelist!A:D,2,FALSE)),"",VLOOKUP(B353,Pricelist!A:D,2,FALSE))</f>
        <v/>
      </c>
      <c r="D353" s="134" t="str">
        <f>IF(ISNA(VLOOKUP(B353,Pricelist!A:D,2,FALSE)),"",VLOOKUP(B353,Pricelist!A:D,3,FALSE))</f>
        <v/>
      </c>
    </row>
    <row r="354" spans="1:4">
      <c r="A354" s="133" t="s">
        <v>1086</v>
      </c>
      <c r="B354" s="270"/>
      <c r="C354" s="369" t="str">
        <f>IF(ISNA(VLOOKUP(B354,Pricelist!A:D,2,FALSE)),"",VLOOKUP(B354,Pricelist!A:D,2,FALSE))</f>
        <v/>
      </c>
      <c r="D354" s="134" t="str">
        <f>IF(ISNA(VLOOKUP(B354,Pricelist!A:D,2,FALSE)),"",VLOOKUP(B354,Pricelist!A:D,3,FALSE))</f>
        <v/>
      </c>
    </row>
    <row r="355" spans="1:4">
      <c r="B355" s="270"/>
      <c r="C355" s="369" t="str">
        <f>IF(ISNA(VLOOKUP(B355,Pricelist!A:D,2,FALSE)),"",VLOOKUP(B355,Pricelist!A:D,2,FALSE))</f>
        <v/>
      </c>
      <c r="D355" s="134" t="str">
        <f>IF(ISNA(VLOOKUP(B355,Pricelist!A:D,2,FALSE)),"",VLOOKUP(B355,Pricelist!A:D,3,FALSE))</f>
        <v/>
      </c>
    </row>
    <row r="356" spans="1:4">
      <c r="B356" s="270"/>
      <c r="C356" s="369" t="str">
        <f>IF(ISNA(VLOOKUP(B356,Pricelist!A:D,2,FALSE)),"",VLOOKUP(B356,Pricelist!A:D,2,FALSE))</f>
        <v/>
      </c>
      <c r="D356" s="134" t="str">
        <f>IF(ISNA(VLOOKUP(B356,Pricelist!A:D,2,FALSE)),"",VLOOKUP(B356,Pricelist!A:D,3,FALSE))</f>
        <v/>
      </c>
    </row>
    <row r="357" spans="1:4">
      <c r="B357" s="270"/>
      <c r="C357" s="369" t="str">
        <f>IF(ISNA(VLOOKUP(B357,Pricelist!A:D,2,FALSE)),"",VLOOKUP(B357,Pricelist!A:D,2,FALSE))</f>
        <v/>
      </c>
      <c r="D357" s="134" t="str">
        <f>IF(ISNA(VLOOKUP(B357,Pricelist!A:D,2,FALSE)),"",VLOOKUP(B357,Pricelist!A:D,3,FALSE))</f>
        <v/>
      </c>
    </row>
    <row r="358" spans="1:4">
      <c r="B358" s="270"/>
      <c r="C358" s="369" t="str">
        <f>IF(ISNA(VLOOKUP(B358,Pricelist!A:D,2,FALSE)),"",VLOOKUP(B358,Pricelist!A:D,2,FALSE))</f>
        <v/>
      </c>
      <c r="D358" s="134" t="str">
        <f>IF(ISNA(VLOOKUP(B358,Pricelist!A:D,2,FALSE)),"",VLOOKUP(B358,Pricelist!A:D,3,FALSE))</f>
        <v/>
      </c>
    </row>
    <row r="359" spans="1:4">
      <c r="B359" s="270"/>
      <c r="C359" s="369" t="str">
        <f>IF(ISNA(VLOOKUP(B359,Pricelist!A:D,2,FALSE)),"",VLOOKUP(B359,Pricelist!A:D,2,FALSE))</f>
        <v/>
      </c>
      <c r="D359" s="134" t="str">
        <f>IF(ISNA(VLOOKUP(B359,Pricelist!A:D,2,FALSE)),"",VLOOKUP(B359,Pricelist!A:D,3,FALSE))</f>
        <v/>
      </c>
    </row>
    <row r="360" spans="1:4">
      <c r="B360" s="270"/>
      <c r="C360" s="369" t="str">
        <f>IF(ISNA(VLOOKUP(B360,Pricelist!A:D,2,FALSE)),"",VLOOKUP(B360,Pricelist!A:D,2,FALSE))</f>
        <v/>
      </c>
      <c r="D360" s="134" t="str">
        <f>IF(ISNA(VLOOKUP(B360,Pricelist!A:D,2,FALSE)),"",VLOOKUP(B360,Pricelist!A:D,3,FALSE))</f>
        <v/>
      </c>
    </row>
    <row r="361" spans="1:4">
      <c r="B361" s="270"/>
      <c r="C361" s="369" t="str">
        <f>IF(ISNA(VLOOKUP(B361,Pricelist!A:D,2,FALSE)),"",VLOOKUP(B361,Pricelist!A:D,2,FALSE))</f>
        <v/>
      </c>
      <c r="D361" s="134" t="str">
        <f>IF(ISNA(VLOOKUP(B361,Pricelist!A:D,2,FALSE)),"",VLOOKUP(B361,Pricelist!A:D,3,FALSE))</f>
        <v/>
      </c>
    </row>
    <row r="362" spans="1:4">
      <c r="B362" s="270"/>
      <c r="C362" s="369" t="str">
        <f>IF(ISNA(VLOOKUP(B362,Pricelist!A:D,2,FALSE)),"",VLOOKUP(B362,Pricelist!A:D,2,FALSE))</f>
        <v/>
      </c>
      <c r="D362" s="134" t="str">
        <f>IF(ISNA(VLOOKUP(B362,Pricelist!A:D,2,FALSE)),"",VLOOKUP(B362,Pricelist!A:D,3,FALSE))</f>
        <v/>
      </c>
    </row>
    <row r="363" spans="1:4">
      <c r="B363" s="270"/>
      <c r="C363" s="369" t="str">
        <f>IF(ISNA(VLOOKUP(B363,Pricelist!A:D,2,FALSE)),"",VLOOKUP(B363,Pricelist!A:D,2,FALSE))</f>
        <v/>
      </c>
      <c r="D363" s="134" t="str">
        <f>IF(ISNA(VLOOKUP(B363,Pricelist!A:D,2,FALSE)),"",VLOOKUP(B363,Pricelist!A:D,3,FALSE))</f>
        <v/>
      </c>
    </row>
    <row r="364" spans="1:4">
      <c r="B364" s="270"/>
      <c r="C364" s="369" t="str">
        <f>IF(ISNA(VLOOKUP(B364,Pricelist!A:D,2,FALSE)),"",VLOOKUP(B364,Pricelist!A:D,2,FALSE))</f>
        <v/>
      </c>
      <c r="D364" s="134" t="str">
        <f>IF(ISNA(VLOOKUP(B364,Pricelist!A:D,2,FALSE)),"",VLOOKUP(B364,Pricelist!A:D,3,FALSE))</f>
        <v/>
      </c>
    </row>
    <row r="365" spans="1:4">
      <c r="B365" s="270"/>
      <c r="C365" s="369" t="str">
        <f>IF(ISNA(VLOOKUP(B365,Pricelist!A:D,2,FALSE)),"",VLOOKUP(B365,Pricelist!A:D,2,FALSE))</f>
        <v/>
      </c>
      <c r="D365" s="134" t="str">
        <f>IF(ISNA(VLOOKUP(B365,Pricelist!A:D,2,FALSE)),"",VLOOKUP(B365,Pricelist!A:D,3,FALSE))</f>
        <v/>
      </c>
    </row>
    <row r="366" spans="1:4">
      <c r="B366" s="270"/>
      <c r="C366" s="369" t="str">
        <f>IF(ISNA(VLOOKUP(B366,Pricelist!A:D,2,FALSE)),"",VLOOKUP(B366,Pricelist!A:D,2,FALSE))</f>
        <v/>
      </c>
      <c r="D366" s="134" t="str">
        <f>IF(ISNA(VLOOKUP(B366,Pricelist!A:D,2,FALSE)),"",VLOOKUP(B366,Pricelist!A:D,3,FALSE))</f>
        <v/>
      </c>
    </row>
    <row r="367" spans="1:4">
      <c r="B367" s="270"/>
      <c r="C367" s="369" t="str">
        <f>IF(ISNA(VLOOKUP(B367,Pricelist!A:D,2,FALSE)),"",VLOOKUP(B367,Pricelist!A:D,2,FALSE))</f>
        <v/>
      </c>
      <c r="D367" s="134" t="str">
        <f>IF(ISNA(VLOOKUP(B367,Pricelist!A:D,2,FALSE)),"",VLOOKUP(B367,Pricelist!A:D,3,FALSE))</f>
        <v/>
      </c>
    </row>
    <row r="368" spans="1:4">
      <c r="B368" s="270"/>
      <c r="C368" s="369" t="str">
        <f>IF(ISNA(VLOOKUP(B368,Pricelist!A:D,2,FALSE)),"",VLOOKUP(B368,Pricelist!A:D,2,FALSE))</f>
        <v/>
      </c>
      <c r="D368" s="134" t="str">
        <f>IF(ISNA(VLOOKUP(B368,Pricelist!A:D,2,FALSE)),"",VLOOKUP(B368,Pricelist!A:D,3,FALSE))</f>
        <v/>
      </c>
    </row>
    <row r="369" spans="2:4">
      <c r="B369" s="270"/>
      <c r="C369" s="369" t="str">
        <f>IF(ISNA(VLOOKUP(B369,Pricelist!A:D,2,FALSE)),"",VLOOKUP(B369,Pricelist!A:D,2,FALSE))</f>
        <v/>
      </c>
      <c r="D369" s="134" t="str">
        <f>IF(ISNA(VLOOKUP(B369,Pricelist!A:D,2,FALSE)),"",VLOOKUP(B369,Pricelist!A:D,3,FALSE))</f>
        <v/>
      </c>
    </row>
    <row r="370" spans="2:4">
      <c r="B370" s="270"/>
      <c r="C370" s="369" t="str">
        <f>IF(ISNA(VLOOKUP(B370,Pricelist!A:D,2,FALSE)),"",VLOOKUP(B370,Pricelist!A:D,2,FALSE))</f>
        <v/>
      </c>
      <c r="D370" s="134" t="str">
        <f>IF(ISNA(VLOOKUP(B370,Pricelist!A:D,2,FALSE)),"",VLOOKUP(B370,Pricelist!A:D,3,FALSE))</f>
        <v/>
      </c>
    </row>
    <row r="371" spans="2:4">
      <c r="B371" s="270"/>
      <c r="C371" s="369" t="str">
        <f>IF(ISNA(VLOOKUP(B371,Pricelist!A:D,2,FALSE)),"",VLOOKUP(B371,Pricelist!A:D,2,FALSE))</f>
        <v/>
      </c>
      <c r="D371" s="134" t="str">
        <f>IF(ISNA(VLOOKUP(B371,Pricelist!A:D,2,FALSE)),"",VLOOKUP(B371,Pricelist!A:D,3,FALSE))</f>
        <v/>
      </c>
    </row>
    <row r="372" spans="2:4">
      <c r="B372" s="270"/>
      <c r="C372" s="369" t="str">
        <f>IF(ISNA(VLOOKUP(B372,Pricelist!A:D,2,FALSE)),"",VLOOKUP(B372,Pricelist!A:D,2,FALSE))</f>
        <v/>
      </c>
      <c r="D372" s="134" t="str">
        <f>IF(ISNA(VLOOKUP(B372,Pricelist!A:D,2,FALSE)),"",VLOOKUP(B372,Pricelist!A:D,3,FALSE))</f>
        <v/>
      </c>
    </row>
    <row r="373" spans="2:4">
      <c r="B373" s="270"/>
      <c r="C373" s="369" t="str">
        <f>IF(ISNA(VLOOKUP(B373,Pricelist!A:D,2,FALSE)),"",VLOOKUP(B373,Pricelist!A:D,2,FALSE))</f>
        <v/>
      </c>
      <c r="D373" s="134" t="str">
        <f>IF(ISNA(VLOOKUP(B373,Pricelist!A:D,2,FALSE)),"",VLOOKUP(B373,Pricelist!A:D,3,FALSE))</f>
        <v/>
      </c>
    </row>
    <row r="374" spans="2:4">
      <c r="B374" s="270"/>
      <c r="C374" s="369" t="str">
        <f>IF(ISNA(VLOOKUP(B374,Pricelist!A:D,2,FALSE)),"",VLOOKUP(B374,Pricelist!A:D,2,FALSE))</f>
        <v/>
      </c>
      <c r="D374" s="134" t="str">
        <f>IF(ISNA(VLOOKUP(B374,Pricelist!A:D,2,FALSE)),"",VLOOKUP(B374,Pricelist!A:D,3,FALSE))</f>
        <v/>
      </c>
    </row>
    <row r="375" spans="2:4">
      <c r="B375" s="270"/>
      <c r="C375" s="369" t="str">
        <f>IF(ISNA(VLOOKUP(B375,Pricelist!A:D,2,FALSE)),"",VLOOKUP(B375,Pricelist!A:D,2,FALSE))</f>
        <v/>
      </c>
      <c r="D375" s="134" t="str">
        <f>IF(ISNA(VLOOKUP(B375,Pricelist!A:D,2,FALSE)),"",VLOOKUP(B375,Pricelist!A:D,3,FALSE))</f>
        <v/>
      </c>
    </row>
    <row r="376" spans="2:4">
      <c r="B376" s="270"/>
      <c r="C376" s="369" t="str">
        <f>IF(ISNA(VLOOKUP(B376,Pricelist!A:D,2,FALSE)),"",VLOOKUP(B376,Pricelist!A:D,2,FALSE))</f>
        <v/>
      </c>
      <c r="D376" s="134" t="str">
        <f>IF(ISNA(VLOOKUP(B376,Pricelist!A:D,2,FALSE)),"",VLOOKUP(B376,Pricelist!A:D,3,FALSE))</f>
        <v/>
      </c>
    </row>
    <row r="377" spans="2:4">
      <c r="B377" s="270"/>
      <c r="C377" s="369" t="str">
        <f>IF(ISNA(VLOOKUP(B377,Pricelist!A:D,2,FALSE)),"",VLOOKUP(B377,Pricelist!A:D,2,FALSE))</f>
        <v/>
      </c>
      <c r="D377" s="134" t="str">
        <f>IF(ISNA(VLOOKUP(B377,Pricelist!A:D,2,FALSE)),"",VLOOKUP(B377,Pricelist!A:D,3,FALSE))</f>
        <v/>
      </c>
    </row>
    <row r="378" spans="2:4">
      <c r="B378" s="270"/>
      <c r="C378" s="369" t="str">
        <f>IF(ISNA(VLOOKUP(B378,Pricelist!A:D,2,FALSE)),"",VLOOKUP(B378,Pricelist!A:D,2,FALSE))</f>
        <v/>
      </c>
      <c r="D378" s="134" t="str">
        <f>IF(ISNA(VLOOKUP(B378,Pricelist!A:D,2,FALSE)),"",VLOOKUP(B378,Pricelist!A:D,3,FALSE))</f>
        <v/>
      </c>
    </row>
    <row r="379" spans="2:4">
      <c r="B379" s="270"/>
      <c r="C379" s="369" t="str">
        <f>IF(ISNA(VLOOKUP(B379,Pricelist!A:D,2,FALSE)),"",VLOOKUP(B379,Pricelist!A:D,2,FALSE))</f>
        <v/>
      </c>
      <c r="D379" s="134" t="str">
        <f>IF(ISNA(VLOOKUP(B379,Pricelist!A:D,2,FALSE)),"",VLOOKUP(B379,Pricelist!A:D,3,FALSE))</f>
        <v/>
      </c>
    </row>
    <row r="380" spans="2:4">
      <c r="B380" s="270"/>
      <c r="C380" s="369" t="str">
        <f>IF(ISNA(VLOOKUP(B380,Pricelist!A:D,2,FALSE)),"",VLOOKUP(B380,Pricelist!A:D,2,FALSE))</f>
        <v/>
      </c>
      <c r="D380" s="134" t="str">
        <f>IF(ISNA(VLOOKUP(B380,Pricelist!A:D,2,FALSE)),"",VLOOKUP(B380,Pricelist!A:D,3,FALSE))</f>
        <v/>
      </c>
    </row>
    <row r="381" spans="2:4">
      <c r="B381" s="270"/>
      <c r="C381" s="369" t="str">
        <f>IF(ISNA(VLOOKUP(B381,Pricelist!A:D,2,FALSE)),"",VLOOKUP(B381,Pricelist!A:D,2,FALSE))</f>
        <v/>
      </c>
      <c r="D381" s="134" t="str">
        <f>IF(ISNA(VLOOKUP(B381,Pricelist!A:D,2,FALSE)),"",VLOOKUP(B381,Pricelist!A:D,3,FALSE))</f>
        <v/>
      </c>
    </row>
    <row r="382" spans="2:4">
      <c r="B382" s="270"/>
      <c r="C382" s="369" t="str">
        <f>IF(ISNA(VLOOKUP(B382,Pricelist!A:D,2,FALSE)),"",VLOOKUP(B382,Pricelist!A:D,2,FALSE))</f>
        <v/>
      </c>
      <c r="D382" s="134" t="str">
        <f>IF(ISNA(VLOOKUP(B382,Pricelist!A:D,2,FALSE)),"",VLOOKUP(B382,Pricelist!A:D,3,FALSE))</f>
        <v/>
      </c>
    </row>
    <row r="383" spans="2:4">
      <c r="B383" s="270"/>
      <c r="C383" s="369" t="str">
        <f>IF(ISNA(VLOOKUP(B383,Pricelist!A:D,2,FALSE)),"",VLOOKUP(B383,Pricelist!A:D,2,FALSE))</f>
        <v/>
      </c>
      <c r="D383" s="134" t="str">
        <f>IF(ISNA(VLOOKUP(B383,Pricelist!A:D,2,FALSE)),"",VLOOKUP(B383,Pricelist!A:D,3,FALSE))</f>
        <v/>
      </c>
    </row>
    <row r="384" spans="2:4">
      <c r="B384" s="270"/>
      <c r="C384" s="369" t="str">
        <f>IF(ISNA(VLOOKUP(B384,Pricelist!A:D,2,FALSE)),"",VLOOKUP(B384,Pricelist!A:D,2,FALSE))</f>
        <v/>
      </c>
      <c r="D384" s="134" t="str">
        <f>IF(ISNA(VLOOKUP(B384,Pricelist!A:D,2,FALSE)),"",VLOOKUP(B384,Pricelist!A:D,3,FALSE))</f>
        <v/>
      </c>
    </row>
    <row r="385" spans="2:4">
      <c r="B385" s="270"/>
      <c r="C385" s="369" t="str">
        <f>IF(ISNA(VLOOKUP(B385,Pricelist!A:D,2,FALSE)),"",VLOOKUP(B385,Pricelist!A:D,2,FALSE))</f>
        <v/>
      </c>
      <c r="D385" s="134" t="str">
        <f>IF(ISNA(VLOOKUP(B385,Pricelist!A:D,2,FALSE)),"",VLOOKUP(B385,Pricelist!A:D,3,FALSE))</f>
        <v/>
      </c>
    </row>
    <row r="386" spans="2:4">
      <c r="B386" s="270"/>
      <c r="C386" s="369" t="str">
        <f>IF(ISNA(VLOOKUP(B386,Pricelist!A:D,2,FALSE)),"",VLOOKUP(B386,Pricelist!A:D,2,FALSE))</f>
        <v/>
      </c>
      <c r="D386" s="134" t="str">
        <f>IF(ISNA(VLOOKUP(B386,Pricelist!A:D,2,FALSE)),"",VLOOKUP(B386,Pricelist!A:D,3,FALSE))</f>
        <v/>
      </c>
    </row>
    <row r="387" spans="2:4">
      <c r="B387" s="270"/>
      <c r="C387" s="369" t="str">
        <f>IF(ISNA(VLOOKUP(B387,Pricelist!A:D,2,FALSE)),"",VLOOKUP(B387,Pricelist!A:D,2,FALSE))</f>
        <v/>
      </c>
      <c r="D387" s="134" t="str">
        <f>IF(ISNA(VLOOKUP(B387,Pricelist!A:D,2,FALSE)),"",VLOOKUP(B387,Pricelist!A:D,3,FALSE))</f>
        <v/>
      </c>
    </row>
    <row r="388" spans="2:4">
      <c r="B388" s="270"/>
      <c r="C388" s="369" t="str">
        <f>IF(ISNA(VLOOKUP(B388,Pricelist!A:D,2,FALSE)),"",VLOOKUP(B388,Pricelist!A:D,2,FALSE))</f>
        <v/>
      </c>
      <c r="D388" s="134" t="str">
        <f>IF(ISNA(VLOOKUP(B388,Pricelist!A:D,2,FALSE)),"",VLOOKUP(B388,Pricelist!A:D,3,FALSE))</f>
        <v/>
      </c>
    </row>
    <row r="389" spans="2:4">
      <c r="B389" s="270"/>
      <c r="C389" s="369" t="str">
        <f>IF(ISNA(VLOOKUP(B389,Pricelist!A:D,2,FALSE)),"",VLOOKUP(B389,Pricelist!A:D,2,FALSE))</f>
        <v/>
      </c>
      <c r="D389" s="134" t="str">
        <f>IF(ISNA(VLOOKUP(B389,Pricelist!A:D,2,FALSE)),"",VLOOKUP(B389,Pricelist!A:D,3,FALSE))</f>
        <v/>
      </c>
    </row>
    <row r="390" spans="2:4">
      <c r="B390" s="270"/>
      <c r="C390" s="369" t="str">
        <f>IF(ISNA(VLOOKUP(B390,Pricelist!A:D,2,FALSE)),"",VLOOKUP(B390,Pricelist!A:D,2,FALSE))</f>
        <v/>
      </c>
      <c r="D390" s="134" t="str">
        <f>IF(ISNA(VLOOKUP(B390,Pricelist!A:D,2,FALSE)),"",VLOOKUP(B390,Pricelist!A:D,3,FALSE))</f>
        <v/>
      </c>
    </row>
    <row r="391" spans="2:4">
      <c r="B391" s="270"/>
      <c r="C391" s="369" t="str">
        <f>IF(ISNA(VLOOKUP(B391,Pricelist!A:D,2,FALSE)),"",VLOOKUP(B391,Pricelist!A:D,2,FALSE))</f>
        <v/>
      </c>
      <c r="D391" s="134" t="str">
        <f>IF(ISNA(VLOOKUP(B391,Pricelist!A:D,2,FALSE)),"",VLOOKUP(B391,Pricelist!A:D,3,FALSE))</f>
        <v/>
      </c>
    </row>
    <row r="392" spans="2:4">
      <c r="B392" s="270"/>
      <c r="C392" s="369" t="str">
        <f>IF(ISNA(VLOOKUP(B392,Pricelist!A:D,2,FALSE)),"",VLOOKUP(B392,Pricelist!A:D,2,FALSE))</f>
        <v/>
      </c>
      <c r="D392" s="134" t="str">
        <f>IF(ISNA(VLOOKUP(B392,Pricelist!A:D,2,FALSE)),"",VLOOKUP(B392,Pricelist!A:D,3,FALSE))</f>
        <v/>
      </c>
    </row>
    <row r="393" spans="2:4">
      <c r="B393" s="270"/>
      <c r="C393" s="369" t="str">
        <f>IF(ISNA(VLOOKUP(B393,Pricelist!A:D,2,FALSE)),"",VLOOKUP(B393,Pricelist!A:D,2,FALSE))</f>
        <v/>
      </c>
      <c r="D393" s="134" t="str">
        <f>IF(ISNA(VLOOKUP(B393,Pricelist!A:D,2,FALSE)),"",VLOOKUP(B393,Pricelist!A:D,3,FALSE))</f>
        <v/>
      </c>
    </row>
    <row r="394" spans="2:4">
      <c r="B394" s="270"/>
      <c r="C394" s="369" t="str">
        <f>IF(ISNA(VLOOKUP(B394,Pricelist!A:D,2,FALSE)),"",VLOOKUP(B394,Pricelist!A:D,2,FALSE))</f>
        <v/>
      </c>
      <c r="D394" s="134" t="str">
        <f>IF(ISNA(VLOOKUP(B394,Pricelist!A:D,2,FALSE)),"",VLOOKUP(B394,Pricelist!A:D,3,FALSE))</f>
        <v/>
      </c>
    </row>
    <row r="395" spans="2:4">
      <c r="B395" s="270"/>
      <c r="C395" s="369" t="str">
        <f>IF(ISNA(VLOOKUP(B395,Pricelist!A:D,2,FALSE)),"",VLOOKUP(B395,Pricelist!A:D,2,FALSE))</f>
        <v/>
      </c>
      <c r="D395" s="134" t="str">
        <f>IF(ISNA(VLOOKUP(B395,Pricelist!A:D,2,FALSE)),"",VLOOKUP(B395,Pricelist!A:D,3,FALSE))</f>
        <v/>
      </c>
    </row>
    <row r="396" spans="2:4">
      <c r="B396" s="270"/>
      <c r="C396" s="369" t="str">
        <f>IF(ISNA(VLOOKUP(B396,Pricelist!A:D,2,FALSE)),"",VLOOKUP(B396,Pricelist!A:D,2,FALSE))</f>
        <v/>
      </c>
      <c r="D396" s="134" t="str">
        <f>IF(ISNA(VLOOKUP(B396,Pricelist!A:D,2,FALSE)),"",VLOOKUP(B396,Pricelist!A:D,3,FALSE))</f>
        <v/>
      </c>
    </row>
    <row r="397" spans="2:4">
      <c r="B397" s="270"/>
      <c r="C397" s="369" t="str">
        <f>IF(ISNA(VLOOKUP(B397,Pricelist!A:D,2,FALSE)),"",VLOOKUP(B397,Pricelist!A:D,2,FALSE))</f>
        <v/>
      </c>
      <c r="D397" s="134" t="str">
        <f>IF(ISNA(VLOOKUP(B397,Pricelist!A:D,2,FALSE)),"",VLOOKUP(B397,Pricelist!A:D,3,FALSE))</f>
        <v/>
      </c>
    </row>
    <row r="398" spans="2:4">
      <c r="B398" s="270"/>
      <c r="C398" s="369" t="str">
        <f>IF(ISNA(VLOOKUP(B398,Pricelist!A:D,2,FALSE)),"",VLOOKUP(B398,Pricelist!A:D,2,FALSE))</f>
        <v/>
      </c>
      <c r="D398" s="134" t="str">
        <f>IF(ISNA(VLOOKUP(B398,Pricelist!A:D,2,FALSE)),"",VLOOKUP(B398,Pricelist!A:D,3,FALSE))</f>
        <v/>
      </c>
    </row>
    <row r="399" spans="2:4">
      <c r="B399" s="270"/>
      <c r="C399" s="369" t="str">
        <f>IF(ISNA(VLOOKUP(B399,Pricelist!A:D,2,FALSE)),"",VLOOKUP(B399,Pricelist!A:D,2,FALSE))</f>
        <v/>
      </c>
      <c r="D399" s="134" t="str">
        <f>IF(ISNA(VLOOKUP(B399,Pricelist!A:D,2,FALSE)),"",VLOOKUP(B399,Pricelist!A:D,3,FALSE))</f>
        <v/>
      </c>
    </row>
    <row r="400" spans="2:4">
      <c r="B400" s="270"/>
      <c r="C400" s="369" t="str">
        <f>IF(ISNA(VLOOKUP(B400,Pricelist!A:D,2,FALSE)),"",VLOOKUP(B400,Pricelist!A:D,2,FALSE))</f>
        <v/>
      </c>
      <c r="D400" s="134" t="str">
        <f>IF(ISNA(VLOOKUP(B400,Pricelist!A:D,2,FALSE)),"",VLOOKUP(B400,Pricelist!A:D,3,FALSE))</f>
        <v/>
      </c>
    </row>
    <row r="401" spans="2:4">
      <c r="B401" s="270"/>
      <c r="C401" s="369" t="str">
        <f>IF(ISNA(VLOOKUP(B401,Pricelist!A:D,2,FALSE)),"",VLOOKUP(B401,Pricelist!A:D,2,FALSE))</f>
        <v/>
      </c>
      <c r="D401" s="134" t="str">
        <f>IF(ISNA(VLOOKUP(B401,Pricelist!A:D,2,FALSE)),"",VLOOKUP(B401,Pricelist!A:D,3,FALSE))</f>
        <v/>
      </c>
    </row>
    <row r="402" spans="2:4">
      <c r="B402" s="270"/>
      <c r="C402" s="369" t="str">
        <f>IF(ISNA(VLOOKUP(B402,Pricelist!A:D,2,FALSE)),"",VLOOKUP(B402,Pricelist!A:D,2,FALSE))</f>
        <v/>
      </c>
      <c r="D402" s="134" t="str">
        <f>IF(ISNA(VLOOKUP(B402,Pricelist!A:D,2,FALSE)),"",VLOOKUP(B402,Pricelist!A:D,3,FALSE))</f>
        <v/>
      </c>
    </row>
    <row r="403" spans="2:4">
      <c r="B403" s="270"/>
      <c r="C403" s="369" t="str">
        <f>IF(ISNA(VLOOKUP(B403,Pricelist!A:D,2,FALSE)),"",VLOOKUP(B403,Pricelist!A:D,2,FALSE))</f>
        <v/>
      </c>
      <c r="D403" s="134" t="str">
        <f>IF(ISNA(VLOOKUP(B403,Pricelist!A:D,2,FALSE)),"",VLOOKUP(B403,Pricelist!A:D,3,FALSE))</f>
        <v/>
      </c>
    </row>
    <row r="404" spans="2:4">
      <c r="B404" s="270"/>
      <c r="C404" s="369" t="str">
        <f>IF(ISNA(VLOOKUP(B404,Pricelist!A:D,2,FALSE)),"",VLOOKUP(B404,Pricelist!A:D,2,FALSE))</f>
        <v/>
      </c>
      <c r="D404" s="134" t="str">
        <f>IF(ISNA(VLOOKUP(B404,Pricelist!A:D,2,FALSE)),"",VLOOKUP(B404,Pricelist!A:D,3,FALSE))</f>
        <v/>
      </c>
    </row>
    <row r="405" spans="2:4">
      <c r="B405" s="270"/>
      <c r="C405" s="369" t="str">
        <f>IF(ISNA(VLOOKUP(B405,Pricelist!A:D,2,FALSE)),"",VLOOKUP(B405,Pricelist!A:D,2,FALSE))</f>
        <v/>
      </c>
      <c r="D405" s="134" t="str">
        <f>IF(ISNA(VLOOKUP(B405,Pricelist!A:D,2,FALSE)),"",VLOOKUP(B405,Pricelist!A:D,3,FALSE))</f>
        <v/>
      </c>
    </row>
    <row r="406" spans="2:4">
      <c r="B406" s="270"/>
      <c r="C406" s="369" t="str">
        <f>IF(ISNA(VLOOKUP(B406,Pricelist!A:D,2,FALSE)),"",VLOOKUP(B406,Pricelist!A:D,2,FALSE))</f>
        <v/>
      </c>
      <c r="D406" s="134" t="str">
        <f>IF(ISNA(VLOOKUP(B406,Pricelist!A:D,2,FALSE)),"",VLOOKUP(B406,Pricelist!A:D,3,FALSE))</f>
        <v/>
      </c>
    </row>
    <row r="407" spans="2:4">
      <c r="B407" s="270"/>
      <c r="C407" s="369" t="str">
        <f>IF(ISNA(VLOOKUP(B407,Pricelist!A:D,2,FALSE)),"",VLOOKUP(B407,Pricelist!A:D,2,FALSE))</f>
        <v/>
      </c>
      <c r="D407" s="134" t="str">
        <f>IF(ISNA(VLOOKUP(B407,Pricelist!A:D,2,FALSE)),"",VLOOKUP(B407,Pricelist!A:D,3,FALSE))</f>
        <v/>
      </c>
    </row>
    <row r="408" spans="2:4">
      <c r="B408" s="270"/>
      <c r="C408" s="369" t="str">
        <f>IF(ISNA(VLOOKUP(B408,Pricelist!A:D,2,FALSE)),"",VLOOKUP(B408,Pricelist!A:D,2,FALSE))</f>
        <v/>
      </c>
      <c r="D408" s="134" t="str">
        <f>IF(ISNA(VLOOKUP(B408,Pricelist!A:D,2,FALSE)),"",VLOOKUP(B408,Pricelist!A:D,3,FALSE))</f>
        <v/>
      </c>
    </row>
    <row r="409" spans="2:4">
      <c r="B409" s="270"/>
      <c r="C409" s="369" t="str">
        <f>IF(ISNA(VLOOKUP(B409,Pricelist!A:D,2,FALSE)),"",VLOOKUP(B409,Pricelist!A:D,2,FALSE))</f>
        <v/>
      </c>
      <c r="D409" s="134" t="str">
        <f>IF(ISNA(VLOOKUP(B409,Pricelist!A:D,2,FALSE)),"",VLOOKUP(B409,Pricelist!A:D,3,FALSE))</f>
        <v/>
      </c>
    </row>
    <row r="410" spans="2:4">
      <c r="B410" s="270"/>
      <c r="C410" s="369" t="str">
        <f>IF(ISNA(VLOOKUP(B410,Pricelist!A:D,2,FALSE)),"",VLOOKUP(B410,Pricelist!A:D,2,FALSE))</f>
        <v/>
      </c>
      <c r="D410" s="134" t="str">
        <f>IF(ISNA(VLOOKUP(B410,Pricelist!A:D,2,FALSE)),"",VLOOKUP(B410,Pricelist!A:D,3,FALSE))</f>
        <v/>
      </c>
    </row>
    <row r="411" spans="2:4">
      <c r="B411" s="270"/>
      <c r="C411" s="369" t="str">
        <f>IF(ISNA(VLOOKUP(B411,Pricelist!A:D,2,FALSE)),"",VLOOKUP(B411,Pricelist!A:D,2,FALSE))</f>
        <v/>
      </c>
      <c r="D411" s="134" t="str">
        <f>IF(ISNA(VLOOKUP(B411,Pricelist!A:D,2,FALSE)),"",VLOOKUP(B411,Pricelist!A:D,3,FALSE))</f>
        <v/>
      </c>
    </row>
    <row r="412" spans="2:4">
      <c r="B412" s="270"/>
      <c r="C412" s="369" t="str">
        <f>IF(ISNA(VLOOKUP(B412,Pricelist!A:D,2,FALSE)),"",VLOOKUP(B412,Pricelist!A:D,2,FALSE))</f>
        <v/>
      </c>
      <c r="D412" s="134" t="str">
        <f>IF(ISNA(VLOOKUP(B412,Pricelist!A:D,2,FALSE)),"",VLOOKUP(B412,Pricelist!A:D,3,FALSE))</f>
        <v/>
      </c>
    </row>
    <row r="413" spans="2:4">
      <c r="B413" s="270"/>
      <c r="C413" s="369" t="str">
        <f>IF(ISNA(VLOOKUP(B413,Pricelist!A:D,2,FALSE)),"",VLOOKUP(B413,Pricelist!A:D,2,FALSE))</f>
        <v/>
      </c>
      <c r="D413" s="134" t="str">
        <f>IF(ISNA(VLOOKUP(B413,Pricelist!A:D,2,FALSE)),"",VLOOKUP(B413,Pricelist!A:D,3,FALSE))</f>
        <v/>
      </c>
    </row>
    <row r="414" spans="2:4">
      <c r="B414" s="270"/>
      <c r="C414" s="369" t="str">
        <f>IF(ISNA(VLOOKUP(B414,Pricelist!A:D,2,FALSE)),"",VLOOKUP(B414,Pricelist!A:D,2,FALSE))</f>
        <v/>
      </c>
      <c r="D414" s="134" t="str">
        <f>IF(ISNA(VLOOKUP(B414,Pricelist!A:D,2,FALSE)),"",VLOOKUP(B414,Pricelist!A:D,3,FALSE))</f>
        <v/>
      </c>
    </row>
    <row r="415" spans="2:4">
      <c r="B415" s="270"/>
      <c r="C415" s="369" t="str">
        <f>IF(ISNA(VLOOKUP(B415,Pricelist!A:D,2,FALSE)),"",VLOOKUP(B415,Pricelist!A:D,2,FALSE))</f>
        <v/>
      </c>
      <c r="D415" s="134" t="str">
        <f>IF(ISNA(VLOOKUP(B415,Pricelist!A:D,2,FALSE)),"",VLOOKUP(B415,Pricelist!A:D,3,FALSE))</f>
        <v/>
      </c>
    </row>
    <row r="416" spans="2:4">
      <c r="B416" s="270"/>
      <c r="C416" s="369" t="str">
        <f>IF(ISNA(VLOOKUP(B416,Pricelist!A:D,2,FALSE)),"",VLOOKUP(B416,Pricelist!A:D,2,FALSE))</f>
        <v/>
      </c>
      <c r="D416" s="134" t="str">
        <f>IF(ISNA(VLOOKUP(B416,Pricelist!A:D,2,FALSE)),"",VLOOKUP(B416,Pricelist!A:D,3,FALSE))</f>
        <v/>
      </c>
    </row>
    <row r="417" spans="2:4">
      <c r="B417" s="270"/>
      <c r="C417" s="369" t="str">
        <f>IF(ISNA(VLOOKUP(B417,Pricelist!A:D,2,FALSE)),"",VLOOKUP(B417,Pricelist!A:D,2,FALSE))</f>
        <v/>
      </c>
      <c r="D417" s="134" t="str">
        <f>IF(ISNA(VLOOKUP(B417,Pricelist!A:D,2,FALSE)),"",VLOOKUP(B417,Pricelist!A:D,3,FALSE))</f>
        <v/>
      </c>
    </row>
    <row r="418" spans="2:4">
      <c r="B418" s="270"/>
      <c r="C418" s="369" t="str">
        <f>IF(ISNA(VLOOKUP(B418,Pricelist!A:D,2,FALSE)),"",VLOOKUP(B418,Pricelist!A:D,2,FALSE))</f>
        <v/>
      </c>
      <c r="D418" s="134" t="str">
        <f>IF(ISNA(VLOOKUP(B418,Pricelist!A:D,2,FALSE)),"",VLOOKUP(B418,Pricelist!A:D,3,FALSE))</f>
        <v/>
      </c>
    </row>
    <row r="419" spans="2:4">
      <c r="B419" s="270"/>
      <c r="C419" s="369" t="str">
        <f>IF(ISNA(VLOOKUP(B419,Pricelist!A:D,2,FALSE)),"",VLOOKUP(B419,Pricelist!A:D,2,FALSE))</f>
        <v/>
      </c>
      <c r="D419" s="134" t="str">
        <f>IF(ISNA(VLOOKUP(B419,Pricelist!A:D,2,FALSE)),"",VLOOKUP(B419,Pricelist!A:D,3,FALSE))</f>
        <v/>
      </c>
    </row>
    <row r="420" spans="2:4">
      <c r="B420" s="270"/>
      <c r="C420" s="369" t="str">
        <f>IF(ISNA(VLOOKUP(B420,Pricelist!A:D,2,FALSE)),"",VLOOKUP(B420,Pricelist!A:D,2,FALSE))</f>
        <v/>
      </c>
      <c r="D420" s="134" t="str">
        <f>IF(ISNA(VLOOKUP(B420,Pricelist!A:D,2,FALSE)),"",VLOOKUP(B420,Pricelist!A:D,3,FALSE))</f>
        <v/>
      </c>
    </row>
    <row r="421" spans="2:4">
      <c r="B421" s="270"/>
      <c r="C421" s="369" t="str">
        <f>IF(ISNA(VLOOKUP(B421,Pricelist!A:D,2,FALSE)),"",VLOOKUP(B421,Pricelist!A:D,2,FALSE))</f>
        <v/>
      </c>
      <c r="D421" s="134" t="str">
        <f>IF(ISNA(VLOOKUP(B421,Pricelist!A:D,2,FALSE)),"",VLOOKUP(B421,Pricelist!A:D,3,FALSE))</f>
        <v/>
      </c>
    </row>
    <row r="422" spans="2:4">
      <c r="B422" s="270"/>
      <c r="C422" s="369" t="str">
        <f>IF(ISNA(VLOOKUP(B422,Pricelist!A:D,2,FALSE)),"",VLOOKUP(B422,Pricelist!A:D,2,FALSE))</f>
        <v/>
      </c>
      <c r="D422" s="134" t="str">
        <f>IF(ISNA(VLOOKUP(B422,Pricelist!A:D,2,FALSE)),"",VLOOKUP(B422,Pricelist!A:D,3,FALSE))</f>
        <v/>
      </c>
    </row>
    <row r="423" spans="2:4">
      <c r="B423" s="270"/>
      <c r="C423" s="369" t="str">
        <f>IF(ISNA(VLOOKUP(B423,Pricelist!A:D,2,FALSE)),"",VLOOKUP(B423,Pricelist!A:D,2,FALSE))</f>
        <v/>
      </c>
      <c r="D423" s="134" t="str">
        <f>IF(ISNA(VLOOKUP(B423,Pricelist!A:D,2,FALSE)),"",VLOOKUP(B423,Pricelist!A:D,3,FALSE))</f>
        <v/>
      </c>
    </row>
    <row r="424" spans="2:4">
      <c r="B424" s="270"/>
      <c r="C424" s="369" t="str">
        <f>IF(ISNA(VLOOKUP(B424,Pricelist!A:D,2,FALSE)),"",VLOOKUP(B424,Pricelist!A:D,2,FALSE))</f>
        <v/>
      </c>
      <c r="D424" s="134" t="str">
        <f>IF(ISNA(VLOOKUP(B424,Pricelist!A:D,2,FALSE)),"",VLOOKUP(B424,Pricelist!A:D,3,FALSE))</f>
        <v/>
      </c>
    </row>
    <row r="425" spans="2:4">
      <c r="B425" s="270"/>
      <c r="C425" s="369" t="str">
        <f>IF(ISNA(VLOOKUP(B425,Pricelist!A:D,2,FALSE)),"",VLOOKUP(B425,Pricelist!A:D,2,FALSE))</f>
        <v/>
      </c>
      <c r="D425" s="134" t="str">
        <f>IF(ISNA(VLOOKUP(B425,Pricelist!A:D,2,FALSE)),"",VLOOKUP(B425,Pricelist!A:D,3,FALSE))</f>
        <v/>
      </c>
    </row>
    <row r="426" spans="2:4">
      <c r="B426" s="270"/>
      <c r="C426" s="369" t="str">
        <f>IF(ISNA(VLOOKUP(B426,Pricelist!A:D,2,FALSE)),"",VLOOKUP(B426,Pricelist!A:D,2,FALSE))</f>
        <v/>
      </c>
      <c r="D426" s="134" t="str">
        <f>IF(ISNA(VLOOKUP(B426,Pricelist!A:D,2,FALSE)),"",VLOOKUP(B426,Pricelist!A:D,3,FALSE))</f>
        <v/>
      </c>
    </row>
    <row r="427" spans="2:4">
      <c r="B427" s="270"/>
      <c r="C427" s="369" t="str">
        <f>IF(ISNA(VLOOKUP(B427,Pricelist!A:D,2,FALSE)),"",VLOOKUP(B427,Pricelist!A:D,2,FALSE))</f>
        <v/>
      </c>
      <c r="D427" s="134" t="str">
        <f>IF(ISNA(VLOOKUP(B427,Pricelist!A:D,2,FALSE)),"",VLOOKUP(B427,Pricelist!A:D,3,FALSE))</f>
        <v/>
      </c>
    </row>
    <row r="428" spans="2:4">
      <c r="B428" s="270"/>
      <c r="C428" s="369" t="str">
        <f>IF(ISNA(VLOOKUP(B428,Pricelist!A:D,2,FALSE)),"",VLOOKUP(B428,Pricelist!A:D,2,FALSE))</f>
        <v/>
      </c>
      <c r="D428" s="134" t="str">
        <f>IF(ISNA(VLOOKUP(B428,Pricelist!A:D,2,FALSE)),"",VLOOKUP(B428,Pricelist!A:D,3,FALSE))</f>
        <v/>
      </c>
    </row>
    <row r="429" spans="2:4">
      <c r="B429" s="270"/>
      <c r="C429" s="369" t="str">
        <f>IF(ISNA(VLOOKUP(B429,Pricelist!A:D,2,FALSE)),"",VLOOKUP(B429,Pricelist!A:D,2,FALSE))</f>
        <v/>
      </c>
      <c r="D429" s="134" t="str">
        <f>IF(ISNA(VLOOKUP(B429,Pricelist!A:D,2,FALSE)),"",VLOOKUP(B429,Pricelist!A:D,3,FALSE))</f>
        <v/>
      </c>
    </row>
    <row r="430" spans="2:4">
      <c r="B430" s="270"/>
      <c r="C430" s="369" t="str">
        <f>IF(ISNA(VLOOKUP(B430,Pricelist!A:D,2,FALSE)),"",VLOOKUP(B430,Pricelist!A:D,2,FALSE))</f>
        <v/>
      </c>
      <c r="D430" s="134" t="str">
        <f>IF(ISNA(VLOOKUP(B430,Pricelist!A:D,2,FALSE)),"",VLOOKUP(B430,Pricelist!A:D,3,FALSE))</f>
        <v/>
      </c>
    </row>
    <row r="431" spans="2:4">
      <c r="B431" s="270"/>
      <c r="C431" s="369" t="str">
        <f>IF(ISNA(VLOOKUP(B431,Pricelist!A:D,2,FALSE)),"",VLOOKUP(B431,Pricelist!A:D,2,FALSE))</f>
        <v/>
      </c>
      <c r="D431" s="134" t="str">
        <f>IF(ISNA(VLOOKUP(B431,Pricelist!A:D,2,FALSE)),"",VLOOKUP(B431,Pricelist!A:D,3,FALSE))</f>
        <v/>
      </c>
    </row>
    <row r="432" spans="2:4">
      <c r="B432" s="270"/>
      <c r="C432" s="369" t="str">
        <f>IF(ISNA(VLOOKUP(B432,Pricelist!A:D,2,FALSE)),"",VLOOKUP(B432,Pricelist!A:D,2,FALSE))</f>
        <v/>
      </c>
      <c r="D432" s="134" t="str">
        <f>IF(ISNA(VLOOKUP(B432,Pricelist!A:D,2,FALSE)),"",VLOOKUP(B432,Pricelist!A:D,3,FALSE))</f>
        <v/>
      </c>
    </row>
    <row r="433" spans="2:4">
      <c r="B433" s="270"/>
      <c r="C433" s="369" t="str">
        <f>IF(ISNA(VLOOKUP(B433,Pricelist!A:D,2,FALSE)),"",VLOOKUP(B433,Pricelist!A:D,2,FALSE))</f>
        <v/>
      </c>
      <c r="D433" s="134" t="str">
        <f>IF(ISNA(VLOOKUP(B433,Pricelist!A:D,2,FALSE)),"",VLOOKUP(B433,Pricelist!A:D,3,FALSE))</f>
        <v/>
      </c>
    </row>
    <row r="434" spans="2:4">
      <c r="B434" s="270"/>
      <c r="C434" s="369" t="str">
        <f>IF(ISNA(VLOOKUP(B434,Pricelist!A:D,2,FALSE)),"",VLOOKUP(B434,Pricelist!A:D,2,FALSE))</f>
        <v/>
      </c>
      <c r="D434" s="134" t="str">
        <f>IF(ISNA(VLOOKUP(B434,Pricelist!A:D,2,FALSE)),"",VLOOKUP(B434,Pricelist!A:D,3,FALSE))</f>
        <v/>
      </c>
    </row>
    <row r="435" spans="2:4">
      <c r="B435" s="270"/>
      <c r="C435" s="369" t="str">
        <f>IF(ISNA(VLOOKUP(B435,Pricelist!A:D,2,FALSE)),"",VLOOKUP(B435,Pricelist!A:D,2,FALSE))</f>
        <v/>
      </c>
      <c r="D435" s="134" t="str">
        <f>IF(ISNA(VLOOKUP(B435,Pricelist!A:D,2,FALSE)),"",VLOOKUP(B435,Pricelist!A:D,3,FALSE))</f>
        <v/>
      </c>
    </row>
    <row r="436" spans="2:4">
      <c r="B436" s="270"/>
      <c r="C436" s="369" t="str">
        <f>IF(ISNA(VLOOKUP(B436,Pricelist!A:D,2,FALSE)),"",VLOOKUP(B436,Pricelist!A:D,2,FALSE))</f>
        <v/>
      </c>
      <c r="D436" s="134" t="str">
        <f>IF(ISNA(VLOOKUP(B436,Pricelist!A:D,2,FALSE)),"",VLOOKUP(B436,Pricelist!A:D,3,FALSE))</f>
        <v/>
      </c>
    </row>
    <row r="437" spans="2:4">
      <c r="B437" s="270"/>
      <c r="C437" s="369" t="str">
        <f>IF(ISNA(VLOOKUP(B437,Pricelist!A:D,2,FALSE)),"",VLOOKUP(B437,Pricelist!A:D,2,FALSE))</f>
        <v/>
      </c>
      <c r="D437" s="134" t="str">
        <f>IF(ISNA(VLOOKUP(B437,Pricelist!A:D,2,FALSE)),"",VLOOKUP(B437,Pricelist!A:D,3,FALSE))</f>
        <v/>
      </c>
    </row>
    <row r="438" spans="2:4">
      <c r="B438" s="270"/>
      <c r="C438" s="369" t="str">
        <f>IF(ISNA(VLOOKUP(B438,Pricelist!A:D,2,FALSE)),"",VLOOKUP(B438,Pricelist!A:D,2,FALSE))</f>
        <v/>
      </c>
      <c r="D438" s="134" t="str">
        <f>IF(ISNA(VLOOKUP(B438,Pricelist!A:D,2,FALSE)),"",VLOOKUP(B438,Pricelist!A:D,3,FALSE))</f>
        <v/>
      </c>
    </row>
    <row r="439" spans="2:4">
      <c r="B439" s="270"/>
      <c r="C439" s="369" t="str">
        <f>IF(ISNA(VLOOKUP(B439,Pricelist!A:D,2,FALSE)),"",VLOOKUP(B439,Pricelist!A:D,2,FALSE))</f>
        <v/>
      </c>
      <c r="D439" s="134" t="str">
        <f>IF(ISNA(VLOOKUP(B439,Pricelist!A:D,2,FALSE)),"",VLOOKUP(B439,Pricelist!A:D,3,FALSE))</f>
        <v/>
      </c>
    </row>
    <row r="440" spans="2:4">
      <c r="B440" s="270"/>
      <c r="C440" s="369" t="str">
        <f>IF(ISNA(VLOOKUP(B440,Pricelist!A:D,2,FALSE)),"",VLOOKUP(B440,Pricelist!A:D,2,FALSE))</f>
        <v/>
      </c>
      <c r="D440" s="134" t="str">
        <f>IF(ISNA(VLOOKUP(B440,Pricelist!A:D,2,FALSE)),"",VLOOKUP(B440,Pricelist!A:D,3,FALSE))</f>
        <v/>
      </c>
    </row>
    <row r="441" spans="2:4">
      <c r="B441" s="270"/>
      <c r="C441" s="369" t="str">
        <f>IF(ISNA(VLOOKUP(B441,Pricelist!A:D,2,FALSE)),"",VLOOKUP(B441,Pricelist!A:D,2,FALSE))</f>
        <v/>
      </c>
      <c r="D441" s="134" t="str">
        <f>IF(ISNA(VLOOKUP(B441,Pricelist!A:D,2,FALSE)),"",VLOOKUP(B441,Pricelist!A:D,3,FALSE))</f>
        <v/>
      </c>
    </row>
    <row r="442" spans="2:4">
      <c r="B442" s="270"/>
      <c r="C442" s="369" t="str">
        <f>IF(ISNA(VLOOKUP(B442,Pricelist!A:D,2,FALSE)),"",VLOOKUP(B442,Pricelist!A:D,2,FALSE))</f>
        <v/>
      </c>
      <c r="D442" s="134" t="str">
        <f>IF(ISNA(VLOOKUP(B442,Pricelist!A:D,2,FALSE)),"",VLOOKUP(B442,Pricelist!A:D,3,FALSE))</f>
        <v/>
      </c>
    </row>
    <row r="443" spans="2:4">
      <c r="B443" s="270"/>
      <c r="C443" s="369" t="str">
        <f>IF(ISNA(VLOOKUP(B443,Pricelist!A:D,2,FALSE)),"",VLOOKUP(B443,Pricelist!A:D,2,FALSE))</f>
        <v/>
      </c>
      <c r="D443" s="134" t="str">
        <f>IF(ISNA(VLOOKUP(B443,Pricelist!A:D,2,FALSE)),"",VLOOKUP(B443,Pricelist!A:D,3,FALSE))</f>
        <v/>
      </c>
    </row>
    <row r="444" spans="2:4">
      <c r="B444" s="270"/>
      <c r="C444" s="369" t="str">
        <f>IF(ISNA(VLOOKUP(B444,Pricelist!A:D,2,FALSE)),"",VLOOKUP(B444,Pricelist!A:D,2,FALSE))</f>
        <v/>
      </c>
      <c r="D444" s="134" t="str">
        <f>IF(ISNA(VLOOKUP(B444,Pricelist!A:D,2,FALSE)),"",VLOOKUP(B444,Pricelist!A:D,3,FALSE))</f>
        <v/>
      </c>
    </row>
    <row r="445" spans="2:4">
      <c r="B445" s="270"/>
      <c r="C445" s="369" t="str">
        <f>IF(ISNA(VLOOKUP(B445,Pricelist!A:D,2,FALSE)),"",VLOOKUP(B445,Pricelist!A:D,2,FALSE))</f>
        <v/>
      </c>
      <c r="D445" s="134" t="str">
        <f>IF(ISNA(VLOOKUP(B445,Pricelist!A:D,2,FALSE)),"",VLOOKUP(B445,Pricelist!A:D,3,FALSE))</f>
        <v/>
      </c>
    </row>
    <row r="446" spans="2:4">
      <c r="B446" s="270"/>
      <c r="C446" s="369" t="str">
        <f>IF(ISNA(VLOOKUP(B446,Pricelist!A:D,2,FALSE)),"",VLOOKUP(B446,Pricelist!A:D,2,FALSE))</f>
        <v/>
      </c>
      <c r="D446" s="134" t="str">
        <f>IF(ISNA(VLOOKUP(B446,Pricelist!A:D,2,FALSE)),"",VLOOKUP(B446,Pricelist!A:D,3,FALSE))</f>
        <v/>
      </c>
    </row>
    <row r="447" spans="2:4">
      <c r="B447" s="270"/>
      <c r="C447" s="369" t="str">
        <f>IF(ISNA(VLOOKUP(B447,Pricelist!A:D,2,FALSE)),"",VLOOKUP(B447,Pricelist!A:D,2,FALSE))</f>
        <v/>
      </c>
      <c r="D447" s="134" t="str">
        <f>IF(ISNA(VLOOKUP(B447,Pricelist!A:D,2,FALSE)),"",VLOOKUP(B447,Pricelist!A:D,3,FALSE))</f>
        <v/>
      </c>
    </row>
    <row r="448" spans="2:4">
      <c r="B448" s="270"/>
      <c r="C448" s="369" t="str">
        <f>IF(ISNA(VLOOKUP(B448,Pricelist!A:D,2,FALSE)),"",VLOOKUP(B448,Pricelist!A:D,2,FALSE))</f>
        <v/>
      </c>
      <c r="D448" s="134" t="str">
        <f>IF(ISNA(VLOOKUP(B448,Pricelist!A:D,2,FALSE)),"",VLOOKUP(B448,Pricelist!A:D,3,FALSE))</f>
        <v/>
      </c>
    </row>
    <row r="449" spans="2:4">
      <c r="B449" s="270"/>
      <c r="C449" s="369" t="str">
        <f>IF(ISNA(VLOOKUP(B449,Pricelist!A:D,2,FALSE)),"",VLOOKUP(B449,Pricelist!A:D,2,FALSE))</f>
        <v/>
      </c>
      <c r="D449" s="134" t="str">
        <f>IF(ISNA(VLOOKUP(B449,Pricelist!A:D,2,FALSE)),"",VLOOKUP(B449,Pricelist!A:D,3,FALSE))</f>
        <v/>
      </c>
    </row>
    <row r="450" spans="2:4">
      <c r="B450" s="270"/>
      <c r="C450" s="369" t="str">
        <f>IF(ISNA(VLOOKUP(B450,Pricelist!A:D,2,FALSE)),"",VLOOKUP(B450,Pricelist!A:D,2,FALSE))</f>
        <v/>
      </c>
      <c r="D450" s="134" t="str">
        <f>IF(ISNA(VLOOKUP(B450,Pricelist!A:D,2,FALSE)),"",VLOOKUP(B450,Pricelist!A:D,3,FALSE))</f>
        <v/>
      </c>
    </row>
    <row r="451" spans="2:4">
      <c r="B451" s="270"/>
      <c r="C451" s="369" t="str">
        <f>IF(ISNA(VLOOKUP(B451,Pricelist!A:D,2,FALSE)),"",VLOOKUP(B451,Pricelist!A:D,2,FALSE))</f>
        <v/>
      </c>
      <c r="D451" s="134" t="str">
        <f>IF(ISNA(VLOOKUP(B451,Pricelist!A:D,2,FALSE)),"",VLOOKUP(B451,Pricelist!A:D,3,FALSE))</f>
        <v/>
      </c>
    </row>
    <row r="452" spans="2:4">
      <c r="B452" s="270"/>
      <c r="C452" s="369" t="str">
        <f>IF(ISNA(VLOOKUP(B452,Pricelist!A:D,2,FALSE)),"",VLOOKUP(B452,Pricelist!A:D,2,FALSE))</f>
        <v/>
      </c>
      <c r="D452" s="134" t="str">
        <f>IF(ISNA(VLOOKUP(B452,Pricelist!A:D,2,FALSE)),"",VLOOKUP(B452,Pricelist!A:D,3,FALSE))</f>
        <v/>
      </c>
    </row>
    <row r="453" spans="2:4">
      <c r="B453" s="270"/>
      <c r="C453" s="369" t="str">
        <f>IF(ISNA(VLOOKUP(B453,Pricelist!A:D,2,FALSE)),"",VLOOKUP(B453,Pricelist!A:D,2,FALSE))</f>
        <v/>
      </c>
      <c r="D453" s="134" t="str">
        <f>IF(ISNA(VLOOKUP(B453,Pricelist!A:D,2,FALSE)),"",VLOOKUP(B453,Pricelist!A:D,3,FALSE))</f>
        <v/>
      </c>
    </row>
    <row r="454" spans="2:4">
      <c r="B454" s="270"/>
      <c r="C454" s="369" t="str">
        <f>IF(ISNA(VLOOKUP(B454,Pricelist!A:D,2,FALSE)),"",VLOOKUP(B454,Pricelist!A:D,2,FALSE))</f>
        <v/>
      </c>
      <c r="D454" s="134" t="str">
        <f>IF(ISNA(VLOOKUP(B454,Pricelist!A:D,2,FALSE)),"",VLOOKUP(B454,Pricelist!A:D,3,FALSE))</f>
        <v/>
      </c>
    </row>
    <row r="455" spans="2:4">
      <c r="B455" s="270"/>
      <c r="C455" s="369" t="str">
        <f>IF(ISNA(VLOOKUP(B455,Pricelist!A:D,2,FALSE)),"",VLOOKUP(B455,Pricelist!A:D,2,FALSE))</f>
        <v/>
      </c>
      <c r="D455" s="134" t="str">
        <f>IF(ISNA(VLOOKUP(B455,Pricelist!A:D,2,FALSE)),"",VLOOKUP(B455,Pricelist!A:D,3,FALSE))</f>
        <v/>
      </c>
    </row>
    <row r="456" spans="2:4">
      <c r="B456" s="270"/>
      <c r="C456" s="369" t="str">
        <f>IF(ISNA(VLOOKUP(B456,Pricelist!A:D,2,FALSE)),"",VLOOKUP(B456,Pricelist!A:D,2,FALSE))</f>
        <v/>
      </c>
      <c r="D456" s="134" t="str">
        <f>IF(ISNA(VLOOKUP(B456,Pricelist!A:D,2,FALSE)),"",VLOOKUP(B456,Pricelist!A:D,3,FALSE))</f>
        <v/>
      </c>
    </row>
    <row r="457" spans="2:4">
      <c r="B457" s="270"/>
      <c r="C457" s="369" t="str">
        <f>IF(ISNA(VLOOKUP(B457,Pricelist!A:D,2,FALSE)),"",VLOOKUP(B457,Pricelist!A:D,2,FALSE))</f>
        <v/>
      </c>
      <c r="D457" s="134" t="str">
        <f>IF(ISNA(VLOOKUP(B457,Pricelist!A:D,2,FALSE)),"",VLOOKUP(B457,Pricelist!A:D,3,FALSE))</f>
        <v/>
      </c>
    </row>
    <row r="458" spans="2:4">
      <c r="B458" s="270"/>
      <c r="C458" s="369" t="str">
        <f>IF(ISNA(VLOOKUP(B458,Pricelist!A:D,2,FALSE)),"",VLOOKUP(B458,Pricelist!A:D,2,FALSE))</f>
        <v/>
      </c>
      <c r="D458" s="134" t="str">
        <f>IF(ISNA(VLOOKUP(B458,Pricelist!A:D,2,FALSE)),"",VLOOKUP(B458,Pricelist!A:D,3,FALSE))</f>
        <v/>
      </c>
    </row>
    <row r="459" spans="2:4">
      <c r="B459" s="270"/>
      <c r="C459" s="369" t="str">
        <f>IF(ISNA(VLOOKUP(B459,Pricelist!A:D,2,FALSE)),"",VLOOKUP(B459,Pricelist!A:D,2,FALSE))</f>
        <v/>
      </c>
      <c r="D459" s="134" t="str">
        <f>IF(ISNA(VLOOKUP(B459,Pricelist!A:D,2,FALSE)),"",VLOOKUP(B459,Pricelist!A:D,3,FALSE))</f>
        <v/>
      </c>
    </row>
    <row r="460" spans="2:4">
      <c r="B460" s="270"/>
      <c r="C460" s="369" t="str">
        <f>IF(ISNA(VLOOKUP(B460,Pricelist!A:D,2,FALSE)),"",VLOOKUP(B460,Pricelist!A:D,2,FALSE))</f>
        <v/>
      </c>
      <c r="D460" s="134" t="str">
        <f>IF(ISNA(VLOOKUP(B460,Pricelist!A:D,2,FALSE)),"",VLOOKUP(B460,Pricelist!A:D,3,FALSE))</f>
        <v/>
      </c>
    </row>
    <row r="461" spans="2:4">
      <c r="B461" s="270"/>
      <c r="C461" s="369" t="str">
        <f>IF(ISNA(VLOOKUP(B461,Pricelist!A:D,2,FALSE)),"",VLOOKUP(B461,Pricelist!A:D,2,FALSE))</f>
        <v/>
      </c>
      <c r="D461" s="134" t="str">
        <f>IF(ISNA(VLOOKUP(B461,Pricelist!A:D,2,FALSE)),"",VLOOKUP(B461,Pricelist!A:D,3,FALSE))</f>
        <v/>
      </c>
    </row>
    <row r="462" spans="2:4">
      <c r="B462" s="270"/>
      <c r="C462" s="369" t="str">
        <f>IF(ISNA(VLOOKUP(B462,Pricelist!A:D,2,FALSE)),"",VLOOKUP(B462,Pricelist!A:D,2,FALSE))</f>
        <v/>
      </c>
      <c r="D462" s="134" t="str">
        <f>IF(ISNA(VLOOKUP(B462,Pricelist!A:D,2,FALSE)),"",VLOOKUP(B462,Pricelist!A:D,3,FALSE))</f>
        <v/>
      </c>
    </row>
    <row r="463" spans="2:4">
      <c r="B463" s="270"/>
      <c r="C463" s="369" t="str">
        <f>IF(ISNA(VLOOKUP(B463,Pricelist!A:D,2,FALSE)),"",VLOOKUP(B463,Pricelist!A:D,2,FALSE))</f>
        <v/>
      </c>
      <c r="D463" s="134" t="str">
        <f>IF(ISNA(VLOOKUP(B463,Pricelist!A:D,2,FALSE)),"",VLOOKUP(B463,Pricelist!A:D,3,FALSE))</f>
        <v/>
      </c>
    </row>
    <row r="464" spans="2:4">
      <c r="B464" s="270"/>
      <c r="C464" s="369" t="str">
        <f>IF(ISNA(VLOOKUP(B464,Pricelist!A:D,2,FALSE)),"",VLOOKUP(B464,Pricelist!A:D,2,FALSE))</f>
        <v/>
      </c>
      <c r="D464" s="134" t="str">
        <f>IF(ISNA(VLOOKUP(B464,Pricelist!A:D,2,FALSE)),"",VLOOKUP(B464,Pricelist!A:D,3,FALSE))</f>
        <v/>
      </c>
    </row>
    <row r="465" spans="2:4">
      <c r="B465" s="270"/>
      <c r="C465" s="369" t="str">
        <f>IF(ISNA(VLOOKUP(B465,Pricelist!A:D,2,FALSE)),"",VLOOKUP(B465,Pricelist!A:D,2,FALSE))</f>
        <v/>
      </c>
      <c r="D465" s="134" t="str">
        <f>IF(ISNA(VLOOKUP(B465,Pricelist!A:D,2,FALSE)),"",VLOOKUP(B465,Pricelist!A:D,3,FALSE))</f>
        <v/>
      </c>
    </row>
    <row r="466" spans="2:4">
      <c r="B466" s="270"/>
      <c r="C466" s="369" t="str">
        <f>IF(ISNA(VLOOKUP(B466,Pricelist!A:D,2,FALSE)),"",VLOOKUP(B466,Pricelist!A:D,2,FALSE))</f>
        <v/>
      </c>
      <c r="D466" s="134" t="str">
        <f>IF(ISNA(VLOOKUP(B466,Pricelist!A:D,2,FALSE)),"",VLOOKUP(B466,Pricelist!A:D,3,FALSE))</f>
        <v/>
      </c>
    </row>
    <row r="467" spans="2:4">
      <c r="B467" s="270"/>
      <c r="C467" s="369" t="str">
        <f>IF(ISNA(VLOOKUP(B467,Pricelist!A:D,2,FALSE)),"",VLOOKUP(B467,Pricelist!A:D,2,FALSE))</f>
        <v/>
      </c>
      <c r="D467" s="134" t="str">
        <f>IF(ISNA(VLOOKUP(B467,Pricelist!A:D,2,FALSE)),"",VLOOKUP(B467,Pricelist!A:D,3,FALSE))</f>
        <v/>
      </c>
    </row>
    <row r="468" spans="2:4">
      <c r="B468" s="270"/>
      <c r="C468" s="369" t="str">
        <f>IF(ISNA(VLOOKUP(B468,Pricelist!A:D,2,FALSE)),"",VLOOKUP(B468,Pricelist!A:D,2,FALSE))</f>
        <v/>
      </c>
      <c r="D468" s="134" t="str">
        <f>IF(ISNA(VLOOKUP(B468,Pricelist!A:D,2,FALSE)),"",VLOOKUP(B468,Pricelist!A:D,3,FALSE))</f>
        <v/>
      </c>
    </row>
    <row r="469" spans="2:4">
      <c r="B469" s="270"/>
      <c r="C469" s="369" t="str">
        <f>IF(ISNA(VLOOKUP(B469,Pricelist!A:D,2,FALSE)),"",VLOOKUP(B469,Pricelist!A:D,2,FALSE))</f>
        <v/>
      </c>
      <c r="D469" s="134" t="str">
        <f>IF(ISNA(VLOOKUP(B469,Pricelist!A:D,2,FALSE)),"",VLOOKUP(B469,Pricelist!A:D,3,FALSE))</f>
        <v/>
      </c>
    </row>
    <row r="470" spans="2:4">
      <c r="B470" s="270"/>
      <c r="C470" s="369" t="str">
        <f>IF(ISNA(VLOOKUP(B470,Pricelist!A:D,2,FALSE)),"",VLOOKUP(B470,Pricelist!A:D,2,FALSE))</f>
        <v/>
      </c>
      <c r="D470" s="134" t="str">
        <f>IF(ISNA(VLOOKUP(B470,Pricelist!A:D,2,FALSE)),"",VLOOKUP(B470,Pricelist!A:D,3,FALSE))</f>
        <v/>
      </c>
    </row>
    <row r="471" spans="2:4">
      <c r="B471" s="270"/>
      <c r="C471" s="369" t="str">
        <f>IF(ISNA(VLOOKUP(B471,Pricelist!A:D,2,FALSE)),"",VLOOKUP(B471,Pricelist!A:D,2,FALSE))</f>
        <v/>
      </c>
      <c r="D471" s="134" t="str">
        <f>IF(ISNA(VLOOKUP(B471,Pricelist!A:D,2,FALSE)),"",VLOOKUP(B471,Pricelist!A:D,3,FALSE))</f>
        <v/>
      </c>
    </row>
    <row r="472" spans="2:4">
      <c r="B472" s="270"/>
      <c r="C472" s="369" t="str">
        <f>IF(ISNA(VLOOKUP(B472,Pricelist!A:D,2,FALSE)),"",VLOOKUP(B472,Pricelist!A:D,2,FALSE))</f>
        <v/>
      </c>
      <c r="D472" s="134" t="str">
        <f>IF(ISNA(VLOOKUP(B472,Pricelist!A:D,2,FALSE)),"",VLOOKUP(B472,Pricelist!A:D,3,FALSE))</f>
        <v/>
      </c>
    </row>
    <row r="473" spans="2:4">
      <c r="B473" s="270"/>
      <c r="C473" s="369" t="str">
        <f>IF(ISNA(VLOOKUP(B473,Pricelist!A:D,2,FALSE)),"",VLOOKUP(B473,Pricelist!A:D,2,FALSE))</f>
        <v/>
      </c>
      <c r="D473" s="134" t="str">
        <f>IF(ISNA(VLOOKUP(B473,Pricelist!A:D,2,FALSE)),"",VLOOKUP(B473,Pricelist!A:D,3,FALSE))</f>
        <v/>
      </c>
    </row>
    <row r="474" spans="2:4">
      <c r="B474" s="270"/>
      <c r="C474" s="369" t="str">
        <f>IF(ISNA(VLOOKUP(B474,Pricelist!A:D,2,FALSE)),"",VLOOKUP(B474,Pricelist!A:D,2,FALSE))</f>
        <v/>
      </c>
      <c r="D474" s="134" t="str">
        <f>IF(ISNA(VLOOKUP(B474,Pricelist!A:D,2,FALSE)),"",VLOOKUP(B474,Pricelist!A:D,3,FALSE))</f>
        <v/>
      </c>
    </row>
    <row r="475" spans="2:4">
      <c r="B475" s="270"/>
      <c r="C475" s="369" t="str">
        <f>IF(ISNA(VLOOKUP(B475,Pricelist!A:D,2,FALSE)),"",VLOOKUP(B475,Pricelist!A:D,2,FALSE))</f>
        <v/>
      </c>
      <c r="D475" s="134" t="str">
        <f>IF(ISNA(VLOOKUP(B475,Pricelist!A:D,2,FALSE)),"",VLOOKUP(B475,Pricelist!A:D,3,FALSE))</f>
        <v/>
      </c>
    </row>
    <row r="476" spans="2:4">
      <c r="B476" s="270"/>
      <c r="C476" s="369" t="str">
        <f>IF(ISNA(VLOOKUP(B476,Pricelist!A:D,2,FALSE)),"",VLOOKUP(B476,Pricelist!A:D,2,FALSE))</f>
        <v/>
      </c>
      <c r="D476" s="134" t="str">
        <f>IF(ISNA(VLOOKUP(B476,Pricelist!A:D,2,FALSE)),"",VLOOKUP(B476,Pricelist!A:D,3,FALSE))</f>
        <v/>
      </c>
    </row>
    <row r="477" spans="2:4">
      <c r="B477" s="270"/>
      <c r="C477" s="369" t="str">
        <f>IF(ISNA(VLOOKUP(B477,Pricelist!A:D,2,FALSE)),"",VLOOKUP(B477,Pricelist!A:D,2,FALSE))</f>
        <v/>
      </c>
      <c r="D477" s="134" t="str">
        <f>IF(ISNA(VLOOKUP(B477,Pricelist!A:D,2,FALSE)),"",VLOOKUP(B477,Pricelist!A:D,3,FALSE))</f>
        <v/>
      </c>
    </row>
    <row r="478" spans="2:4">
      <c r="B478" s="270"/>
      <c r="C478" s="369" t="str">
        <f>IF(ISNA(VLOOKUP(B478,Pricelist!A:D,2,FALSE)),"",VLOOKUP(B478,Pricelist!A:D,2,FALSE))</f>
        <v/>
      </c>
      <c r="D478" s="134" t="str">
        <f>IF(ISNA(VLOOKUP(B478,Pricelist!A:D,2,FALSE)),"",VLOOKUP(B478,Pricelist!A:D,3,FALSE))</f>
        <v/>
      </c>
    </row>
    <row r="479" spans="2:4">
      <c r="B479" s="270"/>
      <c r="C479" s="369" t="str">
        <f>IF(ISNA(VLOOKUP(B479,Pricelist!A:D,2,FALSE)),"",VLOOKUP(B479,Pricelist!A:D,2,FALSE))</f>
        <v/>
      </c>
      <c r="D479" s="134" t="str">
        <f>IF(ISNA(VLOOKUP(B479,Pricelist!A:D,2,FALSE)),"",VLOOKUP(B479,Pricelist!A:D,3,FALSE))</f>
        <v/>
      </c>
    </row>
    <row r="480" spans="2:4">
      <c r="B480" s="270"/>
      <c r="C480" s="369" t="str">
        <f>IF(ISNA(VLOOKUP(B480,Pricelist!A:D,2,FALSE)),"",VLOOKUP(B480,Pricelist!A:D,2,FALSE))</f>
        <v/>
      </c>
      <c r="D480" s="134" t="str">
        <f>IF(ISNA(VLOOKUP(B480,Pricelist!A:D,2,FALSE)),"",VLOOKUP(B480,Pricelist!A:D,3,FALSE))</f>
        <v/>
      </c>
    </row>
    <row r="481" spans="2:4">
      <c r="B481" s="270"/>
      <c r="C481" s="369" t="str">
        <f>IF(ISNA(VLOOKUP(B481,Pricelist!A:D,2,FALSE)),"",VLOOKUP(B481,Pricelist!A:D,2,FALSE))</f>
        <v/>
      </c>
      <c r="D481" s="134" t="str">
        <f>IF(ISNA(VLOOKUP(B481,Pricelist!A:D,2,FALSE)),"",VLOOKUP(B481,Pricelist!A:D,3,FALSE))</f>
        <v/>
      </c>
    </row>
    <row r="482" spans="2:4">
      <c r="B482" s="270"/>
      <c r="C482" s="369" t="str">
        <f>IF(ISNA(VLOOKUP(B482,Pricelist!A:D,2,FALSE)),"",VLOOKUP(B482,Pricelist!A:D,2,FALSE))</f>
        <v/>
      </c>
      <c r="D482" s="134" t="str">
        <f>IF(ISNA(VLOOKUP(B482,Pricelist!A:D,2,FALSE)),"",VLOOKUP(B482,Pricelist!A:D,3,FALSE))</f>
        <v/>
      </c>
    </row>
    <row r="483" spans="2:4">
      <c r="B483" s="270"/>
      <c r="C483" s="369" t="str">
        <f>IF(ISNA(VLOOKUP(B483,Pricelist!A:D,2,FALSE)),"",VLOOKUP(B483,Pricelist!A:D,2,FALSE))</f>
        <v/>
      </c>
      <c r="D483" s="134" t="str">
        <f>IF(ISNA(VLOOKUP(B483,Pricelist!A:D,2,FALSE)),"",VLOOKUP(B483,Pricelist!A:D,3,FALSE))</f>
        <v/>
      </c>
    </row>
    <row r="484" spans="2:4">
      <c r="B484" s="270"/>
      <c r="C484" s="369" t="str">
        <f>IF(ISNA(VLOOKUP(B484,Pricelist!A:D,2,FALSE)),"",VLOOKUP(B484,Pricelist!A:D,2,FALSE))</f>
        <v/>
      </c>
      <c r="D484" s="134" t="str">
        <f>IF(ISNA(VLOOKUP(B484,Pricelist!A:D,2,FALSE)),"",VLOOKUP(B484,Pricelist!A:D,3,FALSE))</f>
        <v/>
      </c>
    </row>
    <row r="485" spans="2:4">
      <c r="B485" s="270"/>
      <c r="C485" s="369" t="str">
        <f>IF(ISNA(VLOOKUP(B485,Pricelist!A:D,2,FALSE)),"",VLOOKUP(B485,Pricelist!A:D,2,FALSE))</f>
        <v/>
      </c>
      <c r="D485" s="134" t="str">
        <f>IF(ISNA(VLOOKUP(B485,Pricelist!A:D,2,FALSE)),"",VLOOKUP(B485,Pricelist!A:D,3,FALSE))</f>
        <v/>
      </c>
    </row>
    <row r="486" spans="2:4">
      <c r="B486" s="270"/>
      <c r="C486" s="369" t="str">
        <f>IF(ISNA(VLOOKUP(B486,Pricelist!A:D,2,FALSE)),"",VLOOKUP(B486,Pricelist!A:D,2,FALSE))</f>
        <v/>
      </c>
      <c r="D486" s="134" t="str">
        <f>IF(ISNA(VLOOKUP(B486,Pricelist!A:D,2,FALSE)),"",VLOOKUP(B486,Pricelist!A:D,3,FALSE))</f>
        <v/>
      </c>
    </row>
    <row r="487" spans="2:4">
      <c r="B487" s="270"/>
      <c r="C487" s="369" t="str">
        <f>IF(ISNA(VLOOKUP(B487,Pricelist!A:D,2,FALSE)),"",VLOOKUP(B487,Pricelist!A:D,2,FALSE))</f>
        <v/>
      </c>
      <c r="D487" s="134" t="str">
        <f>IF(ISNA(VLOOKUP(B487,Pricelist!A:D,2,FALSE)),"",VLOOKUP(B487,Pricelist!A:D,3,FALSE))</f>
        <v/>
      </c>
    </row>
    <row r="488" spans="2:4">
      <c r="B488" s="270"/>
      <c r="C488" s="369" t="str">
        <f>IF(ISNA(VLOOKUP(B488,Pricelist!A:D,2,FALSE)),"",VLOOKUP(B488,Pricelist!A:D,2,FALSE))</f>
        <v/>
      </c>
      <c r="D488" s="134" t="str">
        <f>IF(ISNA(VLOOKUP(B488,Pricelist!A:D,2,FALSE)),"",VLOOKUP(B488,Pricelist!A:D,3,FALSE))</f>
        <v/>
      </c>
    </row>
    <row r="489" spans="2:4">
      <c r="B489" s="270"/>
      <c r="C489" s="369" t="str">
        <f>IF(ISNA(VLOOKUP(B489,Pricelist!A:D,2,FALSE)),"",VLOOKUP(B489,Pricelist!A:D,2,FALSE))</f>
        <v/>
      </c>
      <c r="D489" s="134" t="str">
        <f>IF(ISNA(VLOOKUP(B489,Pricelist!A:D,2,FALSE)),"",VLOOKUP(B489,Pricelist!A:D,3,FALSE))</f>
        <v/>
      </c>
    </row>
    <row r="490" spans="2:4">
      <c r="B490" s="270"/>
      <c r="C490" s="369" t="str">
        <f>IF(ISNA(VLOOKUP(B490,Pricelist!A:D,2,FALSE)),"",VLOOKUP(B490,Pricelist!A:D,2,FALSE))</f>
        <v/>
      </c>
      <c r="D490" s="134" t="str">
        <f>IF(ISNA(VLOOKUP(B490,Pricelist!A:D,2,FALSE)),"",VLOOKUP(B490,Pricelist!A:D,3,FALSE))</f>
        <v/>
      </c>
    </row>
    <row r="491" spans="2:4">
      <c r="B491" s="270"/>
      <c r="C491" s="369" t="str">
        <f>IF(ISNA(VLOOKUP(B491,Pricelist!A:D,2,FALSE)),"",VLOOKUP(B491,Pricelist!A:D,2,FALSE))</f>
        <v/>
      </c>
      <c r="D491" s="134" t="str">
        <f>IF(ISNA(VLOOKUP(B491,Pricelist!A:D,2,FALSE)),"",VLOOKUP(B491,Pricelist!A:D,3,FALSE))</f>
        <v/>
      </c>
    </row>
    <row r="492" spans="2:4">
      <c r="B492" s="270"/>
      <c r="C492" s="369" t="str">
        <f>IF(ISNA(VLOOKUP(B492,Pricelist!A:D,2,FALSE)),"",VLOOKUP(B492,Pricelist!A:D,2,FALSE))</f>
        <v/>
      </c>
      <c r="D492" s="134" t="str">
        <f>IF(ISNA(VLOOKUP(B492,Pricelist!A:D,2,FALSE)),"",VLOOKUP(B492,Pricelist!A:D,3,FALSE))</f>
        <v/>
      </c>
    </row>
    <row r="493" spans="2:4">
      <c r="B493" s="270"/>
      <c r="C493" s="369" t="str">
        <f>IF(ISNA(VLOOKUP(B493,Pricelist!A:D,2,FALSE)),"",VLOOKUP(B493,Pricelist!A:D,2,FALSE))</f>
        <v/>
      </c>
      <c r="D493" s="134" t="str">
        <f>IF(ISNA(VLOOKUP(B493,Pricelist!A:D,2,FALSE)),"",VLOOKUP(B493,Pricelist!A:D,3,FALSE))</f>
        <v/>
      </c>
    </row>
    <row r="494" spans="2:4">
      <c r="B494" s="270"/>
      <c r="C494" s="369" t="str">
        <f>IF(ISNA(VLOOKUP(B494,Pricelist!A:D,2,FALSE)),"",VLOOKUP(B494,Pricelist!A:D,2,FALSE))</f>
        <v/>
      </c>
      <c r="D494" s="134" t="str">
        <f>IF(ISNA(VLOOKUP(B494,Pricelist!A:D,2,FALSE)),"",VLOOKUP(B494,Pricelist!A:D,3,FALSE))</f>
        <v/>
      </c>
    </row>
    <row r="495" spans="2:4">
      <c r="B495" s="270"/>
      <c r="C495" s="369" t="str">
        <f>IF(ISNA(VLOOKUP(B495,Pricelist!A:D,2,FALSE)),"",VLOOKUP(B495,Pricelist!A:D,2,FALSE))</f>
        <v/>
      </c>
      <c r="D495" s="134" t="str">
        <f>IF(ISNA(VLOOKUP(B495,Pricelist!A:D,2,FALSE)),"",VLOOKUP(B495,Pricelist!A:D,3,FALSE))</f>
        <v/>
      </c>
    </row>
    <row r="496" spans="2:4">
      <c r="B496" s="270"/>
      <c r="C496" s="369" t="str">
        <f>IF(ISNA(VLOOKUP(B496,Pricelist!A:D,2,FALSE)),"",VLOOKUP(B496,Pricelist!A:D,2,FALSE))</f>
        <v/>
      </c>
      <c r="D496" s="134" t="str">
        <f>IF(ISNA(VLOOKUP(B496,Pricelist!A:D,2,FALSE)),"",VLOOKUP(B496,Pricelist!A:D,3,FALSE))</f>
        <v/>
      </c>
    </row>
    <row r="497" spans="2:4">
      <c r="B497" s="270"/>
      <c r="C497" s="369" t="str">
        <f>IF(ISNA(VLOOKUP(B497,Pricelist!A:D,2,FALSE)),"",VLOOKUP(B497,Pricelist!A:D,2,FALSE))</f>
        <v/>
      </c>
      <c r="D497" s="134" t="str">
        <f>IF(ISNA(VLOOKUP(B497,Pricelist!A:D,2,FALSE)),"",VLOOKUP(B497,Pricelist!A:D,3,FALSE))</f>
        <v/>
      </c>
    </row>
    <row r="498" spans="2:4">
      <c r="B498" s="270"/>
      <c r="C498" s="369" t="str">
        <f>IF(ISNA(VLOOKUP(B498,Pricelist!A:D,2,FALSE)),"",VLOOKUP(B498,Pricelist!A:D,2,FALSE))</f>
        <v/>
      </c>
      <c r="D498" s="134" t="str">
        <f>IF(ISNA(VLOOKUP(B498,Pricelist!A:D,2,FALSE)),"",VLOOKUP(B498,Pricelist!A:D,3,FALSE))</f>
        <v/>
      </c>
    </row>
    <row r="499" spans="2:4">
      <c r="B499" s="270"/>
      <c r="C499" s="369" t="str">
        <f>IF(ISNA(VLOOKUP(B499,Pricelist!A:D,2,FALSE)),"",VLOOKUP(B499,Pricelist!A:D,2,FALSE))</f>
        <v/>
      </c>
      <c r="D499" s="134" t="str">
        <f>IF(ISNA(VLOOKUP(B499,Pricelist!A:D,2,FALSE)),"",VLOOKUP(B499,Pricelist!A:D,3,FALSE))</f>
        <v/>
      </c>
    </row>
    <row r="500" spans="2:4">
      <c r="B500" s="270"/>
      <c r="C500" s="369" t="str">
        <f>IF(ISNA(VLOOKUP(B500,Pricelist!A:D,2,FALSE)),"",VLOOKUP(B500,Pricelist!A:D,2,FALSE))</f>
        <v/>
      </c>
      <c r="D500" s="134" t="str">
        <f>IF(ISNA(VLOOKUP(B500,Pricelist!A:D,2,FALSE)),"",VLOOKUP(B500,Pricelist!A:D,3,FALSE))</f>
        <v/>
      </c>
    </row>
    <row r="501" spans="2:4">
      <c r="B501" s="270"/>
      <c r="C501" s="369" t="str">
        <f>IF(ISNA(VLOOKUP(B501,Pricelist!A:D,2,FALSE)),"",VLOOKUP(B501,Pricelist!A:D,2,FALSE))</f>
        <v/>
      </c>
      <c r="D501" s="134" t="str">
        <f>IF(ISNA(VLOOKUP(B501,Pricelist!A:D,2,FALSE)),"",VLOOKUP(B501,Pricelist!A:D,3,FALSE))</f>
        <v/>
      </c>
    </row>
    <row r="502" spans="2:4">
      <c r="B502" s="270"/>
      <c r="C502" s="369" t="str">
        <f>IF(ISNA(VLOOKUP(B502,Pricelist!A:D,2,FALSE)),"",VLOOKUP(B502,Pricelist!A:D,2,FALSE))</f>
        <v/>
      </c>
      <c r="D502" s="134" t="str">
        <f>IF(ISNA(VLOOKUP(B502,Pricelist!A:D,2,FALSE)),"",VLOOKUP(B502,Pricelist!A:D,3,FALSE))</f>
        <v/>
      </c>
    </row>
    <row r="503" spans="2:4">
      <c r="B503" s="270"/>
      <c r="C503" s="369" t="str">
        <f>IF(ISNA(VLOOKUP(B503,Pricelist!A:D,2,FALSE)),"",VLOOKUP(B503,Pricelist!A:D,2,FALSE))</f>
        <v/>
      </c>
      <c r="D503" s="134" t="str">
        <f>IF(ISNA(VLOOKUP(B503,Pricelist!A:D,2,FALSE)),"",VLOOKUP(B503,Pricelist!A:D,3,FALSE))</f>
        <v/>
      </c>
    </row>
    <row r="504" spans="2:4">
      <c r="B504" s="270"/>
      <c r="C504" s="369" t="str">
        <f>IF(ISNA(VLOOKUP(B504,Pricelist!A:D,2,FALSE)),"",VLOOKUP(B504,Pricelist!A:D,2,FALSE))</f>
        <v/>
      </c>
      <c r="D504" s="134" t="str">
        <f>IF(ISNA(VLOOKUP(B504,Pricelist!A:D,2,FALSE)),"",VLOOKUP(B504,Pricelist!A:D,3,FALSE))</f>
        <v/>
      </c>
    </row>
    <row r="505" spans="2:4">
      <c r="B505" s="270"/>
      <c r="C505" s="369" t="str">
        <f>IF(ISNA(VLOOKUP(B505,Pricelist!A:D,2,FALSE)),"",VLOOKUP(B505,Pricelist!A:D,2,FALSE))</f>
        <v/>
      </c>
      <c r="D505" s="134" t="str">
        <f>IF(ISNA(VLOOKUP(B505,Pricelist!A:D,2,FALSE)),"",VLOOKUP(B505,Pricelist!A:D,3,FALSE))</f>
        <v/>
      </c>
    </row>
    <row r="506" spans="2:4">
      <c r="B506" s="270"/>
      <c r="C506" s="369" t="str">
        <f>IF(ISNA(VLOOKUP(B506,Pricelist!A:D,2,FALSE)),"",VLOOKUP(B506,Pricelist!A:D,2,FALSE))</f>
        <v/>
      </c>
      <c r="D506" s="134" t="str">
        <f>IF(ISNA(VLOOKUP(B506,Pricelist!A:D,2,FALSE)),"",VLOOKUP(B506,Pricelist!A:D,3,FALSE))</f>
        <v/>
      </c>
    </row>
    <row r="507" spans="2:4">
      <c r="B507" s="270"/>
      <c r="C507" s="369" t="str">
        <f>IF(ISNA(VLOOKUP(B507,Pricelist!A:D,2,FALSE)),"",VLOOKUP(B507,Pricelist!A:D,2,FALSE))</f>
        <v/>
      </c>
      <c r="D507" s="134" t="str">
        <f>IF(ISNA(VLOOKUP(B507,Pricelist!A:D,2,FALSE)),"",VLOOKUP(B507,Pricelist!A:D,3,FALSE))</f>
        <v/>
      </c>
    </row>
    <row r="508" spans="2:4">
      <c r="B508" s="270"/>
      <c r="C508" s="369" t="str">
        <f>IF(ISNA(VLOOKUP(B508,Pricelist!A:D,2,FALSE)),"",VLOOKUP(B508,Pricelist!A:D,2,FALSE))</f>
        <v/>
      </c>
      <c r="D508" s="134" t="str">
        <f>IF(ISNA(VLOOKUP(B508,Pricelist!A:D,2,FALSE)),"",VLOOKUP(B508,Pricelist!A:D,3,FALSE))</f>
        <v/>
      </c>
    </row>
    <row r="509" spans="2:4">
      <c r="B509" s="270"/>
      <c r="C509" s="369" t="str">
        <f>IF(ISNA(VLOOKUP(B509,Pricelist!A:D,2,FALSE)),"",VLOOKUP(B509,Pricelist!A:D,2,FALSE))</f>
        <v/>
      </c>
      <c r="D509" s="134" t="str">
        <f>IF(ISNA(VLOOKUP(B509,Pricelist!A:D,2,FALSE)),"",VLOOKUP(B509,Pricelist!A:D,3,FALSE))</f>
        <v/>
      </c>
    </row>
    <row r="510" spans="2:4">
      <c r="B510" s="270"/>
      <c r="C510" s="369" t="str">
        <f>IF(ISNA(VLOOKUP(B510,Pricelist!A:D,2,FALSE)),"",VLOOKUP(B510,Pricelist!A:D,2,FALSE))</f>
        <v/>
      </c>
      <c r="D510" s="134" t="str">
        <f>IF(ISNA(VLOOKUP(B510,Pricelist!A:D,2,FALSE)),"",VLOOKUP(B510,Pricelist!A:D,3,FALSE))</f>
        <v/>
      </c>
    </row>
    <row r="511" spans="2:4">
      <c r="B511" s="270"/>
      <c r="C511" s="369" t="str">
        <f>IF(ISNA(VLOOKUP(B511,Pricelist!A:D,2,FALSE)),"",VLOOKUP(B511,Pricelist!A:D,2,FALSE))</f>
        <v/>
      </c>
      <c r="D511" s="134" t="str">
        <f>IF(ISNA(VLOOKUP(B511,Pricelist!A:D,2,FALSE)),"",VLOOKUP(B511,Pricelist!A:D,3,FALSE))</f>
        <v/>
      </c>
    </row>
    <row r="512" spans="2:4">
      <c r="B512" s="270"/>
      <c r="C512" s="369" t="str">
        <f>IF(ISNA(VLOOKUP(B512,Pricelist!A:D,2,FALSE)),"",VLOOKUP(B512,Pricelist!A:D,2,FALSE))</f>
        <v/>
      </c>
      <c r="D512" s="134" t="str">
        <f>IF(ISNA(VLOOKUP(B512,Pricelist!A:D,2,FALSE)),"",VLOOKUP(B512,Pricelist!A:D,3,FALSE))</f>
        <v/>
      </c>
    </row>
    <row r="513" spans="2:4">
      <c r="B513" s="270"/>
      <c r="C513" s="369" t="str">
        <f>IF(ISNA(VLOOKUP(B513,Pricelist!A:D,2,FALSE)),"",VLOOKUP(B513,Pricelist!A:D,2,FALSE))</f>
        <v/>
      </c>
      <c r="D513" s="134" t="str">
        <f>IF(ISNA(VLOOKUP(B513,Pricelist!A:D,2,FALSE)),"",VLOOKUP(B513,Pricelist!A:D,3,FALSE))</f>
        <v/>
      </c>
    </row>
    <row r="514" spans="2:4">
      <c r="B514" s="270"/>
      <c r="C514" s="369" t="str">
        <f>IF(ISNA(VLOOKUP(B514,Pricelist!A:D,2,FALSE)),"",VLOOKUP(B514,Pricelist!A:D,2,FALSE))</f>
        <v/>
      </c>
      <c r="D514" s="134" t="str">
        <f>IF(ISNA(VLOOKUP(B514,Pricelist!A:D,2,FALSE)),"",VLOOKUP(B514,Pricelist!A:D,3,FALSE))</f>
        <v/>
      </c>
    </row>
    <row r="515" spans="2:4">
      <c r="B515" s="270"/>
      <c r="C515" s="369" t="str">
        <f>IF(ISNA(VLOOKUP(B515,Pricelist!A:D,2,FALSE)),"",VLOOKUP(B515,Pricelist!A:D,2,FALSE))</f>
        <v/>
      </c>
      <c r="D515" s="134" t="str">
        <f>IF(ISNA(VLOOKUP(B515,Pricelist!A:D,2,FALSE)),"",VLOOKUP(B515,Pricelist!A:D,3,FALSE))</f>
        <v/>
      </c>
    </row>
    <row r="516" spans="2:4">
      <c r="B516" s="270"/>
      <c r="C516" s="369" t="str">
        <f>IF(ISNA(VLOOKUP(B516,Pricelist!A:D,2,FALSE)),"",VLOOKUP(B516,Pricelist!A:D,2,FALSE))</f>
        <v/>
      </c>
      <c r="D516" s="134" t="str">
        <f>IF(ISNA(VLOOKUP(B516,Pricelist!A:D,2,FALSE)),"",VLOOKUP(B516,Pricelist!A:D,3,FALSE))</f>
        <v/>
      </c>
    </row>
    <row r="517" spans="2:4">
      <c r="B517" s="270"/>
      <c r="C517" s="369" t="str">
        <f>IF(ISNA(VLOOKUP(B517,Pricelist!A:D,2,FALSE)),"",VLOOKUP(B517,Pricelist!A:D,2,FALSE))</f>
        <v/>
      </c>
      <c r="D517" s="134" t="str">
        <f>IF(ISNA(VLOOKUP(B517,Pricelist!A:D,2,FALSE)),"",VLOOKUP(B517,Pricelist!A:D,3,FALSE))</f>
        <v/>
      </c>
    </row>
    <row r="518" spans="2:4">
      <c r="B518" s="270"/>
      <c r="C518" s="369" t="str">
        <f>IF(ISNA(VLOOKUP(B518,Pricelist!A:D,2,FALSE)),"",VLOOKUP(B518,Pricelist!A:D,2,FALSE))</f>
        <v/>
      </c>
      <c r="D518" s="134" t="str">
        <f>IF(ISNA(VLOOKUP(B518,Pricelist!A:D,2,FALSE)),"",VLOOKUP(B518,Pricelist!A:D,3,FALSE))</f>
        <v/>
      </c>
    </row>
    <row r="519" spans="2:4">
      <c r="B519" s="270"/>
      <c r="C519" s="369" t="str">
        <f>IF(ISNA(VLOOKUP(B519,Pricelist!A:D,2,FALSE)),"",VLOOKUP(B519,Pricelist!A:D,2,FALSE))</f>
        <v/>
      </c>
      <c r="D519" s="134" t="str">
        <f>IF(ISNA(VLOOKUP(B519,Pricelist!A:D,2,FALSE)),"",VLOOKUP(B519,Pricelist!A:D,3,FALSE))</f>
        <v/>
      </c>
    </row>
    <row r="520" spans="2:4">
      <c r="B520" s="270"/>
      <c r="C520" s="369" t="str">
        <f>IF(ISNA(VLOOKUP(B520,Pricelist!A:D,2,FALSE)),"",VLOOKUP(B520,Pricelist!A:D,2,FALSE))</f>
        <v/>
      </c>
      <c r="D520" s="134" t="str">
        <f>IF(ISNA(VLOOKUP(B520,Pricelist!A:D,2,FALSE)),"",VLOOKUP(B520,Pricelist!A:D,3,FALSE))</f>
        <v/>
      </c>
    </row>
    <row r="521" spans="2:4">
      <c r="B521" s="270"/>
      <c r="C521" s="369" t="str">
        <f>IF(ISNA(VLOOKUP(B521,Pricelist!A:D,2,FALSE)),"",VLOOKUP(B521,Pricelist!A:D,2,FALSE))</f>
        <v/>
      </c>
      <c r="D521" s="134" t="str">
        <f>IF(ISNA(VLOOKUP(B521,Pricelist!A:D,2,FALSE)),"",VLOOKUP(B521,Pricelist!A:D,3,FALSE))</f>
        <v/>
      </c>
    </row>
    <row r="522" spans="2:4">
      <c r="B522" s="270"/>
      <c r="C522" s="369" t="str">
        <f>IF(ISNA(VLOOKUP(B522,Pricelist!A:D,2,FALSE)),"",VLOOKUP(B522,Pricelist!A:D,2,FALSE))</f>
        <v/>
      </c>
      <c r="D522" s="134" t="str">
        <f>IF(ISNA(VLOOKUP(B522,Pricelist!A:D,2,FALSE)),"",VLOOKUP(B522,Pricelist!A:D,3,FALSE))</f>
        <v/>
      </c>
    </row>
    <row r="523" spans="2:4">
      <c r="B523" s="270"/>
      <c r="C523" s="369" t="str">
        <f>IF(ISNA(VLOOKUP(B523,Pricelist!A:D,2,FALSE)),"",VLOOKUP(B523,Pricelist!A:D,2,FALSE))</f>
        <v/>
      </c>
      <c r="D523" s="134" t="str">
        <f>IF(ISNA(VLOOKUP(B523,Pricelist!A:D,2,FALSE)),"",VLOOKUP(B523,Pricelist!A:D,3,FALSE))</f>
        <v/>
      </c>
    </row>
    <row r="524" spans="2:4">
      <c r="B524" s="270"/>
      <c r="C524" s="369" t="str">
        <f>IF(ISNA(VLOOKUP(B524,Pricelist!A:D,2,FALSE)),"",VLOOKUP(B524,Pricelist!A:D,2,FALSE))</f>
        <v/>
      </c>
      <c r="D524" s="134" t="str">
        <f>IF(ISNA(VLOOKUP(B524,Pricelist!A:D,2,FALSE)),"",VLOOKUP(B524,Pricelist!A:D,3,FALSE))</f>
        <v/>
      </c>
    </row>
    <row r="525" spans="2:4">
      <c r="B525" s="270"/>
      <c r="C525" s="369" t="str">
        <f>IF(ISNA(VLOOKUP(B525,Pricelist!A:D,2,FALSE)),"",VLOOKUP(B525,Pricelist!A:D,2,FALSE))</f>
        <v/>
      </c>
      <c r="D525" s="134" t="str">
        <f>IF(ISNA(VLOOKUP(B525,Pricelist!A:D,2,FALSE)),"",VLOOKUP(B525,Pricelist!A:D,3,FALSE))</f>
        <v/>
      </c>
    </row>
    <row r="526" spans="2:4">
      <c r="B526" s="270"/>
      <c r="C526" s="369" t="str">
        <f>IF(ISNA(VLOOKUP(B526,Pricelist!A:D,2,FALSE)),"",VLOOKUP(B526,Pricelist!A:D,2,FALSE))</f>
        <v/>
      </c>
      <c r="D526" s="134" t="str">
        <f>IF(ISNA(VLOOKUP(B526,Pricelist!A:D,2,FALSE)),"",VLOOKUP(B526,Pricelist!A:D,3,FALSE))</f>
        <v/>
      </c>
    </row>
    <row r="527" spans="2:4">
      <c r="B527" s="270"/>
      <c r="C527" s="369" t="str">
        <f>IF(ISNA(VLOOKUP(B527,Pricelist!A:D,2,FALSE)),"",VLOOKUP(B527,Pricelist!A:D,2,FALSE))</f>
        <v/>
      </c>
      <c r="D527" s="134" t="str">
        <f>IF(ISNA(VLOOKUP(B527,Pricelist!A:D,2,FALSE)),"",VLOOKUP(B527,Pricelist!A:D,3,FALSE))</f>
        <v/>
      </c>
    </row>
    <row r="528" spans="2:4">
      <c r="B528" s="270"/>
      <c r="C528" s="369" t="str">
        <f>IF(ISNA(VLOOKUP(B528,Pricelist!A:D,2,FALSE)),"",VLOOKUP(B528,Pricelist!A:D,2,FALSE))</f>
        <v/>
      </c>
      <c r="D528" s="134" t="str">
        <f>IF(ISNA(VLOOKUP(B528,Pricelist!A:D,2,FALSE)),"",VLOOKUP(B528,Pricelist!A:D,3,FALSE))</f>
        <v/>
      </c>
    </row>
    <row r="529" spans="2:4">
      <c r="B529" s="270"/>
      <c r="C529" s="369" t="str">
        <f>IF(ISNA(VLOOKUP(B529,Pricelist!A:D,2,FALSE)),"",VLOOKUP(B529,Pricelist!A:D,2,FALSE))</f>
        <v/>
      </c>
      <c r="D529" s="134" t="str">
        <f>IF(ISNA(VLOOKUP(B529,Pricelist!A:D,2,FALSE)),"",VLOOKUP(B529,Pricelist!A:D,3,FALSE))</f>
        <v/>
      </c>
    </row>
    <row r="530" spans="2:4">
      <c r="B530" s="270"/>
      <c r="C530" s="369" t="str">
        <f>IF(ISNA(VLOOKUP(B530,Pricelist!A:D,2,FALSE)),"",VLOOKUP(B530,Pricelist!A:D,2,FALSE))</f>
        <v/>
      </c>
      <c r="D530" s="134" t="str">
        <f>IF(ISNA(VLOOKUP(B530,Pricelist!A:D,2,FALSE)),"",VLOOKUP(B530,Pricelist!A:D,3,FALSE))</f>
        <v/>
      </c>
    </row>
    <row r="531" spans="2:4">
      <c r="B531" s="270"/>
      <c r="C531" s="369" t="str">
        <f>IF(ISNA(VLOOKUP(B531,Pricelist!A:D,2,FALSE)),"",VLOOKUP(B531,Pricelist!A:D,2,FALSE))</f>
        <v/>
      </c>
      <c r="D531" s="134" t="str">
        <f>IF(ISNA(VLOOKUP(B531,Pricelist!A:D,2,FALSE)),"",VLOOKUP(B531,Pricelist!A:D,3,FALSE))</f>
        <v/>
      </c>
    </row>
    <row r="532" spans="2:4">
      <c r="B532" s="270"/>
      <c r="C532" s="369" t="str">
        <f>IF(ISNA(VLOOKUP(B532,Pricelist!A:D,2,FALSE)),"",VLOOKUP(B532,Pricelist!A:D,2,FALSE))</f>
        <v/>
      </c>
      <c r="D532" s="134" t="str">
        <f>IF(ISNA(VLOOKUP(B532,Pricelist!A:D,2,FALSE)),"",VLOOKUP(B532,Pricelist!A:D,3,FALSE))</f>
        <v/>
      </c>
    </row>
    <row r="533" spans="2:4">
      <c r="B533" s="270"/>
      <c r="C533" s="369" t="str">
        <f>IF(ISNA(VLOOKUP(B533,Pricelist!A:D,2,FALSE)),"",VLOOKUP(B533,Pricelist!A:D,2,FALSE))</f>
        <v/>
      </c>
      <c r="D533" s="134" t="str">
        <f>IF(ISNA(VLOOKUP(B533,Pricelist!A:D,2,FALSE)),"",VLOOKUP(B533,Pricelist!A:D,3,FALSE))</f>
        <v/>
      </c>
    </row>
    <row r="534" spans="2:4">
      <c r="B534" s="270"/>
      <c r="C534" s="369" t="str">
        <f>IF(ISNA(VLOOKUP(B534,Pricelist!A:D,2,FALSE)),"",VLOOKUP(B534,Pricelist!A:D,2,FALSE))</f>
        <v/>
      </c>
      <c r="D534" s="134" t="str">
        <f>IF(ISNA(VLOOKUP(B534,Pricelist!A:D,2,FALSE)),"",VLOOKUP(B534,Pricelist!A:D,3,FALSE))</f>
        <v/>
      </c>
    </row>
    <row r="535" spans="2:4">
      <c r="B535" s="270"/>
      <c r="C535" s="369" t="str">
        <f>IF(ISNA(VLOOKUP(B535,Pricelist!A:D,2,FALSE)),"",VLOOKUP(B535,Pricelist!A:D,2,FALSE))</f>
        <v/>
      </c>
      <c r="D535" s="134" t="str">
        <f>IF(ISNA(VLOOKUP(B535,Pricelist!A:D,2,FALSE)),"",VLOOKUP(B535,Pricelist!A:D,3,FALSE))</f>
        <v/>
      </c>
    </row>
    <row r="536" spans="2:4">
      <c r="B536" s="270"/>
      <c r="C536" s="369" t="str">
        <f>IF(ISNA(VLOOKUP(B536,Pricelist!A:D,2,FALSE)),"",VLOOKUP(B536,Pricelist!A:D,2,FALSE))</f>
        <v/>
      </c>
      <c r="D536" s="134" t="str">
        <f>IF(ISNA(VLOOKUP(B536,Pricelist!A:D,2,FALSE)),"",VLOOKUP(B536,Pricelist!A:D,3,FALSE))</f>
        <v/>
      </c>
    </row>
    <row r="537" spans="2:4">
      <c r="B537" s="270"/>
      <c r="C537" s="369" t="str">
        <f>IF(ISNA(VLOOKUP(B537,Pricelist!A:D,2,FALSE)),"",VLOOKUP(B537,Pricelist!A:D,2,FALSE))</f>
        <v/>
      </c>
      <c r="D537" s="134" t="str">
        <f>IF(ISNA(VLOOKUP(B537,Pricelist!A:D,2,FALSE)),"",VLOOKUP(B537,Pricelist!A:D,3,FALSE))</f>
        <v/>
      </c>
    </row>
    <row r="538" spans="2:4">
      <c r="B538" s="270"/>
      <c r="C538" s="369" t="str">
        <f>IF(ISNA(VLOOKUP(B538,Pricelist!A:D,2,FALSE)),"",VLOOKUP(B538,Pricelist!A:D,2,FALSE))</f>
        <v/>
      </c>
      <c r="D538" s="134" t="str">
        <f>IF(ISNA(VLOOKUP(B538,Pricelist!A:D,2,FALSE)),"",VLOOKUP(B538,Pricelist!A:D,3,FALSE))</f>
        <v/>
      </c>
    </row>
    <row r="539" spans="2:4">
      <c r="B539" s="270"/>
      <c r="C539" s="369" t="str">
        <f>IF(ISNA(VLOOKUP(B539,Pricelist!A:D,2,FALSE)),"",VLOOKUP(B539,Pricelist!A:D,2,FALSE))</f>
        <v/>
      </c>
      <c r="D539" s="134" t="str">
        <f>IF(ISNA(VLOOKUP(B539,Pricelist!A:D,2,FALSE)),"",VLOOKUP(B539,Pricelist!A:D,3,FALSE))</f>
        <v/>
      </c>
    </row>
    <row r="540" spans="2:4">
      <c r="B540" s="270"/>
      <c r="C540" s="369" t="str">
        <f>IF(ISNA(VLOOKUP(B540,Pricelist!A:D,2,FALSE)),"",VLOOKUP(B540,Pricelist!A:D,2,FALSE))</f>
        <v/>
      </c>
      <c r="D540" s="134" t="str">
        <f>IF(ISNA(VLOOKUP(B540,Pricelist!A:D,2,FALSE)),"",VLOOKUP(B540,Pricelist!A:D,3,FALSE))</f>
        <v/>
      </c>
    </row>
    <row r="541" spans="2:4">
      <c r="B541" s="270"/>
      <c r="C541" s="369" t="str">
        <f>IF(ISNA(VLOOKUP(B541,Pricelist!A:D,2,FALSE)),"",VLOOKUP(B541,Pricelist!A:D,2,FALSE))</f>
        <v/>
      </c>
      <c r="D541" s="134" t="str">
        <f>IF(ISNA(VLOOKUP(B541,Pricelist!A:D,2,FALSE)),"",VLOOKUP(B541,Pricelist!A:D,3,FALSE))</f>
        <v/>
      </c>
    </row>
    <row r="542" spans="2:4">
      <c r="B542" s="270"/>
      <c r="C542" s="369" t="str">
        <f>IF(ISNA(VLOOKUP(B542,Pricelist!A:D,2,FALSE)),"",VLOOKUP(B542,Pricelist!A:D,2,FALSE))</f>
        <v/>
      </c>
      <c r="D542" s="134" t="str">
        <f>IF(ISNA(VLOOKUP(B542,Pricelist!A:D,2,FALSE)),"",VLOOKUP(B542,Pricelist!A:D,3,FALSE))</f>
        <v/>
      </c>
    </row>
    <row r="543" spans="2:4">
      <c r="B543" s="270"/>
      <c r="C543" s="369" t="str">
        <f>IF(ISNA(VLOOKUP(B543,Pricelist!A:D,2,FALSE)),"",VLOOKUP(B543,Pricelist!A:D,2,FALSE))</f>
        <v/>
      </c>
      <c r="D543" s="134" t="str">
        <f>IF(ISNA(VLOOKUP(B543,Pricelist!A:D,2,FALSE)),"",VLOOKUP(B543,Pricelist!A:D,3,FALSE))</f>
        <v/>
      </c>
    </row>
    <row r="544" spans="2:4">
      <c r="B544" s="270"/>
      <c r="C544" s="369" t="str">
        <f>IF(ISNA(VLOOKUP(B544,Pricelist!A:D,2,FALSE)),"",VLOOKUP(B544,Pricelist!A:D,2,FALSE))</f>
        <v/>
      </c>
      <c r="D544" s="134" t="str">
        <f>IF(ISNA(VLOOKUP(B544,Pricelist!A:D,2,FALSE)),"",VLOOKUP(B544,Pricelist!A:D,3,FALSE))</f>
        <v/>
      </c>
    </row>
    <row r="545" spans="2:4">
      <c r="B545" s="270"/>
      <c r="C545" s="369" t="str">
        <f>IF(ISNA(VLOOKUP(B545,Pricelist!A:D,2,FALSE)),"",VLOOKUP(B545,Pricelist!A:D,2,FALSE))</f>
        <v/>
      </c>
      <c r="D545" s="134" t="str">
        <f>IF(ISNA(VLOOKUP(B545,Pricelist!A:D,2,FALSE)),"",VLOOKUP(B545,Pricelist!A:D,3,FALSE))</f>
        <v/>
      </c>
    </row>
    <row r="546" spans="2:4">
      <c r="B546" s="270"/>
      <c r="C546" s="369" t="str">
        <f>IF(ISNA(VLOOKUP(B546,Pricelist!A:D,2,FALSE)),"",VLOOKUP(B546,Pricelist!A:D,2,FALSE))</f>
        <v/>
      </c>
      <c r="D546" s="134" t="str">
        <f>IF(ISNA(VLOOKUP(B546,Pricelist!A:D,2,FALSE)),"",VLOOKUP(B546,Pricelist!A:D,3,FALSE))</f>
        <v/>
      </c>
    </row>
    <row r="547" spans="2:4">
      <c r="B547" s="270"/>
      <c r="C547" s="369" t="str">
        <f>IF(ISNA(VLOOKUP(B547,Pricelist!A:D,2,FALSE)),"",VLOOKUP(B547,Pricelist!A:D,2,FALSE))</f>
        <v/>
      </c>
      <c r="D547" s="134" t="str">
        <f>IF(ISNA(VLOOKUP(B547,Pricelist!A:D,2,FALSE)),"",VLOOKUP(B547,Pricelist!A:D,3,FALSE))</f>
        <v/>
      </c>
    </row>
    <row r="548" spans="2:4">
      <c r="B548" s="270"/>
      <c r="C548" s="369" t="str">
        <f>IF(ISNA(VLOOKUP(B548,Pricelist!A:D,2,FALSE)),"",VLOOKUP(B548,Pricelist!A:D,2,FALSE))</f>
        <v/>
      </c>
      <c r="D548" s="134" t="str">
        <f>IF(ISNA(VLOOKUP(B548,Pricelist!A:D,2,FALSE)),"",VLOOKUP(B548,Pricelist!A:D,3,FALSE))</f>
        <v/>
      </c>
    </row>
    <row r="549" spans="2:4">
      <c r="B549" s="270"/>
      <c r="C549" s="369" t="str">
        <f>IF(ISNA(VLOOKUP(B549,Pricelist!A:D,2,FALSE)),"",VLOOKUP(B549,Pricelist!A:D,2,FALSE))</f>
        <v/>
      </c>
      <c r="D549" s="134" t="str">
        <f>IF(ISNA(VLOOKUP(B549,Pricelist!A:D,2,FALSE)),"",VLOOKUP(B549,Pricelist!A:D,3,FALSE))</f>
        <v/>
      </c>
    </row>
    <row r="550" spans="2:4">
      <c r="B550" s="270"/>
      <c r="C550" s="369" t="str">
        <f>IF(ISNA(VLOOKUP(B550,Pricelist!A:D,2,FALSE)),"",VLOOKUP(B550,Pricelist!A:D,2,FALSE))</f>
        <v/>
      </c>
      <c r="D550" s="134" t="str">
        <f>IF(ISNA(VLOOKUP(B550,Pricelist!A:D,2,FALSE)),"",VLOOKUP(B550,Pricelist!A:D,3,FALSE))</f>
        <v/>
      </c>
    </row>
    <row r="551" spans="2:4">
      <c r="B551" s="270"/>
      <c r="C551" s="369" t="str">
        <f>IF(ISNA(VLOOKUP(B551,Pricelist!A:D,2,FALSE)),"",VLOOKUP(B551,Pricelist!A:D,2,FALSE))</f>
        <v/>
      </c>
      <c r="D551" s="134" t="str">
        <f>IF(ISNA(VLOOKUP(B551,Pricelist!A:D,2,FALSE)),"",VLOOKUP(B551,Pricelist!A:D,3,FALSE))</f>
        <v/>
      </c>
    </row>
    <row r="552" spans="2:4">
      <c r="B552" s="270"/>
      <c r="C552" s="369" t="str">
        <f>IF(ISNA(VLOOKUP(B552,Pricelist!A:D,2,FALSE)),"",VLOOKUP(B552,Pricelist!A:D,2,FALSE))</f>
        <v/>
      </c>
      <c r="D552" s="134" t="str">
        <f>IF(ISNA(VLOOKUP(B552,Pricelist!A:D,2,FALSE)),"",VLOOKUP(B552,Pricelist!A:D,3,FALSE))</f>
        <v/>
      </c>
    </row>
    <row r="553" spans="2:4">
      <c r="B553" s="270"/>
      <c r="C553" s="369" t="str">
        <f>IF(ISNA(VLOOKUP(B553,Pricelist!A:D,2,FALSE)),"",VLOOKUP(B553,Pricelist!A:D,2,FALSE))</f>
        <v/>
      </c>
      <c r="D553" s="134" t="str">
        <f>IF(ISNA(VLOOKUP(B553,Pricelist!A:D,2,FALSE)),"",VLOOKUP(B553,Pricelist!A:D,3,FALSE))</f>
        <v/>
      </c>
    </row>
    <row r="554" spans="2:4">
      <c r="B554" s="270"/>
      <c r="C554" s="369" t="str">
        <f>IF(ISNA(VLOOKUP(B554,Pricelist!A:D,2,FALSE)),"",VLOOKUP(B554,Pricelist!A:D,2,FALSE))</f>
        <v/>
      </c>
      <c r="D554" s="134" t="str">
        <f>IF(ISNA(VLOOKUP(B554,Pricelist!A:D,2,FALSE)),"",VLOOKUP(B554,Pricelist!A:D,3,FALSE))</f>
        <v/>
      </c>
    </row>
    <row r="555" spans="2:4">
      <c r="B555" s="270"/>
      <c r="C555" s="369" t="str">
        <f>IF(ISNA(VLOOKUP(B555,Pricelist!A:D,2,FALSE)),"",VLOOKUP(B555,Pricelist!A:D,2,FALSE))</f>
        <v/>
      </c>
      <c r="D555" s="134" t="str">
        <f>IF(ISNA(VLOOKUP(B555,Pricelist!A:D,2,FALSE)),"",VLOOKUP(B555,Pricelist!A:D,3,FALSE))</f>
        <v/>
      </c>
    </row>
    <row r="556" spans="2:4">
      <c r="B556" s="270"/>
      <c r="C556" s="369" t="str">
        <f>IF(ISNA(VLOOKUP(B556,Pricelist!A:D,2,FALSE)),"",VLOOKUP(B556,Pricelist!A:D,2,FALSE))</f>
        <v/>
      </c>
      <c r="D556" s="134" t="str">
        <f>IF(ISNA(VLOOKUP(B556,Pricelist!A:D,2,FALSE)),"",VLOOKUP(B556,Pricelist!A:D,3,FALSE))</f>
        <v/>
      </c>
    </row>
    <row r="557" spans="2:4">
      <c r="B557" s="270"/>
      <c r="C557" s="369" t="str">
        <f>IF(ISNA(VLOOKUP(B557,Pricelist!A:D,2,FALSE)),"",VLOOKUP(B557,Pricelist!A:D,2,FALSE))</f>
        <v/>
      </c>
      <c r="D557" s="134" t="str">
        <f>IF(ISNA(VLOOKUP(B557,Pricelist!A:D,2,FALSE)),"",VLOOKUP(B557,Pricelist!A:D,3,FALSE))</f>
        <v/>
      </c>
    </row>
    <row r="558" spans="2:4">
      <c r="B558" s="270"/>
      <c r="C558" s="369" t="str">
        <f>IF(ISNA(VLOOKUP(B558,Pricelist!A:D,2,FALSE)),"",VLOOKUP(B558,Pricelist!A:D,2,FALSE))</f>
        <v/>
      </c>
      <c r="D558" s="134" t="str">
        <f>IF(ISNA(VLOOKUP(B558,Pricelist!A:D,2,FALSE)),"",VLOOKUP(B558,Pricelist!A:D,3,FALSE))</f>
        <v/>
      </c>
    </row>
    <row r="559" spans="2:4">
      <c r="B559" s="270"/>
      <c r="C559" s="369" t="str">
        <f>IF(ISNA(VLOOKUP(B559,Pricelist!A:D,2,FALSE)),"",VLOOKUP(B559,Pricelist!A:D,2,FALSE))</f>
        <v/>
      </c>
      <c r="D559" s="134" t="str">
        <f>IF(ISNA(VLOOKUP(B559,Pricelist!A:D,2,FALSE)),"",VLOOKUP(B559,Pricelist!A:D,3,FALSE))</f>
        <v/>
      </c>
    </row>
    <row r="560" spans="2:4">
      <c r="B560" s="270"/>
      <c r="C560" s="369" t="str">
        <f>IF(ISNA(VLOOKUP(B560,Pricelist!A:D,2,FALSE)),"",VLOOKUP(B560,Pricelist!A:D,2,FALSE))</f>
        <v/>
      </c>
      <c r="D560" s="134" t="str">
        <f>IF(ISNA(VLOOKUP(B560,Pricelist!A:D,2,FALSE)),"",VLOOKUP(B560,Pricelist!A:D,3,FALSE))</f>
        <v/>
      </c>
    </row>
    <row r="561" spans="2:4">
      <c r="B561" s="270"/>
      <c r="C561" s="369" t="str">
        <f>IF(ISNA(VLOOKUP(B561,Pricelist!A:D,2,FALSE)),"",VLOOKUP(B561,Pricelist!A:D,2,FALSE))</f>
        <v/>
      </c>
      <c r="D561" s="134" t="str">
        <f>IF(ISNA(VLOOKUP(B561,Pricelist!A:D,2,FALSE)),"",VLOOKUP(B561,Pricelist!A:D,3,FALSE))</f>
        <v/>
      </c>
    </row>
    <row r="562" spans="2:4">
      <c r="B562" s="270"/>
      <c r="C562" s="369" t="str">
        <f>IF(ISNA(VLOOKUP(B562,Pricelist!A:D,2,FALSE)),"",VLOOKUP(B562,Pricelist!A:D,2,FALSE))</f>
        <v/>
      </c>
      <c r="D562" s="134" t="str">
        <f>IF(ISNA(VLOOKUP(B562,Pricelist!A:D,2,FALSE)),"",VLOOKUP(B562,Pricelist!A:D,3,FALSE))</f>
        <v/>
      </c>
    </row>
    <row r="563" spans="2:4">
      <c r="B563" s="270"/>
      <c r="C563" s="369" t="str">
        <f>IF(ISNA(VLOOKUP(B563,Pricelist!A:D,2,FALSE)),"",VLOOKUP(B563,Pricelist!A:D,2,FALSE))</f>
        <v/>
      </c>
      <c r="D563" s="134" t="str">
        <f>IF(ISNA(VLOOKUP(B563,Pricelist!A:D,2,FALSE)),"",VLOOKUP(B563,Pricelist!A:D,3,FALSE))</f>
        <v/>
      </c>
    </row>
    <row r="564" spans="2:4">
      <c r="B564" s="270"/>
      <c r="C564" s="369" t="str">
        <f>IF(ISNA(VLOOKUP(B564,Pricelist!A:D,2,FALSE)),"",VLOOKUP(B564,Pricelist!A:D,2,FALSE))</f>
        <v/>
      </c>
      <c r="D564" s="134" t="str">
        <f>IF(ISNA(VLOOKUP(B564,Pricelist!A:D,2,FALSE)),"",VLOOKUP(B564,Pricelist!A:D,3,FALSE))</f>
        <v/>
      </c>
    </row>
    <row r="565" spans="2:4">
      <c r="B565" s="270"/>
      <c r="C565" s="369" t="str">
        <f>IF(ISNA(VLOOKUP(B565,Pricelist!A:D,2,FALSE)),"",VLOOKUP(B565,Pricelist!A:D,2,FALSE))</f>
        <v/>
      </c>
      <c r="D565" s="134" t="str">
        <f>IF(ISNA(VLOOKUP(B565,Pricelist!A:D,2,FALSE)),"",VLOOKUP(B565,Pricelist!A:D,3,FALSE))</f>
        <v/>
      </c>
    </row>
    <row r="566" spans="2:4">
      <c r="B566" s="270"/>
      <c r="C566" s="369" t="str">
        <f>IF(ISNA(VLOOKUP(B566,Pricelist!A:D,2,FALSE)),"",VLOOKUP(B566,Pricelist!A:D,2,FALSE))</f>
        <v/>
      </c>
      <c r="D566" s="134" t="str">
        <f>IF(ISNA(VLOOKUP(B566,Pricelist!A:D,2,FALSE)),"",VLOOKUP(B566,Pricelist!A:D,3,FALSE))</f>
        <v/>
      </c>
    </row>
    <row r="567" spans="2:4">
      <c r="B567" s="270"/>
      <c r="C567" s="369" t="str">
        <f>IF(ISNA(VLOOKUP(B567,Pricelist!A:D,2,FALSE)),"",VLOOKUP(B567,Pricelist!A:D,2,FALSE))</f>
        <v/>
      </c>
      <c r="D567" s="134" t="str">
        <f>IF(ISNA(VLOOKUP(B567,Pricelist!A:D,2,FALSE)),"",VLOOKUP(B567,Pricelist!A:D,3,FALSE))</f>
        <v/>
      </c>
    </row>
    <row r="568" spans="2:4">
      <c r="B568" s="270"/>
      <c r="C568" s="369" t="str">
        <f>IF(ISNA(VLOOKUP(B568,Pricelist!A:D,2,FALSE)),"",VLOOKUP(B568,Pricelist!A:D,2,FALSE))</f>
        <v/>
      </c>
      <c r="D568" s="134" t="str">
        <f>IF(ISNA(VLOOKUP(B568,Pricelist!A:D,2,FALSE)),"",VLOOKUP(B568,Pricelist!A:D,3,FALSE))</f>
        <v/>
      </c>
    </row>
    <row r="569" spans="2:4">
      <c r="B569" s="270"/>
      <c r="C569" s="369" t="str">
        <f>IF(ISNA(VLOOKUP(B569,Pricelist!A:D,2,FALSE)),"",VLOOKUP(B569,Pricelist!A:D,2,FALSE))</f>
        <v/>
      </c>
      <c r="D569" s="134" t="str">
        <f>IF(ISNA(VLOOKUP(B569,Pricelist!A:D,2,FALSE)),"",VLOOKUP(B569,Pricelist!A:D,3,FALSE))</f>
        <v/>
      </c>
    </row>
    <row r="570" spans="2:4">
      <c r="B570" s="270"/>
      <c r="C570" s="369" t="str">
        <f>IF(ISNA(VLOOKUP(B570,Pricelist!A:D,2,FALSE)),"",VLOOKUP(B570,Pricelist!A:D,2,FALSE))</f>
        <v/>
      </c>
      <c r="D570" s="134" t="str">
        <f>IF(ISNA(VLOOKUP(B570,Pricelist!A:D,2,FALSE)),"",VLOOKUP(B570,Pricelist!A:D,3,FALSE))</f>
        <v/>
      </c>
    </row>
    <row r="571" spans="2:4">
      <c r="B571" s="270"/>
      <c r="C571" s="369" t="str">
        <f>IF(ISNA(VLOOKUP(B571,Pricelist!A:D,2,FALSE)),"",VLOOKUP(B571,Pricelist!A:D,2,FALSE))</f>
        <v/>
      </c>
      <c r="D571" s="134" t="str">
        <f>IF(ISNA(VLOOKUP(B571,Pricelist!A:D,2,FALSE)),"",VLOOKUP(B571,Pricelist!A:D,3,FALSE))</f>
        <v/>
      </c>
    </row>
    <row r="572" spans="2:4">
      <c r="B572" s="270"/>
      <c r="C572" s="369" t="str">
        <f>IF(ISNA(VLOOKUP(B572,Pricelist!A:D,2,FALSE)),"",VLOOKUP(B572,Pricelist!A:D,2,FALSE))</f>
        <v/>
      </c>
      <c r="D572" s="134" t="str">
        <f>IF(ISNA(VLOOKUP(B572,Pricelist!A:D,2,FALSE)),"",VLOOKUP(B572,Pricelist!A:D,3,FALSE))</f>
        <v/>
      </c>
    </row>
    <row r="573" spans="2:4">
      <c r="B573" s="270"/>
      <c r="C573" s="369" t="str">
        <f>IF(ISNA(VLOOKUP(B573,Pricelist!A:D,2,FALSE)),"",VLOOKUP(B573,Pricelist!A:D,2,FALSE))</f>
        <v/>
      </c>
      <c r="D573" s="134" t="str">
        <f>IF(ISNA(VLOOKUP(B573,Pricelist!A:D,2,FALSE)),"",VLOOKUP(B573,Pricelist!A:D,3,FALSE))</f>
        <v/>
      </c>
    </row>
    <row r="574" spans="2:4">
      <c r="B574" s="270"/>
      <c r="C574" s="369" t="str">
        <f>IF(ISNA(VLOOKUP(B574,Pricelist!A:D,2,FALSE)),"",VLOOKUP(B574,Pricelist!A:D,2,FALSE))</f>
        <v/>
      </c>
      <c r="D574" s="134" t="str">
        <f>IF(ISNA(VLOOKUP(B574,Pricelist!A:D,2,FALSE)),"",VLOOKUP(B574,Pricelist!A:D,3,FALSE))</f>
        <v/>
      </c>
    </row>
    <row r="575" spans="2:4">
      <c r="B575" s="270"/>
      <c r="C575" s="369" t="str">
        <f>IF(ISNA(VLOOKUP(B575,Pricelist!A:D,2,FALSE)),"",VLOOKUP(B575,Pricelist!A:D,2,FALSE))</f>
        <v/>
      </c>
      <c r="D575" s="134" t="str">
        <f>IF(ISNA(VLOOKUP(B575,Pricelist!A:D,2,FALSE)),"",VLOOKUP(B575,Pricelist!A:D,3,FALSE))</f>
        <v/>
      </c>
    </row>
    <row r="576" spans="2:4">
      <c r="B576" s="270"/>
      <c r="C576" s="369" t="str">
        <f>IF(ISNA(VLOOKUP(B576,Pricelist!A:D,2,FALSE)),"",VLOOKUP(B576,Pricelist!A:D,2,FALSE))</f>
        <v/>
      </c>
      <c r="D576" s="134" t="str">
        <f>IF(ISNA(VLOOKUP(B576,Pricelist!A:D,2,FALSE)),"",VLOOKUP(B576,Pricelist!A:D,3,FALSE))</f>
        <v/>
      </c>
    </row>
    <row r="577" spans="2:4">
      <c r="B577" s="270"/>
      <c r="C577" s="369" t="str">
        <f>IF(ISNA(VLOOKUP(B577,Pricelist!A:D,2,FALSE)),"",VLOOKUP(B577,Pricelist!A:D,2,FALSE))</f>
        <v/>
      </c>
      <c r="D577" s="134" t="str">
        <f>IF(ISNA(VLOOKUP(B577,Pricelist!A:D,2,FALSE)),"",VLOOKUP(B577,Pricelist!A:D,3,FALSE))</f>
        <v/>
      </c>
    </row>
    <row r="578" spans="2:4">
      <c r="B578" s="270"/>
      <c r="C578" s="369" t="str">
        <f>IF(ISNA(VLOOKUP(B578,Pricelist!A:D,2,FALSE)),"",VLOOKUP(B578,Pricelist!A:D,2,FALSE))</f>
        <v/>
      </c>
      <c r="D578" s="134" t="str">
        <f>IF(ISNA(VLOOKUP(B578,Pricelist!A:D,2,FALSE)),"",VLOOKUP(B578,Pricelist!A:D,3,FALSE))</f>
        <v/>
      </c>
    </row>
    <row r="579" spans="2:4">
      <c r="B579" s="270"/>
      <c r="C579" s="369" t="str">
        <f>IF(ISNA(VLOOKUP(B579,Pricelist!A:D,2,FALSE)),"",VLOOKUP(B579,Pricelist!A:D,2,FALSE))</f>
        <v/>
      </c>
      <c r="D579" s="134" t="str">
        <f>IF(ISNA(VLOOKUP(B579,Pricelist!A:D,2,FALSE)),"",VLOOKUP(B579,Pricelist!A:D,3,FALSE))</f>
        <v/>
      </c>
    </row>
    <row r="580" spans="2:4">
      <c r="B580" s="270"/>
      <c r="C580" s="369" t="str">
        <f>IF(ISNA(VLOOKUP(B580,Pricelist!A:D,2,FALSE)),"",VLOOKUP(B580,Pricelist!A:D,2,FALSE))</f>
        <v/>
      </c>
      <c r="D580" s="134" t="str">
        <f>IF(ISNA(VLOOKUP(B580,Pricelist!A:D,2,FALSE)),"",VLOOKUP(B580,Pricelist!A:D,3,FALSE))</f>
        <v/>
      </c>
    </row>
    <row r="581" spans="2:4">
      <c r="B581" s="270"/>
      <c r="C581" s="369" t="str">
        <f>IF(ISNA(VLOOKUP(B581,Pricelist!A:D,2,FALSE)),"",VLOOKUP(B581,Pricelist!A:D,2,FALSE))</f>
        <v/>
      </c>
      <c r="D581" s="134" t="str">
        <f>IF(ISNA(VLOOKUP(B581,Pricelist!A:D,2,FALSE)),"",VLOOKUP(B581,Pricelist!A:D,3,FALSE))</f>
        <v/>
      </c>
    </row>
    <row r="582" spans="2:4">
      <c r="B582" s="270"/>
      <c r="C582" s="369" t="str">
        <f>IF(ISNA(VLOOKUP(B582,Pricelist!A:D,2,FALSE)),"",VLOOKUP(B582,Pricelist!A:D,2,FALSE))</f>
        <v/>
      </c>
      <c r="D582" s="134" t="str">
        <f>IF(ISNA(VLOOKUP(B582,Pricelist!A:D,2,FALSE)),"",VLOOKUP(B582,Pricelist!A:D,3,FALSE))</f>
        <v/>
      </c>
    </row>
    <row r="583" spans="2:4">
      <c r="B583" s="270"/>
      <c r="C583" s="369" t="str">
        <f>IF(ISNA(VLOOKUP(B583,Pricelist!A:D,2,FALSE)),"",VLOOKUP(B583,Pricelist!A:D,2,FALSE))</f>
        <v/>
      </c>
      <c r="D583" s="134" t="str">
        <f>IF(ISNA(VLOOKUP(B583,Pricelist!A:D,2,FALSE)),"",VLOOKUP(B583,Pricelist!A:D,3,FALSE))</f>
        <v/>
      </c>
    </row>
    <row r="584" spans="2:4">
      <c r="B584" s="270"/>
      <c r="C584" s="369" t="str">
        <f>IF(ISNA(VLOOKUP(B584,Pricelist!A:D,2,FALSE)),"",VLOOKUP(B584,Pricelist!A:D,2,FALSE))</f>
        <v/>
      </c>
      <c r="D584" s="134" t="str">
        <f>IF(ISNA(VLOOKUP(B584,Pricelist!A:D,2,FALSE)),"",VLOOKUP(B584,Pricelist!A:D,3,FALSE))</f>
        <v/>
      </c>
    </row>
    <row r="585" spans="2:4">
      <c r="B585" s="270"/>
      <c r="C585" s="369" t="str">
        <f>IF(ISNA(VLOOKUP(B585,Pricelist!A:D,2,FALSE)),"",VLOOKUP(B585,Pricelist!A:D,2,FALSE))</f>
        <v/>
      </c>
      <c r="D585" s="134" t="str">
        <f>IF(ISNA(VLOOKUP(B585,Pricelist!A:D,2,FALSE)),"",VLOOKUP(B585,Pricelist!A:D,3,FALSE))</f>
        <v/>
      </c>
    </row>
    <row r="586" spans="2:4">
      <c r="B586" s="270"/>
      <c r="C586" s="369" t="str">
        <f>IF(ISNA(VLOOKUP(B586,Pricelist!A:D,2,FALSE)),"",VLOOKUP(B586,Pricelist!A:D,2,FALSE))</f>
        <v/>
      </c>
      <c r="D586" s="134" t="str">
        <f>IF(ISNA(VLOOKUP(B586,Pricelist!A:D,2,FALSE)),"",VLOOKUP(B586,Pricelist!A:D,3,FALSE))</f>
        <v/>
      </c>
    </row>
    <row r="587" spans="2:4">
      <c r="B587" s="270"/>
      <c r="C587" s="369" t="str">
        <f>IF(ISNA(VLOOKUP(B587,Pricelist!A:D,2,FALSE)),"",VLOOKUP(B587,Pricelist!A:D,2,FALSE))</f>
        <v/>
      </c>
      <c r="D587" s="134" t="str">
        <f>IF(ISNA(VLOOKUP(B587,Pricelist!A:D,2,FALSE)),"",VLOOKUP(B587,Pricelist!A:D,3,FALSE))</f>
        <v/>
      </c>
    </row>
    <row r="588" spans="2:4">
      <c r="B588" s="270"/>
      <c r="C588" s="369" t="str">
        <f>IF(ISNA(VLOOKUP(B588,Pricelist!A:D,2,FALSE)),"",VLOOKUP(B588,Pricelist!A:D,2,FALSE))</f>
        <v/>
      </c>
      <c r="D588" s="134" t="str">
        <f>IF(ISNA(VLOOKUP(B588,Pricelist!A:D,2,FALSE)),"",VLOOKUP(B588,Pricelist!A:D,3,FALSE))</f>
        <v/>
      </c>
    </row>
    <row r="589" spans="2:4">
      <c r="B589" s="270"/>
      <c r="C589" s="369" t="str">
        <f>IF(ISNA(VLOOKUP(B589,Pricelist!A:D,2,FALSE)),"",VLOOKUP(B589,Pricelist!A:D,2,FALSE))</f>
        <v/>
      </c>
      <c r="D589" s="134" t="str">
        <f>IF(ISNA(VLOOKUP(B589,Pricelist!A:D,2,FALSE)),"",VLOOKUP(B589,Pricelist!A:D,3,FALSE))</f>
        <v/>
      </c>
    </row>
    <row r="590" spans="2:4">
      <c r="B590" s="270"/>
      <c r="C590" s="369" t="str">
        <f>IF(ISNA(VLOOKUP(B590,Pricelist!A:D,2,FALSE)),"",VLOOKUP(B590,Pricelist!A:D,2,FALSE))</f>
        <v/>
      </c>
      <c r="D590" s="134" t="str">
        <f>IF(ISNA(VLOOKUP(B590,Pricelist!A:D,2,FALSE)),"",VLOOKUP(B590,Pricelist!A:D,3,FALSE))</f>
        <v/>
      </c>
    </row>
    <row r="591" spans="2:4">
      <c r="B591" s="270"/>
      <c r="C591" s="369" t="str">
        <f>IF(ISNA(VLOOKUP(B591,Pricelist!A:D,2,FALSE)),"",VLOOKUP(B591,Pricelist!A:D,2,FALSE))</f>
        <v/>
      </c>
      <c r="D591" s="134" t="str">
        <f>IF(ISNA(VLOOKUP(B591,Pricelist!A:D,2,FALSE)),"",VLOOKUP(B591,Pricelist!A:D,3,FALSE))</f>
        <v/>
      </c>
    </row>
    <row r="592" spans="2:4">
      <c r="B592" s="270"/>
      <c r="C592" s="369" t="str">
        <f>IF(ISNA(VLOOKUP(B592,Pricelist!A:D,2,FALSE)),"",VLOOKUP(B592,Pricelist!A:D,2,FALSE))</f>
        <v/>
      </c>
      <c r="D592" s="134" t="str">
        <f>IF(ISNA(VLOOKUP(B592,Pricelist!A:D,2,FALSE)),"",VLOOKUP(B592,Pricelist!A:D,3,FALSE))</f>
        <v/>
      </c>
    </row>
    <row r="593" spans="2:4">
      <c r="B593" s="270"/>
      <c r="C593" s="369" t="str">
        <f>IF(ISNA(VLOOKUP(B593,Pricelist!A:D,2,FALSE)),"",VLOOKUP(B593,Pricelist!A:D,2,FALSE))</f>
        <v/>
      </c>
      <c r="D593" s="134" t="str">
        <f>IF(ISNA(VLOOKUP(B593,Pricelist!A:D,2,FALSE)),"",VLOOKUP(B593,Pricelist!A:D,3,FALSE))</f>
        <v/>
      </c>
    </row>
    <row r="594" spans="2:4">
      <c r="B594" s="270"/>
      <c r="C594" s="369" t="str">
        <f>IF(ISNA(VLOOKUP(B594,Pricelist!A:D,2,FALSE)),"",VLOOKUP(B594,Pricelist!A:D,2,FALSE))</f>
        <v/>
      </c>
      <c r="D594" s="134" t="str">
        <f>IF(ISNA(VLOOKUP(B594,Pricelist!A:D,2,FALSE)),"",VLOOKUP(B594,Pricelist!A:D,3,FALSE))</f>
        <v/>
      </c>
    </row>
    <row r="595" spans="2:4">
      <c r="B595" s="270"/>
      <c r="C595" s="369" t="str">
        <f>IF(ISNA(VLOOKUP(B595,Pricelist!A:D,2,FALSE)),"",VLOOKUP(B595,Pricelist!A:D,2,FALSE))</f>
        <v/>
      </c>
      <c r="D595" s="134" t="str">
        <f>IF(ISNA(VLOOKUP(B595,Pricelist!A:D,2,FALSE)),"",VLOOKUP(B595,Pricelist!A:D,3,FALSE))</f>
        <v/>
      </c>
    </row>
    <row r="596" spans="2:4">
      <c r="B596" s="270"/>
      <c r="C596" s="369" t="str">
        <f>IF(ISNA(VLOOKUP(B596,Pricelist!A:D,2,FALSE)),"",VLOOKUP(B596,Pricelist!A:D,2,FALSE))</f>
        <v/>
      </c>
      <c r="D596" s="134" t="str">
        <f>IF(ISNA(VLOOKUP(B596,Pricelist!A:D,2,FALSE)),"",VLOOKUP(B596,Pricelist!A:D,3,FALSE))</f>
        <v/>
      </c>
    </row>
    <row r="597" spans="2:4">
      <c r="B597" s="270"/>
      <c r="C597" s="369" t="str">
        <f>IF(ISNA(VLOOKUP(B597,Pricelist!A:D,2,FALSE)),"",VLOOKUP(B597,Pricelist!A:D,2,FALSE))</f>
        <v/>
      </c>
      <c r="D597" s="134" t="str">
        <f>IF(ISNA(VLOOKUP(B597,Pricelist!A:D,2,FALSE)),"",VLOOKUP(B597,Pricelist!A:D,3,FALSE))</f>
        <v/>
      </c>
    </row>
    <row r="598" spans="2:4">
      <c r="B598" s="270"/>
      <c r="C598" s="369" t="str">
        <f>IF(ISNA(VLOOKUP(B598,Pricelist!A:D,2,FALSE)),"",VLOOKUP(B598,Pricelist!A:D,2,FALSE))</f>
        <v/>
      </c>
      <c r="D598" s="134" t="str">
        <f>IF(ISNA(VLOOKUP(B598,Pricelist!A:D,2,FALSE)),"",VLOOKUP(B598,Pricelist!A:D,3,FALSE))</f>
        <v/>
      </c>
    </row>
    <row r="599" spans="2:4">
      <c r="B599" s="270"/>
      <c r="C599" s="369" t="str">
        <f>IF(ISNA(VLOOKUP(B599,Pricelist!A:D,2,FALSE)),"",VLOOKUP(B599,Pricelist!A:D,2,FALSE))</f>
        <v/>
      </c>
      <c r="D599" s="134" t="str">
        <f>IF(ISNA(VLOOKUP(B599,Pricelist!A:D,2,FALSE)),"",VLOOKUP(B599,Pricelist!A:D,3,FALSE))</f>
        <v/>
      </c>
    </row>
    <row r="600" spans="2:4">
      <c r="B600" s="270"/>
      <c r="C600" s="369" t="str">
        <f>IF(ISNA(VLOOKUP(B600,Pricelist!A:D,2,FALSE)),"",VLOOKUP(B600,Pricelist!A:D,2,FALSE))</f>
        <v/>
      </c>
      <c r="D600" s="134" t="str">
        <f>IF(ISNA(VLOOKUP(B600,Pricelist!A:D,2,FALSE)),"",VLOOKUP(B600,Pricelist!A:D,3,FALSE))</f>
        <v/>
      </c>
    </row>
    <row r="601" spans="2:4">
      <c r="B601" s="270"/>
      <c r="C601" s="369" t="str">
        <f>IF(ISNA(VLOOKUP(B601,Pricelist!A:D,2,FALSE)),"",VLOOKUP(B601,Pricelist!A:D,2,FALSE))</f>
        <v/>
      </c>
      <c r="D601" s="134" t="str">
        <f>IF(ISNA(VLOOKUP(B601,Pricelist!A:D,2,FALSE)),"",VLOOKUP(B601,Pricelist!A:D,3,FALSE))</f>
        <v/>
      </c>
    </row>
    <row r="602" spans="2:4">
      <c r="B602" s="270"/>
      <c r="C602" s="369" t="str">
        <f>IF(ISNA(VLOOKUP(B602,Pricelist!A:D,2,FALSE)),"",VLOOKUP(B602,Pricelist!A:D,2,FALSE))</f>
        <v/>
      </c>
      <c r="D602" s="134" t="str">
        <f>IF(ISNA(VLOOKUP(B602,Pricelist!A:D,2,FALSE)),"",VLOOKUP(B602,Pricelist!A:D,3,FALSE))</f>
        <v/>
      </c>
    </row>
    <row r="603" spans="2:4">
      <c r="B603" s="270"/>
      <c r="C603" s="369" t="str">
        <f>IF(ISNA(VLOOKUP(B603,Pricelist!A:D,2,FALSE)),"",VLOOKUP(B603,Pricelist!A:D,2,FALSE))</f>
        <v/>
      </c>
      <c r="D603" s="134" t="str">
        <f>IF(ISNA(VLOOKUP(B603,Pricelist!A:D,2,FALSE)),"",VLOOKUP(B603,Pricelist!A:D,3,FALSE))</f>
        <v/>
      </c>
    </row>
    <row r="604" spans="2:4">
      <c r="B604" s="270"/>
      <c r="C604" s="369" t="str">
        <f>IF(ISNA(VLOOKUP(B604,Pricelist!A:D,2,FALSE)),"",VLOOKUP(B604,Pricelist!A:D,2,FALSE))</f>
        <v/>
      </c>
      <c r="D604" s="134" t="str">
        <f>IF(ISNA(VLOOKUP(B604,Pricelist!A:D,2,FALSE)),"",VLOOKUP(B604,Pricelist!A:D,3,FALSE))</f>
        <v/>
      </c>
    </row>
    <row r="605" spans="2:4">
      <c r="B605" s="270"/>
      <c r="C605" s="369" t="str">
        <f>IF(ISNA(VLOOKUP(B605,Pricelist!A:D,2,FALSE)),"",VLOOKUP(B605,Pricelist!A:D,2,FALSE))</f>
        <v/>
      </c>
      <c r="D605" s="134" t="str">
        <f>IF(ISNA(VLOOKUP(B605,Pricelist!A:D,2,FALSE)),"",VLOOKUP(B605,Pricelist!A:D,3,FALSE))</f>
        <v/>
      </c>
    </row>
    <row r="606" spans="2:4">
      <c r="B606" s="270"/>
      <c r="C606" s="369" t="str">
        <f>IF(ISNA(VLOOKUP(B606,Pricelist!A:D,2,FALSE)),"",VLOOKUP(B606,Pricelist!A:D,2,FALSE))</f>
        <v/>
      </c>
      <c r="D606" s="134" t="str">
        <f>IF(ISNA(VLOOKUP(B606,Pricelist!A:D,2,FALSE)),"",VLOOKUP(B606,Pricelist!A:D,3,FALSE))</f>
        <v/>
      </c>
    </row>
    <row r="607" spans="2:4">
      <c r="B607" s="270"/>
      <c r="C607" s="369" t="str">
        <f>IF(ISNA(VLOOKUP(B607,Pricelist!A:D,2,FALSE)),"",VLOOKUP(B607,Pricelist!A:D,2,FALSE))</f>
        <v/>
      </c>
      <c r="D607" s="134" t="str">
        <f>IF(ISNA(VLOOKUP(B607,Pricelist!A:D,2,FALSE)),"",VLOOKUP(B607,Pricelist!A:D,3,FALSE))</f>
        <v/>
      </c>
    </row>
    <row r="608" spans="2:4">
      <c r="B608" s="270"/>
      <c r="C608" s="369" t="str">
        <f>IF(ISNA(VLOOKUP(B608,Pricelist!A:D,2,FALSE)),"",VLOOKUP(B608,Pricelist!A:D,2,FALSE))</f>
        <v/>
      </c>
      <c r="D608" s="134" t="str">
        <f>IF(ISNA(VLOOKUP(B608,Pricelist!A:D,2,FALSE)),"",VLOOKUP(B608,Pricelist!A:D,3,FALSE))</f>
        <v/>
      </c>
    </row>
    <row r="609" spans="2:4">
      <c r="B609" s="270"/>
      <c r="C609" s="369" t="str">
        <f>IF(ISNA(VLOOKUP(B609,Pricelist!A:D,2,FALSE)),"",VLOOKUP(B609,Pricelist!A:D,2,FALSE))</f>
        <v/>
      </c>
      <c r="D609" s="134" t="str">
        <f>IF(ISNA(VLOOKUP(B609,Pricelist!A:D,2,FALSE)),"",VLOOKUP(B609,Pricelist!A:D,3,FALSE))</f>
        <v/>
      </c>
    </row>
    <row r="610" spans="2:4">
      <c r="B610" s="270"/>
      <c r="C610" s="369" t="str">
        <f>IF(ISNA(VLOOKUP(B610,Pricelist!A:D,2,FALSE)),"",VLOOKUP(B610,Pricelist!A:D,2,FALSE))</f>
        <v/>
      </c>
      <c r="D610" s="134" t="str">
        <f>IF(ISNA(VLOOKUP(B610,Pricelist!A:D,2,FALSE)),"",VLOOKUP(B610,Pricelist!A:D,3,FALSE))</f>
        <v/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734"/>
  <sheetViews>
    <sheetView zoomScaleNormal="100" workbookViewId="0">
      <selection activeCell="B2" sqref="B2"/>
    </sheetView>
  </sheetViews>
  <sheetFormatPr defaultColWidth="8.85546875" defaultRowHeight="15"/>
  <cols>
    <col min="1" max="1" width="9.140625" style="133" bestFit="1" customWidth="1"/>
    <col min="2" max="2" width="7.7109375" bestFit="1" customWidth="1"/>
    <col min="3" max="3" width="29.140625" style="133" bestFit="1" customWidth="1"/>
    <col min="4" max="4" width="6" style="133" bestFit="1" customWidth="1"/>
    <col min="5" max="5" width="12.42578125" style="133" bestFit="1" customWidth="1"/>
    <col min="6" max="6" width="18.140625" style="133" bestFit="1" customWidth="1"/>
    <col min="7" max="7" width="2.7109375" style="133" bestFit="1" customWidth="1"/>
    <col min="8" max="8" width="7.42578125" style="133" bestFit="1" customWidth="1"/>
    <col min="9" max="16384" width="8.85546875" style="133"/>
  </cols>
  <sheetData>
    <row r="1" spans="1:9">
      <c r="A1" s="129"/>
      <c r="C1" s="130" t="s">
        <v>342</v>
      </c>
      <c r="D1" s="131" t="s">
        <v>343</v>
      </c>
      <c r="E1" s="132"/>
    </row>
    <row r="2" spans="1:9">
      <c r="B2" s="270" t="s">
        <v>901</v>
      </c>
      <c r="C2" s="369" t="str">
        <f>IF(ISNA(VLOOKUP(B2,Pricelist!A:D,2,FALSE)),"",VLOOKUP(B2,Pricelist!A:D,2,FALSE))</f>
        <v>Sara/Beth Armless Sofa</v>
      </c>
      <c r="D2" s="134">
        <f>IF(ISNA(VLOOKUP(B2,Pricelist!A:D,2,FALSE)),"",VLOOKUP(B2,Pricelist!A:D,4,FALSE))</f>
        <v>1.75</v>
      </c>
      <c r="F2" s="412" t="s">
        <v>1913</v>
      </c>
      <c r="G2" s="135"/>
      <c r="H2" s="132"/>
    </row>
    <row r="3" spans="1:9">
      <c r="A3" s="133" t="s">
        <v>448</v>
      </c>
      <c r="B3" s="270" t="s">
        <v>901</v>
      </c>
      <c r="C3" s="369" t="str">
        <f>IF(ISNA(VLOOKUP(B3,Pricelist!A:D,2,FALSE)),"",VLOOKUP(B3,Pricelist!A:D,2,FALSE))</f>
        <v>Sara/Beth Armless Sofa</v>
      </c>
      <c r="D3" s="134">
        <f>IF(ISNA(VLOOKUP(B3,Pricelist!A:D,2,FALSE)),"",VLOOKUP(B3,Pricelist!A:D,4,FALSE))</f>
        <v>1.75</v>
      </c>
      <c r="G3" s="136"/>
      <c r="H3" s="279"/>
    </row>
    <row r="4" spans="1:9">
      <c r="B4" s="270"/>
      <c r="C4" s="369" t="str">
        <f>IF(ISNA(VLOOKUP(B4,Pricelist!A:D,2,FALSE)),"",VLOOKUP(B4,Pricelist!A:D,2,FALSE))</f>
        <v/>
      </c>
      <c r="D4" s="134" t="str">
        <f>IF(ISNA(VLOOKUP(B4,Pricelist!A:D,2,FALSE)),"",VLOOKUP(B4,Pricelist!A:D,4,FALSE))</f>
        <v/>
      </c>
      <c r="F4" s="137" t="s">
        <v>344</v>
      </c>
      <c r="G4" s="138"/>
      <c r="H4" s="139">
        <f>SUM(D:D)</f>
        <v>3.5</v>
      </c>
      <c r="I4" s="278"/>
    </row>
    <row r="5" spans="1:9" ht="15.75" thickBot="1">
      <c r="B5" s="270"/>
      <c r="C5" s="369" t="str">
        <f>IF(ISNA(VLOOKUP(B5,Pricelist!A:D,2,FALSE)),"",VLOOKUP(B5,Pricelist!A:D,2,FALSE))</f>
        <v/>
      </c>
      <c r="D5" s="134" t="str">
        <f>IF(ISNA(VLOOKUP(B5,Pricelist!A:D,2,FALSE)),"",VLOOKUP(B5,Pricelist!A:D,4,FALSE))</f>
        <v/>
      </c>
      <c r="F5" s="137" t="s">
        <v>345</v>
      </c>
      <c r="H5" s="133">
        <f>COUNTA(B2:B995)</f>
        <v>2</v>
      </c>
    </row>
    <row r="6" spans="1:9" ht="15.75" thickBot="1">
      <c r="B6" s="270"/>
      <c r="C6" s="369" t="str">
        <f>IF(ISNA(VLOOKUP(B6,Pricelist!A:D,2,FALSE)),"",VLOOKUP(B6,Pricelist!A:D,2,FALSE))</f>
        <v/>
      </c>
      <c r="D6" s="134" t="str">
        <f>IF(ISNA(VLOOKUP(B6,Pricelist!A:D,2,FALSE)),"",VLOOKUP(B6,Pricelist!A:D,4,FALSE))</f>
        <v/>
      </c>
      <c r="F6" s="129" t="s">
        <v>346</v>
      </c>
      <c r="G6" s="140">
        <v>0</v>
      </c>
      <c r="H6" s="141">
        <f>G6*10</f>
        <v>0</v>
      </c>
    </row>
    <row r="7" spans="1:9">
      <c r="B7" s="270"/>
      <c r="C7" s="369" t="str">
        <f>IF(ISNA(VLOOKUP(B7,Pricelist!A:D,2,FALSE)),"",VLOOKUP(B7,Pricelist!A:D,2,FALSE))</f>
        <v/>
      </c>
      <c r="D7" s="134" t="str">
        <f>IF(ISNA(VLOOKUP(B7,Pricelist!A:D,2,FALSE)),"",VLOOKUP(B7,Pricelist!A:D,4,FALSE))</f>
        <v/>
      </c>
      <c r="F7" s="129"/>
      <c r="G7" s="142"/>
    </row>
    <row r="8" spans="1:9">
      <c r="B8" s="270"/>
      <c r="C8" s="369" t="str">
        <f>IF(ISNA(VLOOKUP(B8,Pricelist!A:D,2,FALSE)),"",VLOOKUP(B8,Pricelist!A:D,2,FALSE))</f>
        <v/>
      </c>
      <c r="D8" s="134" t="str">
        <f>IF(ISNA(VLOOKUP(B8,Pricelist!A:D,2,FALSE)),"",VLOOKUP(B8,Pricelist!A:D,4,FALSE))</f>
        <v/>
      </c>
      <c r="E8" s="143"/>
      <c r="F8" s="137"/>
    </row>
    <row r="9" spans="1:9">
      <c r="B9" s="270"/>
      <c r="C9" s="369" t="str">
        <f>IF(ISNA(VLOOKUP(B9,Pricelist!A:D,2,FALSE)),"",VLOOKUP(B9,Pricelist!A:D,2,FALSE))</f>
        <v/>
      </c>
      <c r="D9" s="134" t="str">
        <f>IF(ISNA(VLOOKUP(B9,Pricelist!A:D,2,FALSE)),"",VLOOKUP(B9,Pricelist!A:D,4,FALSE))</f>
        <v/>
      </c>
      <c r="E9" s="129"/>
      <c r="F9" s="137"/>
    </row>
    <row r="10" spans="1:9">
      <c r="B10" s="270"/>
      <c r="C10" s="369" t="str">
        <f>IF(ISNA(VLOOKUP(B10,Pricelist!A:D,2,FALSE)),"",VLOOKUP(B10,Pricelist!A:D,2,FALSE))</f>
        <v/>
      </c>
      <c r="D10" s="134" t="str">
        <f>IF(ISNA(VLOOKUP(B10,Pricelist!A:D,2,FALSE)),"",VLOOKUP(B10,Pricelist!A:D,4,FALSE))</f>
        <v/>
      </c>
    </row>
    <row r="11" spans="1:9">
      <c r="B11" s="270"/>
      <c r="C11" s="369" t="str">
        <f>IF(ISNA(VLOOKUP(B11,Pricelist!A:D,2,FALSE)),"",VLOOKUP(B11,Pricelist!A:D,2,FALSE))</f>
        <v/>
      </c>
      <c r="D11" s="134" t="str">
        <f>IF(ISNA(VLOOKUP(B11,Pricelist!A:D,2,FALSE)),"",VLOOKUP(B11,Pricelist!A:D,4,FALSE))</f>
        <v/>
      </c>
    </row>
    <row r="12" spans="1:9">
      <c r="B12" s="270"/>
      <c r="C12" s="369" t="str">
        <f>IF(ISNA(VLOOKUP(B12,Pricelist!A:D,2,FALSE)),"",VLOOKUP(B12,Pricelist!A:D,2,FALSE))</f>
        <v/>
      </c>
      <c r="D12" s="134" t="str">
        <f>IF(ISNA(VLOOKUP(B12,Pricelist!A:D,2,FALSE)),"",VLOOKUP(B12,Pricelist!A:D,4,FALSE))</f>
        <v/>
      </c>
    </row>
    <row r="13" spans="1:9">
      <c r="B13" s="270"/>
      <c r="C13" s="369" t="str">
        <f>IF(ISNA(VLOOKUP(B13,Pricelist!A:D,2,FALSE)),"",VLOOKUP(B13,Pricelist!A:D,2,FALSE))</f>
        <v/>
      </c>
      <c r="D13" s="134" t="str">
        <f>IF(ISNA(VLOOKUP(B13,Pricelist!A:D,2,FALSE)),"",VLOOKUP(B13,Pricelist!A:D,4,FALSE))</f>
        <v/>
      </c>
    </row>
    <row r="14" spans="1:9">
      <c r="B14" s="270"/>
      <c r="C14" s="369" t="str">
        <f>IF(ISNA(VLOOKUP(B14,Pricelist!A:D,2,FALSE)),"",VLOOKUP(B14,Pricelist!A:D,2,FALSE))</f>
        <v/>
      </c>
      <c r="D14" s="134" t="str">
        <f>IF(ISNA(VLOOKUP(B14,Pricelist!A:D,2,FALSE)),"",VLOOKUP(B14,Pricelist!A:D,4,FALSE))</f>
        <v/>
      </c>
    </row>
    <row r="15" spans="1:9">
      <c r="B15" s="270"/>
      <c r="C15" s="369" t="str">
        <f>IF(ISNA(VLOOKUP(B15,Pricelist!A:D,2,FALSE)),"",VLOOKUP(B15,Pricelist!A:D,2,FALSE))</f>
        <v/>
      </c>
      <c r="D15" s="134" t="str">
        <f>IF(ISNA(VLOOKUP(B15,Pricelist!A:D,2,FALSE)),"",VLOOKUP(B15,Pricelist!A:D,4,FALSE))</f>
        <v/>
      </c>
    </row>
    <row r="16" spans="1:9">
      <c r="B16" s="270"/>
      <c r="C16" s="369" t="str">
        <f>IF(ISNA(VLOOKUP(B16,Pricelist!A:D,2,FALSE)),"",VLOOKUP(B16,Pricelist!A:D,2,FALSE))</f>
        <v/>
      </c>
      <c r="D16" s="134" t="str">
        <f>IF(ISNA(VLOOKUP(B16,Pricelist!A:D,2,FALSE)),"",VLOOKUP(B16,Pricelist!A:D,4,FALSE))</f>
        <v/>
      </c>
    </row>
    <row r="17" spans="2:4">
      <c r="B17" s="270"/>
      <c r="C17" s="369" t="str">
        <f>IF(ISNA(VLOOKUP(B17,Pricelist!A:D,2,FALSE)),"",VLOOKUP(B17,Pricelist!A:D,2,FALSE))</f>
        <v/>
      </c>
      <c r="D17" s="134" t="str">
        <f>IF(ISNA(VLOOKUP(B17,Pricelist!A:D,2,FALSE)),"",VLOOKUP(B17,Pricelist!A:D,4,FALSE))</f>
        <v/>
      </c>
    </row>
    <row r="18" spans="2:4">
      <c r="B18" s="270"/>
      <c r="C18" s="369" t="str">
        <f>IF(ISNA(VLOOKUP(B18,Pricelist!A:D,2,FALSE)),"",VLOOKUP(B18,Pricelist!A:D,2,FALSE))</f>
        <v/>
      </c>
      <c r="D18" s="134" t="str">
        <f>IF(ISNA(VLOOKUP(B18,Pricelist!A:D,2,FALSE)),"",VLOOKUP(B18,Pricelist!A:D,4,FALSE))</f>
        <v/>
      </c>
    </row>
    <row r="19" spans="2:4">
      <c r="B19" s="270"/>
      <c r="C19" s="369" t="str">
        <f>IF(ISNA(VLOOKUP(B19,Pricelist!A:D,2,FALSE)),"",VLOOKUP(B19,Pricelist!A:D,2,FALSE))</f>
        <v/>
      </c>
      <c r="D19" s="134" t="str">
        <f>IF(ISNA(VLOOKUP(B19,Pricelist!A:D,2,FALSE)),"",VLOOKUP(B19,Pricelist!A:D,4,FALSE))</f>
        <v/>
      </c>
    </row>
    <row r="20" spans="2:4">
      <c r="B20" s="270"/>
      <c r="C20" s="369" t="str">
        <f>IF(ISNA(VLOOKUP(B20,Pricelist!A:D,2,FALSE)),"",VLOOKUP(B20,Pricelist!A:D,2,FALSE))</f>
        <v/>
      </c>
      <c r="D20" s="134" t="str">
        <f>IF(ISNA(VLOOKUP(B20,Pricelist!A:D,2,FALSE)),"",VLOOKUP(B20,Pricelist!A:D,4,FALSE))</f>
        <v/>
      </c>
    </row>
    <row r="21" spans="2:4">
      <c r="B21" s="270"/>
      <c r="C21" s="369" t="str">
        <f>IF(ISNA(VLOOKUP(B21,Pricelist!A:D,2,FALSE)),"",VLOOKUP(B21,Pricelist!A:D,2,FALSE))</f>
        <v/>
      </c>
      <c r="D21" s="134" t="str">
        <f>IF(ISNA(VLOOKUP(B21,Pricelist!A:D,2,FALSE)),"",VLOOKUP(B21,Pricelist!A:D,4,FALSE))</f>
        <v/>
      </c>
    </row>
    <row r="22" spans="2:4">
      <c r="B22" s="270"/>
      <c r="C22" s="369" t="str">
        <f>IF(ISNA(VLOOKUP(B22,Pricelist!A:D,2,FALSE)),"",VLOOKUP(B22,Pricelist!A:D,2,FALSE))</f>
        <v/>
      </c>
      <c r="D22" s="134" t="str">
        <f>IF(ISNA(VLOOKUP(B22,Pricelist!A:D,2,FALSE)),"",VLOOKUP(B22,Pricelist!A:D,4,FALSE))</f>
        <v/>
      </c>
    </row>
    <row r="23" spans="2:4">
      <c r="B23" s="270"/>
      <c r="C23" s="369" t="str">
        <f>IF(ISNA(VLOOKUP(B23,Pricelist!A:D,2,FALSE)),"",VLOOKUP(B23,Pricelist!A:D,2,FALSE))</f>
        <v/>
      </c>
      <c r="D23" s="134" t="str">
        <f>IF(ISNA(VLOOKUP(B23,Pricelist!A:D,2,FALSE)),"",VLOOKUP(B23,Pricelist!A:D,4,FALSE))</f>
        <v/>
      </c>
    </row>
    <row r="24" spans="2:4">
      <c r="B24" s="270"/>
      <c r="C24" s="369" t="str">
        <f>IF(ISNA(VLOOKUP(B24,Pricelist!A:D,2,FALSE)),"",VLOOKUP(B24,Pricelist!A:D,2,FALSE))</f>
        <v/>
      </c>
      <c r="D24" s="134" t="str">
        <f>IF(ISNA(VLOOKUP(B24,Pricelist!A:D,2,FALSE)),"",VLOOKUP(B24,Pricelist!A:D,4,FALSE))</f>
        <v/>
      </c>
    </row>
    <row r="25" spans="2:4">
      <c r="B25" s="270"/>
      <c r="C25" s="369" t="str">
        <f>IF(ISNA(VLOOKUP(B25,Pricelist!A:D,2,FALSE)),"",VLOOKUP(B25,Pricelist!A:D,2,FALSE))</f>
        <v/>
      </c>
      <c r="D25" s="134" t="str">
        <f>IF(ISNA(VLOOKUP(B25,Pricelist!A:D,2,FALSE)),"",VLOOKUP(B25,Pricelist!A:D,4,FALSE))</f>
        <v/>
      </c>
    </row>
    <row r="26" spans="2:4">
      <c r="B26" s="270"/>
      <c r="C26" s="369" t="str">
        <f>IF(ISNA(VLOOKUP(B26,Pricelist!A:D,2,FALSE)),"",VLOOKUP(B26,Pricelist!A:D,2,FALSE))</f>
        <v/>
      </c>
      <c r="D26" s="134" t="str">
        <f>IF(ISNA(VLOOKUP(B26,Pricelist!A:D,2,FALSE)),"",VLOOKUP(B26,Pricelist!A:D,4,FALSE))</f>
        <v/>
      </c>
    </row>
    <row r="27" spans="2:4">
      <c r="B27" s="270"/>
      <c r="C27" s="369" t="str">
        <f>IF(ISNA(VLOOKUP(B27,Pricelist!A:D,2,FALSE)),"",VLOOKUP(B27,Pricelist!A:D,2,FALSE))</f>
        <v/>
      </c>
      <c r="D27" s="134" t="str">
        <f>IF(ISNA(VLOOKUP(B27,Pricelist!A:D,2,FALSE)),"",VLOOKUP(B27,Pricelist!A:D,4,FALSE))</f>
        <v/>
      </c>
    </row>
    <row r="28" spans="2:4">
      <c r="B28" s="270"/>
      <c r="C28" s="369" t="str">
        <f>IF(ISNA(VLOOKUP(B28,Pricelist!A:D,2,FALSE)),"",VLOOKUP(B28,Pricelist!A:D,2,FALSE))</f>
        <v/>
      </c>
      <c r="D28" s="134" t="str">
        <f>IF(ISNA(VLOOKUP(B28,Pricelist!A:D,2,FALSE)),"",VLOOKUP(B28,Pricelist!A:D,4,FALSE))</f>
        <v/>
      </c>
    </row>
    <row r="29" spans="2:4">
      <c r="B29" s="270"/>
      <c r="C29" s="369" t="str">
        <f>IF(ISNA(VLOOKUP(B29,Pricelist!A:D,2,FALSE)),"",VLOOKUP(B29,Pricelist!A:D,2,FALSE))</f>
        <v/>
      </c>
      <c r="D29" s="134" t="str">
        <f>IF(ISNA(VLOOKUP(B29,Pricelist!A:D,2,FALSE)),"",VLOOKUP(B29,Pricelist!A:D,4,FALSE))</f>
        <v/>
      </c>
    </row>
    <row r="30" spans="2:4">
      <c r="B30" s="270"/>
      <c r="C30" s="369" t="str">
        <f>IF(ISNA(VLOOKUP(B30,Pricelist!A:D,2,FALSE)),"",VLOOKUP(B30,Pricelist!A:D,2,FALSE))</f>
        <v/>
      </c>
      <c r="D30" s="134" t="str">
        <f>IF(ISNA(VLOOKUP(B30,Pricelist!A:D,2,FALSE)),"",VLOOKUP(B30,Pricelist!A:D,4,FALSE))</f>
        <v/>
      </c>
    </row>
    <row r="31" spans="2:4">
      <c r="B31" s="270"/>
      <c r="C31" s="369" t="str">
        <f>IF(ISNA(VLOOKUP(B31,Pricelist!A:D,2,FALSE)),"",VLOOKUP(B31,Pricelist!A:D,2,FALSE))</f>
        <v/>
      </c>
      <c r="D31" s="134" t="str">
        <f>IF(ISNA(VLOOKUP(B31,Pricelist!A:D,2,FALSE)),"",VLOOKUP(B31,Pricelist!A:D,4,FALSE))</f>
        <v/>
      </c>
    </row>
    <row r="32" spans="2:4">
      <c r="B32" s="270"/>
      <c r="C32" s="369" t="str">
        <f>IF(ISNA(VLOOKUP(B32,Pricelist!A:D,2,FALSE)),"",VLOOKUP(B32,Pricelist!A:D,2,FALSE))</f>
        <v/>
      </c>
      <c r="D32" s="134" t="str">
        <f>IF(ISNA(VLOOKUP(B32,Pricelist!A:D,2,FALSE)),"",VLOOKUP(B32,Pricelist!A:D,4,FALSE))</f>
        <v/>
      </c>
    </row>
    <row r="33" spans="2:4">
      <c r="B33" s="270"/>
      <c r="C33" s="369" t="str">
        <f>IF(ISNA(VLOOKUP(B33,Pricelist!A:D,2,FALSE)),"",VLOOKUP(B33,Pricelist!A:D,2,FALSE))</f>
        <v/>
      </c>
      <c r="D33" s="134" t="str">
        <f>IF(ISNA(VLOOKUP(B33,Pricelist!A:D,2,FALSE)),"",VLOOKUP(B33,Pricelist!A:D,4,FALSE))</f>
        <v/>
      </c>
    </row>
    <row r="34" spans="2:4">
      <c r="B34" s="270"/>
      <c r="C34" s="369" t="str">
        <f>IF(ISNA(VLOOKUP(B34,Pricelist!A:D,2,FALSE)),"",VLOOKUP(B34,Pricelist!A:D,2,FALSE))</f>
        <v/>
      </c>
      <c r="D34" s="134" t="str">
        <f>IF(ISNA(VLOOKUP(B34,Pricelist!A:D,2,FALSE)),"",VLOOKUP(B34,Pricelist!A:D,4,FALSE))</f>
        <v/>
      </c>
    </row>
    <row r="35" spans="2:4">
      <c r="B35" s="270"/>
      <c r="C35" s="369" t="str">
        <f>IF(ISNA(VLOOKUP(B35,Pricelist!A:D,2,FALSE)),"",VLOOKUP(B35,Pricelist!A:D,2,FALSE))</f>
        <v/>
      </c>
      <c r="D35" s="134" t="str">
        <f>IF(ISNA(VLOOKUP(B35,Pricelist!A:D,2,FALSE)),"",VLOOKUP(B35,Pricelist!A:D,4,FALSE))</f>
        <v/>
      </c>
    </row>
    <row r="36" spans="2:4">
      <c r="B36" s="270"/>
      <c r="C36" s="369" t="str">
        <f>IF(ISNA(VLOOKUP(B36,Pricelist!A:D,2,FALSE)),"",VLOOKUP(B36,Pricelist!A:D,2,FALSE))</f>
        <v/>
      </c>
      <c r="D36" s="134" t="str">
        <f>IF(ISNA(VLOOKUP(B36,Pricelist!A:D,2,FALSE)),"",VLOOKUP(B36,Pricelist!A:D,4,FALSE))</f>
        <v/>
      </c>
    </row>
    <row r="37" spans="2:4">
      <c r="B37" s="270"/>
      <c r="C37" s="369" t="str">
        <f>IF(ISNA(VLOOKUP(B37,Pricelist!A:D,2,FALSE)),"",VLOOKUP(B37,Pricelist!A:D,2,FALSE))</f>
        <v/>
      </c>
      <c r="D37" s="134" t="str">
        <f>IF(ISNA(VLOOKUP(B37,Pricelist!A:D,2,FALSE)),"",VLOOKUP(B37,Pricelist!A:D,4,FALSE))</f>
        <v/>
      </c>
    </row>
    <row r="38" spans="2:4">
      <c r="B38" s="270"/>
      <c r="C38" s="369" t="str">
        <f>IF(ISNA(VLOOKUP(B38,Pricelist!A:D,2,FALSE)),"",VLOOKUP(B38,Pricelist!A:D,2,FALSE))</f>
        <v/>
      </c>
      <c r="D38" s="134" t="str">
        <f>IF(ISNA(VLOOKUP(B38,Pricelist!A:D,2,FALSE)),"",VLOOKUP(B38,Pricelist!A:D,4,FALSE))</f>
        <v/>
      </c>
    </row>
    <row r="39" spans="2:4">
      <c r="B39" s="270"/>
      <c r="C39" s="369" t="str">
        <f>IF(ISNA(VLOOKUP(B39,Pricelist!A:D,2,FALSE)),"",VLOOKUP(B39,Pricelist!A:D,2,FALSE))</f>
        <v/>
      </c>
      <c r="D39" s="134" t="str">
        <f>IF(ISNA(VLOOKUP(B39,Pricelist!A:D,2,FALSE)),"",VLOOKUP(B39,Pricelist!A:D,4,FALSE))</f>
        <v/>
      </c>
    </row>
    <row r="40" spans="2:4">
      <c r="B40" s="270"/>
      <c r="C40" s="369" t="str">
        <f>IF(ISNA(VLOOKUP(B40,Pricelist!A:D,2,FALSE)),"",VLOOKUP(B40,Pricelist!A:D,2,FALSE))</f>
        <v/>
      </c>
      <c r="D40" s="134" t="str">
        <f>IF(ISNA(VLOOKUP(B40,Pricelist!A:D,2,FALSE)),"",VLOOKUP(B40,Pricelist!A:D,4,FALSE))</f>
        <v/>
      </c>
    </row>
    <row r="41" spans="2:4">
      <c r="B41" s="270"/>
      <c r="C41" s="369" t="str">
        <f>IF(ISNA(VLOOKUP(B41,Pricelist!A:D,2,FALSE)),"",VLOOKUP(B41,Pricelist!A:D,2,FALSE))</f>
        <v/>
      </c>
      <c r="D41" s="134" t="str">
        <f>IF(ISNA(VLOOKUP(B41,Pricelist!A:D,2,FALSE)),"",VLOOKUP(B41,Pricelist!A:D,4,FALSE))</f>
        <v/>
      </c>
    </row>
    <row r="42" spans="2:4">
      <c r="B42" s="270"/>
      <c r="C42" s="369" t="str">
        <f>IF(ISNA(VLOOKUP(B42,Pricelist!A:D,2,FALSE)),"",VLOOKUP(B42,Pricelist!A:D,2,FALSE))</f>
        <v/>
      </c>
      <c r="D42" s="134" t="str">
        <f>IF(ISNA(VLOOKUP(B42,Pricelist!A:D,2,FALSE)),"",VLOOKUP(B42,Pricelist!A:D,4,FALSE))</f>
        <v/>
      </c>
    </row>
    <row r="43" spans="2:4">
      <c r="B43" s="270"/>
      <c r="C43" s="369" t="str">
        <f>IF(ISNA(VLOOKUP(B43,Pricelist!A:D,2,FALSE)),"",VLOOKUP(B43,Pricelist!A:D,2,FALSE))</f>
        <v/>
      </c>
      <c r="D43" s="134" t="str">
        <f>IF(ISNA(VLOOKUP(B43,Pricelist!A:D,2,FALSE)),"",VLOOKUP(B43,Pricelist!A:D,4,FALSE))</f>
        <v/>
      </c>
    </row>
    <row r="44" spans="2:4">
      <c r="B44" s="270"/>
      <c r="C44" s="369" t="str">
        <f>IF(ISNA(VLOOKUP(B44,Pricelist!A:D,2,FALSE)),"",VLOOKUP(B44,Pricelist!A:D,2,FALSE))</f>
        <v/>
      </c>
      <c r="D44" s="134" t="str">
        <f>IF(ISNA(VLOOKUP(B44,Pricelist!A:D,2,FALSE)),"",VLOOKUP(B44,Pricelist!A:D,4,FALSE))</f>
        <v/>
      </c>
    </row>
    <row r="45" spans="2:4">
      <c r="B45" s="270"/>
      <c r="C45" s="369" t="str">
        <f>IF(ISNA(VLOOKUP(B45,Pricelist!A:D,2,FALSE)),"",VLOOKUP(B45,Pricelist!A:D,2,FALSE))</f>
        <v/>
      </c>
      <c r="D45" s="134" t="str">
        <f>IF(ISNA(VLOOKUP(B45,Pricelist!A:D,2,FALSE)),"",VLOOKUP(B45,Pricelist!A:D,4,FALSE))</f>
        <v/>
      </c>
    </row>
    <row r="46" spans="2:4">
      <c r="B46" s="270"/>
      <c r="C46" s="369" t="str">
        <f>IF(ISNA(VLOOKUP(B46,Pricelist!A:D,2,FALSE)),"",VLOOKUP(B46,Pricelist!A:D,2,FALSE))</f>
        <v/>
      </c>
      <c r="D46" s="134" t="str">
        <f>IF(ISNA(VLOOKUP(B46,Pricelist!A:D,2,FALSE)),"",VLOOKUP(B46,Pricelist!A:D,4,FALSE))</f>
        <v/>
      </c>
    </row>
    <row r="47" spans="2:4">
      <c r="B47" s="270"/>
      <c r="C47" s="369" t="str">
        <f>IF(ISNA(VLOOKUP(B47,Pricelist!A:D,2,FALSE)),"",VLOOKUP(B47,Pricelist!A:D,2,FALSE))</f>
        <v/>
      </c>
      <c r="D47" s="134" t="str">
        <f>IF(ISNA(VLOOKUP(B47,Pricelist!A:D,2,FALSE)),"",VLOOKUP(B47,Pricelist!A:D,4,FALSE))</f>
        <v/>
      </c>
    </row>
    <row r="48" spans="2:4">
      <c r="B48" s="270"/>
      <c r="C48" s="369" t="str">
        <f>IF(ISNA(VLOOKUP(B48,Pricelist!A:D,2,FALSE)),"",VLOOKUP(B48,Pricelist!A:D,2,FALSE))</f>
        <v/>
      </c>
      <c r="D48" s="134" t="str">
        <f>IF(ISNA(VLOOKUP(B48,Pricelist!A:D,2,FALSE)),"",VLOOKUP(B48,Pricelist!A:D,4,FALSE))</f>
        <v/>
      </c>
    </row>
    <row r="49" spans="2:4">
      <c r="B49" s="270"/>
      <c r="C49" s="369" t="str">
        <f>IF(ISNA(VLOOKUP(B49,Pricelist!A:D,2,FALSE)),"",VLOOKUP(B49,Pricelist!A:D,2,FALSE))</f>
        <v/>
      </c>
      <c r="D49" s="134" t="str">
        <f>IF(ISNA(VLOOKUP(B49,Pricelist!A:D,2,FALSE)),"",VLOOKUP(B49,Pricelist!A:D,4,FALSE))</f>
        <v/>
      </c>
    </row>
    <row r="50" spans="2:4">
      <c r="B50" s="270"/>
      <c r="C50" s="369" t="str">
        <f>IF(ISNA(VLOOKUP(B50,Pricelist!A:D,2,FALSE)),"",VLOOKUP(B50,Pricelist!A:D,2,FALSE))</f>
        <v/>
      </c>
      <c r="D50" s="134" t="str">
        <f>IF(ISNA(VLOOKUP(B50,Pricelist!A:D,2,FALSE)),"",VLOOKUP(B50,Pricelist!A:D,4,FALSE))</f>
        <v/>
      </c>
    </row>
    <row r="51" spans="2:4">
      <c r="B51" s="270"/>
      <c r="C51" s="369" t="str">
        <f>IF(ISNA(VLOOKUP(B51,Pricelist!A:D,2,FALSE)),"",VLOOKUP(B51,Pricelist!A:D,2,FALSE))</f>
        <v/>
      </c>
      <c r="D51" s="134" t="str">
        <f>IF(ISNA(VLOOKUP(B51,Pricelist!A:D,2,FALSE)),"",VLOOKUP(B51,Pricelist!A:D,4,FALSE))</f>
        <v/>
      </c>
    </row>
    <row r="52" spans="2:4">
      <c r="B52" s="270"/>
      <c r="C52" s="369" t="str">
        <f>IF(ISNA(VLOOKUP(B52,Pricelist!A:D,2,FALSE)),"",VLOOKUP(B52,Pricelist!A:D,2,FALSE))</f>
        <v/>
      </c>
      <c r="D52" s="134" t="str">
        <f>IF(ISNA(VLOOKUP(B52,Pricelist!A:D,2,FALSE)),"",VLOOKUP(B52,Pricelist!A:D,4,FALSE))</f>
        <v/>
      </c>
    </row>
    <row r="53" spans="2:4">
      <c r="B53" s="270"/>
      <c r="C53" s="369" t="str">
        <f>IF(ISNA(VLOOKUP(B53,Pricelist!A:D,2,FALSE)),"",VLOOKUP(B53,Pricelist!A:D,2,FALSE))</f>
        <v/>
      </c>
      <c r="D53" s="134" t="str">
        <f>IF(ISNA(VLOOKUP(B53,Pricelist!A:D,2,FALSE)),"",VLOOKUP(B53,Pricelist!A:D,4,FALSE))</f>
        <v/>
      </c>
    </row>
    <row r="54" spans="2:4">
      <c r="B54" s="270"/>
      <c r="C54" s="369" t="str">
        <f>IF(ISNA(VLOOKUP(B54,Pricelist!A:D,2,FALSE)),"",VLOOKUP(B54,Pricelist!A:D,2,FALSE))</f>
        <v/>
      </c>
      <c r="D54" s="134" t="str">
        <f>IF(ISNA(VLOOKUP(B54,Pricelist!A:D,2,FALSE)),"",VLOOKUP(B54,Pricelist!A:D,4,FALSE))</f>
        <v/>
      </c>
    </row>
    <row r="55" spans="2:4">
      <c r="B55" s="270"/>
      <c r="C55" s="369" t="str">
        <f>IF(ISNA(VLOOKUP(B55,Pricelist!A:D,2,FALSE)),"",VLOOKUP(B55,Pricelist!A:D,2,FALSE))</f>
        <v/>
      </c>
      <c r="D55" s="134" t="str">
        <f>IF(ISNA(VLOOKUP(B55,Pricelist!A:D,2,FALSE)),"",VLOOKUP(B55,Pricelist!A:D,4,FALSE))</f>
        <v/>
      </c>
    </row>
    <row r="56" spans="2:4">
      <c r="B56" s="270"/>
      <c r="C56" s="369" t="str">
        <f>IF(ISNA(VLOOKUP(B56,Pricelist!A:D,2,FALSE)),"",VLOOKUP(B56,Pricelist!A:D,2,FALSE))</f>
        <v/>
      </c>
      <c r="D56" s="134" t="str">
        <f>IF(ISNA(VLOOKUP(B56,Pricelist!A:D,2,FALSE)),"",VLOOKUP(B56,Pricelist!A:D,4,FALSE))</f>
        <v/>
      </c>
    </row>
    <row r="57" spans="2:4">
      <c r="B57" s="270"/>
      <c r="C57" s="369" t="str">
        <f>IF(ISNA(VLOOKUP(B57,Pricelist!A:D,2,FALSE)),"",VLOOKUP(B57,Pricelist!A:D,2,FALSE))</f>
        <v/>
      </c>
      <c r="D57" s="134" t="str">
        <f>IF(ISNA(VLOOKUP(B57,Pricelist!A:D,2,FALSE)),"",VLOOKUP(B57,Pricelist!A:D,4,FALSE))</f>
        <v/>
      </c>
    </row>
    <row r="58" spans="2:4">
      <c r="B58" s="270"/>
      <c r="C58" s="369" t="str">
        <f>IF(ISNA(VLOOKUP(B58,Pricelist!A:D,2,FALSE)),"",VLOOKUP(B58,Pricelist!A:D,2,FALSE))</f>
        <v/>
      </c>
      <c r="D58" s="134" t="str">
        <f>IF(ISNA(VLOOKUP(B58,Pricelist!A:D,2,FALSE)),"",VLOOKUP(B58,Pricelist!A:D,4,FALSE))</f>
        <v/>
      </c>
    </row>
    <row r="59" spans="2:4">
      <c r="B59" s="270"/>
      <c r="C59" s="369" t="str">
        <f>IF(ISNA(VLOOKUP(B59,Pricelist!A:D,2,FALSE)),"",VLOOKUP(B59,Pricelist!A:D,2,FALSE))</f>
        <v/>
      </c>
      <c r="D59" s="134" t="str">
        <f>IF(ISNA(VLOOKUP(B59,Pricelist!A:D,2,FALSE)),"",VLOOKUP(B59,Pricelist!A:D,4,FALSE))</f>
        <v/>
      </c>
    </row>
    <row r="60" spans="2:4">
      <c r="B60" s="270"/>
      <c r="C60" s="369" t="str">
        <f>IF(ISNA(VLOOKUP(B60,Pricelist!A:D,2,FALSE)),"",VLOOKUP(B60,Pricelist!A:D,2,FALSE))</f>
        <v/>
      </c>
      <c r="D60" s="134" t="str">
        <f>IF(ISNA(VLOOKUP(B60,Pricelist!A:D,2,FALSE)),"",VLOOKUP(B60,Pricelist!A:D,4,FALSE))</f>
        <v/>
      </c>
    </row>
    <row r="61" spans="2:4">
      <c r="B61" s="270"/>
      <c r="C61" s="369" t="str">
        <f>IF(ISNA(VLOOKUP(B61,Pricelist!A:D,2,FALSE)),"",VLOOKUP(B61,Pricelist!A:D,2,FALSE))</f>
        <v/>
      </c>
      <c r="D61" s="134" t="str">
        <f>IF(ISNA(VLOOKUP(B61,Pricelist!A:D,2,FALSE)),"",VLOOKUP(B61,Pricelist!A:D,4,FALSE))</f>
        <v/>
      </c>
    </row>
    <row r="62" spans="2:4">
      <c r="B62" s="270"/>
      <c r="C62" s="369" t="str">
        <f>IF(ISNA(VLOOKUP(B62,Pricelist!A:D,2,FALSE)),"",VLOOKUP(B62,Pricelist!A:D,2,FALSE))</f>
        <v/>
      </c>
      <c r="D62" s="134" t="str">
        <f>IF(ISNA(VLOOKUP(B62,Pricelist!A:D,2,FALSE)),"",VLOOKUP(B62,Pricelist!A:D,4,FALSE))</f>
        <v/>
      </c>
    </row>
    <row r="63" spans="2:4">
      <c r="B63" s="270"/>
      <c r="C63" s="369" t="str">
        <f>IF(ISNA(VLOOKUP(B63,Pricelist!A:D,2,FALSE)),"",VLOOKUP(B63,Pricelist!A:D,2,FALSE))</f>
        <v/>
      </c>
      <c r="D63" s="134" t="str">
        <f>IF(ISNA(VLOOKUP(B63,Pricelist!A:D,2,FALSE)),"",VLOOKUP(B63,Pricelist!A:D,4,FALSE))</f>
        <v/>
      </c>
    </row>
    <row r="64" spans="2:4">
      <c r="B64" s="270"/>
      <c r="C64" s="369" t="str">
        <f>IF(ISNA(VLOOKUP(B64,Pricelist!A:D,2,FALSE)),"",VLOOKUP(B64,Pricelist!A:D,2,FALSE))</f>
        <v/>
      </c>
      <c r="D64" s="134" t="str">
        <f>IF(ISNA(VLOOKUP(B64,Pricelist!A:D,2,FALSE)),"",VLOOKUP(B64,Pricelist!A:D,4,FALSE))</f>
        <v/>
      </c>
    </row>
    <row r="65" spans="2:4">
      <c r="B65" s="270"/>
      <c r="C65" s="369" t="str">
        <f>IF(ISNA(VLOOKUP(B65,Pricelist!A:D,2,FALSE)),"",VLOOKUP(B65,Pricelist!A:D,2,FALSE))</f>
        <v/>
      </c>
      <c r="D65" s="134" t="str">
        <f>IF(ISNA(VLOOKUP(B65,Pricelist!A:D,2,FALSE)),"",VLOOKUP(B65,Pricelist!A:D,4,FALSE))</f>
        <v/>
      </c>
    </row>
    <row r="66" spans="2:4">
      <c r="B66" s="270"/>
      <c r="C66" s="369" t="str">
        <f>IF(ISNA(VLOOKUP(B66,Pricelist!A:D,2,FALSE)),"",VLOOKUP(B66,Pricelist!A:D,2,FALSE))</f>
        <v/>
      </c>
      <c r="D66" s="134" t="str">
        <f>IF(ISNA(VLOOKUP(B66,Pricelist!A:D,2,FALSE)),"",VLOOKUP(B66,Pricelist!A:D,4,FALSE))</f>
        <v/>
      </c>
    </row>
    <row r="67" spans="2:4">
      <c r="B67" s="270"/>
      <c r="C67" s="369" t="str">
        <f>IF(ISNA(VLOOKUP(B67,Pricelist!A:D,2,FALSE)),"",VLOOKUP(B67,Pricelist!A:D,2,FALSE))</f>
        <v/>
      </c>
      <c r="D67" s="134" t="str">
        <f>IF(ISNA(VLOOKUP(B67,Pricelist!A:D,2,FALSE)),"",VLOOKUP(B67,Pricelist!A:D,4,FALSE))</f>
        <v/>
      </c>
    </row>
    <row r="68" spans="2:4">
      <c r="B68" s="270"/>
      <c r="C68" s="369" t="str">
        <f>IF(ISNA(VLOOKUP(B68,Pricelist!A:D,2,FALSE)),"",VLOOKUP(B68,Pricelist!A:D,2,FALSE))</f>
        <v/>
      </c>
      <c r="D68" s="134" t="str">
        <f>IF(ISNA(VLOOKUP(B68,Pricelist!A:D,2,FALSE)),"",VLOOKUP(B68,Pricelist!A:D,4,FALSE))</f>
        <v/>
      </c>
    </row>
    <row r="69" spans="2:4">
      <c r="B69" s="270"/>
      <c r="C69" s="369" t="str">
        <f>IF(ISNA(VLOOKUP(B69,Pricelist!A:D,2,FALSE)),"",VLOOKUP(B69,Pricelist!A:D,2,FALSE))</f>
        <v/>
      </c>
      <c r="D69" s="134" t="str">
        <f>IF(ISNA(VLOOKUP(B69,Pricelist!A:D,2,FALSE)),"",VLOOKUP(B69,Pricelist!A:D,4,FALSE))</f>
        <v/>
      </c>
    </row>
    <row r="70" spans="2:4">
      <c r="B70" s="270"/>
      <c r="C70" s="369" t="str">
        <f>IF(ISNA(VLOOKUP(B70,Pricelist!A:D,2,FALSE)),"",VLOOKUP(B70,Pricelist!A:D,2,FALSE))</f>
        <v/>
      </c>
      <c r="D70" s="134" t="str">
        <f>IF(ISNA(VLOOKUP(B70,Pricelist!A:D,2,FALSE)),"",VLOOKUP(B70,Pricelist!A:D,4,FALSE))</f>
        <v/>
      </c>
    </row>
    <row r="71" spans="2:4">
      <c r="B71" s="270"/>
      <c r="C71" s="369" t="str">
        <f>IF(ISNA(VLOOKUP(B71,Pricelist!A:D,2,FALSE)),"",VLOOKUP(B71,Pricelist!A:D,2,FALSE))</f>
        <v/>
      </c>
      <c r="D71" s="134" t="str">
        <f>IF(ISNA(VLOOKUP(B71,Pricelist!A:D,2,FALSE)),"",VLOOKUP(B71,Pricelist!A:D,4,FALSE))</f>
        <v/>
      </c>
    </row>
    <row r="72" spans="2:4">
      <c r="B72" s="270"/>
      <c r="C72" s="369" t="str">
        <f>IF(ISNA(VLOOKUP(B72,Pricelist!A:D,2,FALSE)),"",VLOOKUP(B72,Pricelist!A:D,2,FALSE))</f>
        <v/>
      </c>
      <c r="D72" s="134" t="str">
        <f>IF(ISNA(VLOOKUP(B72,Pricelist!A:D,2,FALSE)),"",VLOOKUP(B72,Pricelist!A:D,4,FALSE))</f>
        <v/>
      </c>
    </row>
    <row r="73" spans="2:4">
      <c r="B73" s="270"/>
      <c r="C73" s="369" t="str">
        <f>IF(ISNA(VLOOKUP(B73,Pricelist!A:D,2,FALSE)),"",VLOOKUP(B73,Pricelist!A:D,2,FALSE))</f>
        <v/>
      </c>
      <c r="D73" s="134" t="str">
        <f>IF(ISNA(VLOOKUP(B73,Pricelist!A:D,2,FALSE)),"",VLOOKUP(B73,Pricelist!A:D,4,FALSE))</f>
        <v/>
      </c>
    </row>
    <row r="74" spans="2:4">
      <c r="B74" s="270"/>
      <c r="C74" s="369" t="str">
        <f>IF(ISNA(VLOOKUP(B74,Pricelist!A:D,2,FALSE)),"",VLOOKUP(B74,Pricelist!A:D,2,FALSE))</f>
        <v/>
      </c>
      <c r="D74" s="134" t="str">
        <f>IF(ISNA(VLOOKUP(B74,Pricelist!A:D,2,FALSE)),"",VLOOKUP(B74,Pricelist!A:D,4,FALSE))</f>
        <v/>
      </c>
    </row>
    <row r="75" spans="2:4">
      <c r="B75" s="270"/>
      <c r="C75" s="369" t="str">
        <f>IF(ISNA(VLOOKUP(B75,Pricelist!A:D,2,FALSE)),"",VLOOKUP(B75,Pricelist!A:D,2,FALSE))</f>
        <v/>
      </c>
      <c r="D75" s="134" t="str">
        <f>IF(ISNA(VLOOKUP(B75,Pricelist!A:D,2,FALSE)),"",VLOOKUP(B75,Pricelist!A:D,4,FALSE))</f>
        <v/>
      </c>
    </row>
    <row r="76" spans="2:4">
      <c r="B76" s="270"/>
      <c r="C76" s="369" t="str">
        <f>IF(ISNA(VLOOKUP(B76,Pricelist!A:D,2,FALSE)),"",VLOOKUP(B76,Pricelist!A:D,2,FALSE))</f>
        <v/>
      </c>
      <c r="D76" s="134" t="str">
        <f>IF(ISNA(VLOOKUP(B76,Pricelist!A:D,2,FALSE)),"",VLOOKUP(B76,Pricelist!A:D,4,FALSE))</f>
        <v/>
      </c>
    </row>
    <row r="77" spans="2:4">
      <c r="B77" s="270"/>
      <c r="C77" s="369" t="str">
        <f>IF(ISNA(VLOOKUP(B77,Pricelist!A:D,2,FALSE)),"",VLOOKUP(B77,Pricelist!A:D,2,FALSE))</f>
        <v/>
      </c>
      <c r="D77" s="134" t="str">
        <f>IF(ISNA(VLOOKUP(B77,Pricelist!A:D,2,FALSE)),"",VLOOKUP(B77,Pricelist!A:D,4,FALSE))</f>
        <v/>
      </c>
    </row>
    <row r="78" spans="2:4">
      <c r="B78" s="270"/>
      <c r="C78" s="369" t="str">
        <f>IF(ISNA(VLOOKUP(B78,Pricelist!A:D,2,FALSE)),"",VLOOKUP(B78,Pricelist!A:D,2,FALSE))</f>
        <v/>
      </c>
      <c r="D78" s="134" t="str">
        <f>IF(ISNA(VLOOKUP(B78,Pricelist!A:D,2,FALSE)),"",VLOOKUP(B78,Pricelist!A:D,4,FALSE))</f>
        <v/>
      </c>
    </row>
    <row r="79" spans="2:4">
      <c r="B79" s="270"/>
      <c r="C79" s="369" t="str">
        <f>IF(ISNA(VLOOKUP(B79,Pricelist!A:D,2,FALSE)),"",VLOOKUP(B79,Pricelist!A:D,2,FALSE))</f>
        <v/>
      </c>
      <c r="D79" s="134" t="str">
        <f>IF(ISNA(VLOOKUP(B79,Pricelist!A:D,2,FALSE)),"",VLOOKUP(B79,Pricelist!A:D,4,FALSE))</f>
        <v/>
      </c>
    </row>
    <row r="80" spans="2:4">
      <c r="B80" s="270"/>
      <c r="C80" s="369" t="str">
        <f>IF(ISNA(VLOOKUP(B80,Pricelist!A:D,2,FALSE)),"",VLOOKUP(B80,Pricelist!A:D,2,FALSE))</f>
        <v/>
      </c>
      <c r="D80" s="134" t="str">
        <f>IF(ISNA(VLOOKUP(B80,Pricelist!A:D,2,FALSE)),"",VLOOKUP(B80,Pricelist!A:D,4,FALSE))</f>
        <v/>
      </c>
    </row>
    <row r="81" spans="2:4">
      <c r="B81" s="270"/>
      <c r="C81" s="369" t="str">
        <f>IF(ISNA(VLOOKUP(B81,Pricelist!A:D,2,FALSE)),"",VLOOKUP(B81,Pricelist!A:D,2,FALSE))</f>
        <v/>
      </c>
      <c r="D81" s="134" t="str">
        <f>IF(ISNA(VLOOKUP(B81,Pricelist!A:D,2,FALSE)),"",VLOOKUP(B81,Pricelist!A:D,4,FALSE))</f>
        <v/>
      </c>
    </row>
    <row r="82" spans="2:4">
      <c r="B82" s="270"/>
      <c r="C82" s="369" t="str">
        <f>IF(ISNA(VLOOKUP(B82,Pricelist!A:D,2,FALSE)),"",VLOOKUP(B82,Pricelist!A:D,2,FALSE))</f>
        <v/>
      </c>
      <c r="D82" s="134" t="str">
        <f>IF(ISNA(VLOOKUP(B82,Pricelist!A:D,2,FALSE)),"",VLOOKUP(B82,Pricelist!A:D,4,FALSE))</f>
        <v/>
      </c>
    </row>
    <row r="83" spans="2:4">
      <c r="B83" s="270"/>
      <c r="C83" s="369" t="str">
        <f>IF(ISNA(VLOOKUP(B83,Pricelist!A:D,2,FALSE)),"",VLOOKUP(B83,Pricelist!A:D,2,FALSE))</f>
        <v/>
      </c>
      <c r="D83" s="134" t="str">
        <f>IF(ISNA(VLOOKUP(B83,Pricelist!A:D,2,FALSE)),"",VLOOKUP(B83,Pricelist!A:D,4,FALSE))</f>
        <v/>
      </c>
    </row>
    <row r="84" spans="2:4">
      <c r="B84" s="270"/>
      <c r="C84" s="369" t="str">
        <f>IF(ISNA(VLOOKUP(B84,Pricelist!A:D,2,FALSE)),"",VLOOKUP(B84,Pricelist!A:D,2,FALSE))</f>
        <v/>
      </c>
      <c r="D84" s="134" t="str">
        <f>IF(ISNA(VLOOKUP(B84,Pricelist!A:D,2,FALSE)),"",VLOOKUP(B84,Pricelist!A:D,4,FALSE))</f>
        <v/>
      </c>
    </row>
    <row r="85" spans="2:4">
      <c r="B85" s="270"/>
      <c r="C85" s="369" t="str">
        <f>IF(ISNA(VLOOKUP(B85,Pricelist!A:D,2,FALSE)),"",VLOOKUP(B85,Pricelist!A:D,2,FALSE))</f>
        <v/>
      </c>
      <c r="D85" s="134" t="str">
        <f>IF(ISNA(VLOOKUP(B85,Pricelist!A:D,2,FALSE)),"",VLOOKUP(B85,Pricelist!A:D,4,FALSE))</f>
        <v/>
      </c>
    </row>
    <row r="86" spans="2:4">
      <c r="B86" s="270"/>
      <c r="C86" s="369" t="str">
        <f>IF(ISNA(VLOOKUP(B86,Pricelist!A:D,2,FALSE)),"",VLOOKUP(B86,Pricelist!A:D,2,FALSE))</f>
        <v/>
      </c>
      <c r="D86" s="134" t="str">
        <f>IF(ISNA(VLOOKUP(B86,Pricelist!A:D,2,FALSE)),"",VLOOKUP(B86,Pricelist!A:D,4,FALSE))</f>
        <v/>
      </c>
    </row>
    <row r="87" spans="2:4">
      <c r="B87" s="270"/>
      <c r="C87" s="369" t="str">
        <f>IF(ISNA(VLOOKUP(B87,Pricelist!A:D,2,FALSE)),"",VLOOKUP(B87,Pricelist!A:D,2,FALSE))</f>
        <v/>
      </c>
      <c r="D87" s="134" t="str">
        <f>IF(ISNA(VLOOKUP(B87,Pricelist!A:D,2,FALSE)),"",VLOOKUP(B87,Pricelist!A:D,4,FALSE))</f>
        <v/>
      </c>
    </row>
    <row r="88" spans="2:4">
      <c r="B88" s="270"/>
      <c r="C88" s="369" t="str">
        <f>IF(ISNA(VLOOKUP(B88,Pricelist!A:D,2,FALSE)),"",VLOOKUP(B88,Pricelist!A:D,2,FALSE))</f>
        <v/>
      </c>
      <c r="D88" s="134" t="str">
        <f>IF(ISNA(VLOOKUP(B88,Pricelist!A:D,2,FALSE)),"",VLOOKUP(B88,Pricelist!A:D,4,FALSE))</f>
        <v/>
      </c>
    </row>
    <row r="89" spans="2:4">
      <c r="B89" s="270"/>
      <c r="C89" s="369" t="str">
        <f>IF(ISNA(VLOOKUP(B89,Pricelist!A:D,2,FALSE)),"",VLOOKUP(B89,Pricelist!A:D,2,FALSE))</f>
        <v/>
      </c>
      <c r="D89" s="134" t="str">
        <f>IF(ISNA(VLOOKUP(B89,Pricelist!A:D,2,FALSE)),"",VLOOKUP(B89,Pricelist!A:D,4,FALSE))</f>
        <v/>
      </c>
    </row>
    <row r="90" spans="2:4">
      <c r="B90" s="270"/>
      <c r="C90" s="369" t="str">
        <f>IF(ISNA(VLOOKUP(B90,Pricelist!A:D,2,FALSE)),"",VLOOKUP(B90,Pricelist!A:D,2,FALSE))</f>
        <v/>
      </c>
      <c r="D90" s="134" t="str">
        <f>IF(ISNA(VLOOKUP(B90,Pricelist!A:D,2,FALSE)),"",VLOOKUP(B90,Pricelist!A:D,4,FALSE))</f>
        <v/>
      </c>
    </row>
    <row r="91" spans="2:4">
      <c r="B91" s="270"/>
      <c r="C91" s="369" t="str">
        <f>IF(ISNA(VLOOKUP(B91,Pricelist!A:D,2,FALSE)),"",VLOOKUP(B91,Pricelist!A:D,2,FALSE))</f>
        <v/>
      </c>
      <c r="D91" s="134" t="str">
        <f>IF(ISNA(VLOOKUP(B91,Pricelist!A:D,2,FALSE)),"",VLOOKUP(B91,Pricelist!A:D,4,FALSE))</f>
        <v/>
      </c>
    </row>
    <row r="92" spans="2:4">
      <c r="B92" s="270"/>
      <c r="C92" s="369" t="str">
        <f>IF(ISNA(VLOOKUP(B92,Pricelist!A:D,2,FALSE)),"",VLOOKUP(B92,Pricelist!A:D,2,FALSE))</f>
        <v/>
      </c>
      <c r="D92" s="134" t="str">
        <f>IF(ISNA(VLOOKUP(B92,Pricelist!A:D,2,FALSE)),"",VLOOKUP(B92,Pricelist!A:D,4,FALSE))</f>
        <v/>
      </c>
    </row>
    <row r="93" spans="2:4">
      <c r="B93" s="270"/>
      <c r="C93" s="369" t="str">
        <f>IF(ISNA(VLOOKUP(B93,Pricelist!A:D,2,FALSE)),"",VLOOKUP(B93,Pricelist!A:D,2,FALSE))</f>
        <v/>
      </c>
      <c r="D93" s="134" t="str">
        <f>IF(ISNA(VLOOKUP(B93,Pricelist!A:D,2,FALSE)),"",VLOOKUP(B93,Pricelist!A:D,4,FALSE))</f>
        <v/>
      </c>
    </row>
    <row r="94" spans="2:4">
      <c r="B94" s="270"/>
      <c r="C94" s="369" t="str">
        <f>IF(ISNA(VLOOKUP(B94,Pricelist!A:D,2,FALSE)),"",VLOOKUP(B94,Pricelist!A:D,2,FALSE))</f>
        <v/>
      </c>
      <c r="D94" s="134" t="str">
        <f>IF(ISNA(VLOOKUP(B94,Pricelist!A:D,2,FALSE)),"",VLOOKUP(B94,Pricelist!A:D,4,FALSE))</f>
        <v/>
      </c>
    </row>
    <row r="95" spans="2:4">
      <c r="B95" s="270"/>
      <c r="C95" s="369" t="str">
        <f>IF(ISNA(VLOOKUP(B95,Pricelist!A:D,2,FALSE)),"",VLOOKUP(B95,Pricelist!A:D,2,FALSE))</f>
        <v/>
      </c>
      <c r="D95" s="134" t="str">
        <f>IF(ISNA(VLOOKUP(B95,Pricelist!A:D,2,FALSE)),"",VLOOKUP(B95,Pricelist!A:D,4,FALSE))</f>
        <v/>
      </c>
    </row>
    <row r="96" spans="2:4">
      <c r="B96" s="270"/>
      <c r="C96" s="369" t="str">
        <f>IF(ISNA(VLOOKUP(B96,Pricelist!A:D,2,FALSE)),"",VLOOKUP(B96,Pricelist!A:D,2,FALSE))</f>
        <v/>
      </c>
      <c r="D96" s="134" t="str">
        <f>IF(ISNA(VLOOKUP(B96,Pricelist!A:D,2,FALSE)),"",VLOOKUP(B96,Pricelist!A:D,4,FALSE))</f>
        <v/>
      </c>
    </row>
    <row r="97" spans="1:4">
      <c r="B97" s="270"/>
      <c r="C97" s="369" t="str">
        <f>IF(ISNA(VLOOKUP(B97,Pricelist!A:D,2,FALSE)),"",VLOOKUP(B97,Pricelist!A:D,2,FALSE))</f>
        <v/>
      </c>
      <c r="D97" s="134" t="str">
        <f>IF(ISNA(VLOOKUP(B97,Pricelist!A:D,2,FALSE)),"",VLOOKUP(B97,Pricelist!A:D,4,FALSE))</f>
        <v/>
      </c>
    </row>
    <row r="98" spans="1:4">
      <c r="B98" s="270"/>
      <c r="C98" s="369" t="str">
        <f>IF(ISNA(VLOOKUP(B98,Pricelist!A:D,2,FALSE)),"",VLOOKUP(B98,Pricelist!A:D,2,FALSE))</f>
        <v/>
      </c>
      <c r="D98" s="134" t="str">
        <f>IF(ISNA(VLOOKUP(B98,Pricelist!A:D,2,FALSE)),"",VLOOKUP(B98,Pricelist!A:D,4,FALSE))</f>
        <v/>
      </c>
    </row>
    <row r="99" spans="1:4">
      <c r="B99" s="270"/>
      <c r="C99" s="369" t="str">
        <f>IF(ISNA(VLOOKUP(B99,Pricelist!A:D,2,FALSE)),"",VLOOKUP(B99,Pricelist!A:D,2,FALSE))</f>
        <v/>
      </c>
      <c r="D99" s="134" t="str">
        <f>IF(ISNA(VLOOKUP(B99,Pricelist!A:D,2,FALSE)),"",VLOOKUP(B99,Pricelist!A:D,4,FALSE))</f>
        <v/>
      </c>
    </row>
    <row r="100" spans="1:4">
      <c r="B100" s="270"/>
      <c r="C100" s="369" t="str">
        <f>IF(ISNA(VLOOKUP(B100,Pricelist!A:D,2,FALSE)),"",VLOOKUP(B100,Pricelist!A:D,2,FALSE))</f>
        <v/>
      </c>
      <c r="D100" s="134" t="str">
        <f>IF(ISNA(VLOOKUP(B100,Pricelist!A:D,2,FALSE)),"",VLOOKUP(B100,Pricelist!A:D,4,FALSE))</f>
        <v/>
      </c>
    </row>
    <row r="101" spans="1:4">
      <c r="B101" s="270"/>
      <c r="C101" s="369" t="str">
        <f>IF(ISNA(VLOOKUP(B101,Pricelist!A:D,2,FALSE)),"",VLOOKUP(B101,Pricelist!A:D,2,FALSE))</f>
        <v/>
      </c>
      <c r="D101" s="134" t="str">
        <f>IF(ISNA(VLOOKUP(B101,Pricelist!A:D,2,FALSE)),"",VLOOKUP(B101,Pricelist!A:D,4,FALSE))</f>
        <v/>
      </c>
    </row>
    <row r="102" spans="1:4">
      <c r="A102" s="133" t="s">
        <v>493</v>
      </c>
      <c r="B102" s="270"/>
      <c r="C102" s="369" t="str">
        <f>IF(ISNA(VLOOKUP(B102,Pricelist!A:D,2,FALSE)),"",VLOOKUP(B102,Pricelist!A:D,2,FALSE))</f>
        <v/>
      </c>
      <c r="D102" s="134" t="str">
        <f>IF(ISNA(VLOOKUP(B102,Pricelist!A:D,2,FALSE)),"",VLOOKUP(B102,Pricelist!A:D,4,FALSE))</f>
        <v/>
      </c>
    </row>
    <row r="103" spans="1:4">
      <c r="A103" s="133">
        <f>COUNTA(B102:B192)</f>
        <v>0</v>
      </c>
      <c r="B103" s="270"/>
      <c r="C103" s="369" t="str">
        <f>IF(ISNA(VLOOKUP(B103,Pricelist!A:D,2,FALSE)),"",VLOOKUP(B103,Pricelist!A:D,2,FALSE))</f>
        <v/>
      </c>
      <c r="D103" s="134" t="str">
        <f>IF(ISNA(VLOOKUP(B103,Pricelist!A:D,2,FALSE)),"",VLOOKUP(B103,Pricelist!A:D,4,FALSE))</f>
        <v/>
      </c>
    </row>
    <row r="104" spans="1:4">
      <c r="B104" s="270"/>
      <c r="C104" s="369" t="str">
        <f>IF(ISNA(VLOOKUP(B104,Pricelist!A:D,2,FALSE)),"",VLOOKUP(B104,Pricelist!A:D,2,FALSE))</f>
        <v/>
      </c>
      <c r="D104" s="134" t="str">
        <f>IF(ISNA(VLOOKUP(B104,Pricelist!A:D,2,FALSE)),"",VLOOKUP(B104,Pricelist!A:D,4,FALSE))</f>
        <v/>
      </c>
    </row>
    <row r="105" spans="1:4">
      <c r="B105" s="270"/>
      <c r="C105" s="369" t="str">
        <f>IF(ISNA(VLOOKUP(B105,Pricelist!A:D,2,FALSE)),"",VLOOKUP(B105,Pricelist!A:D,2,FALSE))</f>
        <v/>
      </c>
      <c r="D105" s="134" t="str">
        <f>IF(ISNA(VLOOKUP(B105,Pricelist!A:D,2,FALSE)),"",VLOOKUP(B105,Pricelist!A:D,4,FALSE))</f>
        <v/>
      </c>
    </row>
    <row r="106" spans="1:4">
      <c r="B106" s="270"/>
      <c r="C106" s="369" t="str">
        <f>IF(ISNA(VLOOKUP(B106,Pricelist!A:D,2,FALSE)),"",VLOOKUP(B106,Pricelist!A:D,2,FALSE))</f>
        <v/>
      </c>
      <c r="D106" s="134" t="str">
        <f>IF(ISNA(VLOOKUP(B106,Pricelist!A:D,2,FALSE)),"",VLOOKUP(B106,Pricelist!A:D,4,FALSE))</f>
        <v/>
      </c>
    </row>
    <row r="107" spans="1:4">
      <c r="B107" s="270"/>
      <c r="C107" s="369" t="str">
        <f>IF(ISNA(VLOOKUP(B107,Pricelist!A:D,2,FALSE)),"",VLOOKUP(B107,Pricelist!A:D,2,FALSE))</f>
        <v/>
      </c>
      <c r="D107" s="134" t="str">
        <f>IF(ISNA(VLOOKUP(B107,Pricelist!A:D,2,FALSE)),"",VLOOKUP(B107,Pricelist!A:D,4,FALSE))</f>
        <v/>
      </c>
    </row>
    <row r="108" spans="1:4">
      <c r="B108" s="270"/>
      <c r="C108" s="369" t="str">
        <f>IF(ISNA(VLOOKUP(B108,Pricelist!A:D,2,FALSE)),"",VLOOKUP(B108,Pricelist!A:D,2,FALSE))</f>
        <v/>
      </c>
      <c r="D108" s="134" t="str">
        <f>IF(ISNA(VLOOKUP(B108,Pricelist!A:D,2,FALSE)),"",VLOOKUP(B108,Pricelist!A:D,4,FALSE))</f>
        <v/>
      </c>
    </row>
    <row r="109" spans="1:4">
      <c r="B109" s="270"/>
      <c r="C109" s="369" t="str">
        <f>IF(ISNA(VLOOKUP(B109,Pricelist!A:D,2,FALSE)),"",VLOOKUP(B109,Pricelist!A:D,2,FALSE))</f>
        <v/>
      </c>
      <c r="D109" s="134" t="str">
        <f>IF(ISNA(VLOOKUP(B109,Pricelist!A:D,2,FALSE)),"",VLOOKUP(B109,Pricelist!A:D,4,FALSE))</f>
        <v/>
      </c>
    </row>
    <row r="110" spans="1:4">
      <c r="B110" s="270"/>
      <c r="C110" s="369" t="str">
        <f>IF(ISNA(VLOOKUP(B110,Pricelist!A:D,2,FALSE)),"",VLOOKUP(B110,Pricelist!A:D,2,FALSE))</f>
        <v/>
      </c>
      <c r="D110" s="134" t="str">
        <f>IF(ISNA(VLOOKUP(B110,Pricelist!A:D,2,FALSE)),"",VLOOKUP(B110,Pricelist!A:D,4,FALSE))</f>
        <v/>
      </c>
    </row>
    <row r="111" spans="1:4">
      <c r="B111" s="270"/>
      <c r="C111" s="369" t="str">
        <f>IF(ISNA(VLOOKUP(B111,Pricelist!A:D,2,FALSE)),"",VLOOKUP(B111,Pricelist!A:D,2,FALSE))</f>
        <v/>
      </c>
      <c r="D111" s="134" t="str">
        <f>IF(ISNA(VLOOKUP(B111,Pricelist!A:D,2,FALSE)),"",VLOOKUP(B111,Pricelist!A:D,4,FALSE))</f>
        <v/>
      </c>
    </row>
    <row r="112" spans="1:4">
      <c r="B112" s="270"/>
      <c r="C112" s="369" t="str">
        <f>IF(ISNA(VLOOKUP(B112,Pricelist!A:D,2,FALSE)),"",VLOOKUP(B112,Pricelist!A:D,2,FALSE))</f>
        <v/>
      </c>
      <c r="D112" s="134" t="str">
        <f>IF(ISNA(VLOOKUP(B112,Pricelist!A:D,2,FALSE)),"",VLOOKUP(B112,Pricelist!A:D,4,FALSE))</f>
        <v/>
      </c>
    </row>
    <row r="113" spans="2:4">
      <c r="B113" s="270"/>
      <c r="C113" s="369" t="str">
        <f>IF(ISNA(VLOOKUP(B113,Pricelist!A:D,2,FALSE)),"",VLOOKUP(B113,Pricelist!A:D,2,FALSE))</f>
        <v/>
      </c>
      <c r="D113" s="134" t="str">
        <f>IF(ISNA(VLOOKUP(B113,Pricelist!A:D,2,FALSE)),"",VLOOKUP(B113,Pricelist!A:D,4,FALSE))</f>
        <v/>
      </c>
    </row>
    <row r="114" spans="2:4">
      <c r="B114" s="270"/>
      <c r="C114" s="369" t="str">
        <f>IF(ISNA(VLOOKUP(B114,Pricelist!A:D,2,FALSE)),"",VLOOKUP(B114,Pricelist!A:D,2,FALSE))</f>
        <v/>
      </c>
      <c r="D114" s="134" t="str">
        <f>IF(ISNA(VLOOKUP(B114,Pricelist!A:D,2,FALSE)),"",VLOOKUP(B114,Pricelist!A:D,4,FALSE))</f>
        <v/>
      </c>
    </row>
    <row r="115" spans="2:4">
      <c r="B115" s="270"/>
      <c r="C115" s="369" t="str">
        <f>IF(ISNA(VLOOKUP(B115,Pricelist!A:D,2,FALSE)),"",VLOOKUP(B115,Pricelist!A:D,2,FALSE))</f>
        <v/>
      </c>
      <c r="D115" s="134" t="str">
        <f>IF(ISNA(VLOOKUP(B115,Pricelist!A:D,2,FALSE)),"",VLOOKUP(B115,Pricelist!A:D,4,FALSE))</f>
        <v/>
      </c>
    </row>
    <row r="116" spans="2:4">
      <c r="B116" s="270"/>
      <c r="C116" s="369" t="str">
        <f>IF(ISNA(VLOOKUP(B116,Pricelist!A:D,2,FALSE)),"",VLOOKUP(B116,Pricelist!A:D,2,FALSE))</f>
        <v/>
      </c>
      <c r="D116" s="134" t="str">
        <f>IF(ISNA(VLOOKUP(B116,Pricelist!A:D,2,FALSE)),"",VLOOKUP(B116,Pricelist!A:D,4,FALSE))</f>
        <v/>
      </c>
    </row>
    <row r="117" spans="2:4">
      <c r="B117" s="270"/>
      <c r="C117" s="369" t="str">
        <f>IF(ISNA(VLOOKUP(B117,Pricelist!A:D,2,FALSE)),"",VLOOKUP(B117,Pricelist!A:D,2,FALSE))</f>
        <v/>
      </c>
      <c r="D117" s="134" t="str">
        <f>IF(ISNA(VLOOKUP(B117,Pricelist!A:D,2,FALSE)),"",VLOOKUP(B117,Pricelist!A:D,4,FALSE))</f>
        <v/>
      </c>
    </row>
    <row r="118" spans="2:4">
      <c r="B118" s="270"/>
      <c r="C118" s="369" t="str">
        <f>IF(ISNA(VLOOKUP(B118,Pricelist!A:D,2,FALSE)),"",VLOOKUP(B118,Pricelist!A:D,2,FALSE))</f>
        <v/>
      </c>
      <c r="D118" s="134" t="str">
        <f>IF(ISNA(VLOOKUP(B118,Pricelist!A:D,2,FALSE)),"",VLOOKUP(B118,Pricelist!A:D,4,FALSE))</f>
        <v/>
      </c>
    </row>
    <row r="119" spans="2:4">
      <c r="B119" s="270"/>
      <c r="C119" s="369" t="str">
        <f>IF(ISNA(VLOOKUP(B119,Pricelist!A:D,2,FALSE)),"",VLOOKUP(B119,Pricelist!A:D,2,FALSE))</f>
        <v/>
      </c>
      <c r="D119" s="134" t="str">
        <f>IF(ISNA(VLOOKUP(B119,Pricelist!A:D,2,FALSE)),"",VLOOKUP(B119,Pricelist!A:D,4,FALSE))</f>
        <v/>
      </c>
    </row>
    <row r="120" spans="2:4">
      <c r="B120" s="270"/>
      <c r="C120" s="369" t="str">
        <f>IF(ISNA(VLOOKUP(B120,Pricelist!A:D,2,FALSE)),"",VLOOKUP(B120,Pricelist!A:D,2,FALSE))</f>
        <v/>
      </c>
      <c r="D120" s="134" t="str">
        <f>IF(ISNA(VLOOKUP(B120,Pricelist!A:D,2,FALSE)),"",VLOOKUP(B120,Pricelist!A:D,4,FALSE))</f>
        <v/>
      </c>
    </row>
    <row r="121" spans="2:4">
      <c r="B121" s="270"/>
      <c r="C121" s="369" t="str">
        <f>IF(ISNA(VLOOKUP(B121,Pricelist!A:D,2,FALSE)),"",VLOOKUP(B121,Pricelist!A:D,2,FALSE))</f>
        <v/>
      </c>
      <c r="D121" s="134" t="str">
        <f>IF(ISNA(VLOOKUP(B121,Pricelist!A:D,2,FALSE)),"",VLOOKUP(B121,Pricelist!A:D,4,FALSE))</f>
        <v/>
      </c>
    </row>
    <row r="122" spans="2:4">
      <c r="B122" s="270"/>
      <c r="C122" s="369" t="str">
        <f>IF(ISNA(VLOOKUP(B122,Pricelist!A:D,2,FALSE)),"",VLOOKUP(B122,Pricelist!A:D,2,FALSE))</f>
        <v/>
      </c>
      <c r="D122" s="134" t="str">
        <f>IF(ISNA(VLOOKUP(B122,Pricelist!A:D,2,FALSE)),"",VLOOKUP(B122,Pricelist!A:D,4,FALSE))</f>
        <v/>
      </c>
    </row>
    <row r="123" spans="2:4">
      <c r="B123" s="270"/>
      <c r="C123" s="369" t="str">
        <f>IF(ISNA(VLOOKUP(B123,Pricelist!A:D,2,FALSE)),"",VLOOKUP(B123,Pricelist!A:D,2,FALSE))</f>
        <v/>
      </c>
      <c r="D123" s="134" t="str">
        <f>IF(ISNA(VLOOKUP(B123,Pricelist!A:D,2,FALSE)),"",VLOOKUP(B123,Pricelist!A:D,4,FALSE))</f>
        <v/>
      </c>
    </row>
    <row r="124" spans="2:4">
      <c r="B124" s="270"/>
      <c r="C124" s="369" t="str">
        <f>IF(ISNA(VLOOKUP(B124,Pricelist!A:D,2,FALSE)),"",VLOOKUP(B124,Pricelist!A:D,2,FALSE))</f>
        <v/>
      </c>
      <c r="D124" s="134" t="str">
        <f>IF(ISNA(VLOOKUP(B124,Pricelist!A:D,2,FALSE)),"",VLOOKUP(B124,Pricelist!A:D,4,FALSE))</f>
        <v/>
      </c>
    </row>
    <row r="125" spans="2:4">
      <c r="B125" s="270"/>
      <c r="C125" s="369" t="str">
        <f>IF(ISNA(VLOOKUP(B125,Pricelist!A:D,2,FALSE)),"",VLOOKUP(B125,Pricelist!A:D,2,FALSE))</f>
        <v/>
      </c>
      <c r="D125" s="134" t="str">
        <f>IF(ISNA(VLOOKUP(B125,Pricelist!A:D,2,FALSE)),"",VLOOKUP(B125,Pricelist!A:D,4,FALSE))</f>
        <v/>
      </c>
    </row>
    <row r="126" spans="2:4">
      <c r="B126" s="270"/>
      <c r="C126" s="369" t="str">
        <f>IF(ISNA(VLOOKUP(B126,Pricelist!A:D,2,FALSE)),"",VLOOKUP(B126,Pricelist!A:D,2,FALSE))</f>
        <v/>
      </c>
      <c r="D126" s="134" t="str">
        <f>IF(ISNA(VLOOKUP(B126,Pricelist!A:D,2,FALSE)),"",VLOOKUP(B126,Pricelist!A:D,4,FALSE))</f>
        <v/>
      </c>
    </row>
    <row r="127" spans="2:4">
      <c r="B127" s="270"/>
      <c r="C127" s="369" t="str">
        <f>IF(ISNA(VLOOKUP(B127,Pricelist!A:D,2,FALSE)),"",VLOOKUP(B127,Pricelist!A:D,2,FALSE))</f>
        <v/>
      </c>
      <c r="D127" s="134" t="str">
        <f>IF(ISNA(VLOOKUP(B127,Pricelist!A:D,2,FALSE)),"",VLOOKUP(B127,Pricelist!A:D,4,FALSE))</f>
        <v/>
      </c>
    </row>
    <row r="128" spans="2:4">
      <c r="B128" s="270"/>
      <c r="C128" s="369" t="str">
        <f>IF(ISNA(VLOOKUP(B128,Pricelist!A:D,2,FALSE)),"",VLOOKUP(B128,Pricelist!A:D,2,FALSE))</f>
        <v/>
      </c>
      <c r="D128" s="134" t="str">
        <f>IF(ISNA(VLOOKUP(B128,Pricelist!A:D,2,FALSE)),"",VLOOKUP(B128,Pricelist!A:D,4,FALSE))</f>
        <v/>
      </c>
    </row>
    <row r="129" spans="2:4">
      <c r="B129" s="270"/>
      <c r="C129" s="369" t="str">
        <f>IF(ISNA(VLOOKUP(B129,Pricelist!A:D,2,FALSE)),"",VLOOKUP(B129,Pricelist!A:D,2,FALSE))</f>
        <v/>
      </c>
      <c r="D129" s="134" t="str">
        <f>IF(ISNA(VLOOKUP(B129,Pricelist!A:D,2,FALSE)),"",VLOOKUP(B129,Pricelist!A:D,4,FALSE))</f>
        <v/>
      </c>
    </row>
    <row r="130" spans="2:4">
      <c r="B130" s="270"/>
      <c r="C130" s="369" t="str">
        <f>IF(ISNA(VLOOKUP(B130,Pricelist!A:D,2,FALSE)),"",VLOOKUP(B130,Pricelist!A:D,2,FALSE))</f>
        <v/>
      </c>
      <c r="D130" s="134" t="str">
        <f>IF(ISNA(VLOOKUP(B130,Pricelist!A:D,2,FALSE)),"",VLOOKUP(B130,Pricelist!A:D,4,FALSE))</f>
        <v/>
      </c>
    </row>
    <row r="131" spans="2:4">
      <c r="B131" s="270"/>
      <c r="C131" s="369" t="str">
        <f>IF(ISNA(VLOOKUP(B131,Pricelist!A:D,2,FALSE)),"",VLOOKUP(B131,Pricelist!A:D,2,FALSE))</f>
        <v/>
      </c>
      <c r="D131" s="134" t="str">
        <f>IF(ISNA(VLOOKUP(B131,Pricelist!A:D,2,FALSE)),"",VLOOKUP(B131,Pricelist!A:D,4,FALSE))</f>
        <v/>
      </c>
    </row>
    <row r="132" spans="2:4">
      <c r="B132" s="270"/>
      <c r="C132" s="369" t="str">
        <f>IF(ISNA(VLOOKUP(B132,Pricelist!A:D,2,FALSE)),"",VLOOKUP(B132,Pricelist!A:D,2,FALSE))</f>
        <v/>
      </c>
      <c r="D132" s="134" t="str">
        <f>IF(ISNA(VLOOKUP(B132,Pricelist!A:D,2,FALSE)),"",VLOOKUP(B132,Pricelist!A:D,4,FALSE))</f>
        <v/>
      </c>
    </row>
    <row r="133" spans="2:4">
      <c r="B133" s="270"/>
      <c r="C133" s="369" t="str">
        <f>IF(ISNA(VLOOKUP(B133,Pricelist!A:D,2,FALSE)),"",VLOOKUP(B133,Pricelist!A:D,2,FALSE))</f>
        <v/>
      </c>
      <c r="D133" s="134" t="str">
        <f>IF(ISNA(VLOOKUP(B133,Pricelist!A:D,2,FALSE)),"",VLOOKUP(B133,Pricelist!A:D,4,FALSE))</f>
        <v/>
      </c>
    </row>
    <row r="134" spans="2:4">
      <c r="B134" s="270"/>
      <c r="C134" s="369" t="str">
        <f>IF(ISNA(VLOOKUP(B134,Pricelist!A:D,2,FALSE)),"",VLOOKUP(B134,Pricelist!A:D,2,FALSE))</f>
        <v/>
      </c>
      <c r="D134" s="134" t="str">
        <f>IF(ISNA(VLOOKUP(B134,Pricelist!A:D,2,FALSE)),"",VLOOKUP(B134,Pricelist!A:D,4,FALSE))</f>
        <v/>
      </c>
    </row>
    <row r="135" spans="2:4">
      <c r="B135" s="270"/>
      <c r="C135" s="369" t="str">
        <f>IF(ISNA(VLOOKUP(B135,Pricelist!A:D,2,FALSE)),"",VLOOKUP(B135,Pricelist!A:D,2,FALSE))</f>
        <v/>
      </c>
      <c r="D135" s="134" t="str">
        <f>IF(ISNA(VLOOKUP(B135,Pricelist!A:D,2,FALSE)),"",VLOOKUP(B135,Pricelist!A:D,4,FALSE))</f>
        <v/>
      </c>
    </row>
    <row r="136" spans="2:4">
      <c r="B136" s="270"/>
      <c r="C136" s="369" t="str">
        <f>IF(ISNA(VLOOKUP(B136,Pricelist!A:D,2,FALSE)),"",VLOOKUP(B136,Pricelist!A:D,2,FALSE))</f>
        <v/>
      </c>
      <c r="D136" s="134" t="str">
        <f>IF(ISNA(VLOOKUP(B136,Pricelist!A:D,2,FALSE)),"",VLOOKUP(B136,Pricelist!A:D,4,FALSE))</f>
        <v/>
      </c>
    </row>
    <row r="137" spans="2:4">
      <c r="B137" s="270"/>
      <c r="C137" s="369" t="str">
        <f>IF(ISNA(VLOOKUP(B137,Pricelist!A:D,2,FALSE)),"",VLOOKUP(B137,Pricelist!A:D,2,FALSE))</f>
        <v/>
      </c>
      <c r="D137" s="134" t="str">
        <f>IF(ISNA(VLOOKUP(B137,Pricelist!A:D,2,FALSE)),"",VLOOKUP(B137,Pricelist!A:D,4,FALSE))</f>
        <v/>
      </c>
    </row>
    <row r="138" spans="2:4">
      <c r="B138" s="270"/>
      <c r="C138" s="369" t="str">
        <f>IF(ISNA(VLOOKUP(B138,Pricelist!A:D,2,FALSE)),"",VLOOKUP(B138,Pricelist!A:D,2,FALSE))</f>
        <v/>
      </c>
      <c r="D138" s="134" t="str">
        <f>IF(ISNA(VLOOKUP(B138,Pricelist!A:D,2,FALSE)),"",VLOOKUP(B138,Pricelist!A:D,4,FALSE))</f>
        <v/>
      </c>
    </row>
    <row r="139" spans="2:4">
      <c r="B139" s="270"/>
      <c r="C139" s="369" t="str">
        <f>IF(ISNA(VLOOKUP(B139,Pricelist!A:D,2,FALSE)),"",VLOOKUP(B139,Pricelist!A:D,2,FALSE))</f>
        <v/>
      </c>
      <c r="D139" s="134" t="str">
        <f>IF(ISNA(VLOOKUP(B139,Pricelist!A:D,2,FALSE)),"",VLOOKUP(B139,Pricelist!A:D,4,FALSE))</f>
        <v/>
      </c>
    </row>
    <row r="140" spans="2:4">
      <c r="B140" s="270"/>
      <c r="C140" s="369" t="str">
        <f>IF(ISNA(VLOOKUP(B140,Pricelist!A:D,2,FALSE)),"",VLOOKUP(B140,Pricelist!A:D,2,FALSE))</f>
        <v/>
      </c>
      <c r="D140" s="134" t="str">
        <f>IF(ISNA(VLOOKUP(B140,Pricelist!A:D,2,FALSE)),"",VLOOKUP(B140,Pricelist!A:D,4,FALSE))</f>
        <v/>
      </c>
    </row>
    <row r="141" spans="2:4">
      <c r="B141" s="270"/>
      <c r="C141" s="369" t="str">
        <f>IF(ISNA(VLOOKUP(B141,Pricelist!A:D,2,FALSE)),"",VLOOKUP(B141,Pricelist!A:D,2,FALSE))</f>
        <v/>
      </c>
      <c r="D141" s="134" t="str">
        <f>IF(ISNA(VLOOKUP(B141,Pricelist!A:D,2,FALSE)),"",VLOOKUP(B141,Pricelist!A:D,4,FALSE))</f>
        <v/>
      </c>
    </row>
    <row r="142" spans="2:4">
      <c r="B142" s="270"/>
      <c r="C142" s="369" t="str">
        <f>IF(ISNA(VLOOKUP(B142,Pricelist!A:D,2,FALSE)),"",VLOOKUP(B142,Pricelist!A:D,2,FALSE))</f>
        <v/>
      </c>
      <c r="D142" s="134" t="str">
        <f>IF(ISNA(VLOOKUP(B142,Pricelist!A:D,2,FALSE)),"",VLOOKUP(B142,Pricelist!A:D,4,FALSE))</f>
        <v/>
      </c>
    </row>
    <row r="143" spans="2:4">
      <c r="B143" s="270"/>
      <c r="C143" s="369" t="str">
        <f>IF(ISNA(VLOOKUP(B143,Pricelist!A:D,2,FALSE)),"",VLOOKUP(B143,Pricelist!A:D,2,FALSE))</f>
        <v/>
      </c>
      <c r="D143" s="134" t="str">
        <f>IF(ISNA(VLOOKUP(B143,Pricelist!A:D,2,FALSE)),"",VLOOKUP(B143,Pricelist!A:D,4,FALSE))</f>
        <v/>
      </c>
    </row>
    <row r="144" spans="2:4">
      <c r="B144" s="270"/>
      <c r="C144" s="369" t="str">
        <f>IF(ISNA(VLOOKUP(B144,Pricelist!A:D,2,FALSE)),"",VLOOKUP(B144,Pricelist!A:D,2,FALSE))</f>
        <v/>
      </c>
      <c r="D144" s="134" t="str">
        <f>IF(ISNA(VLOOKUP(B144,Pricelist!A:D,2,FALSE)),"",VLOOKUP(B144,Pricelist!A:D,4,FALSE))</f>
        <v/>
      </c>
    </row>
    <row r="145" spans="2:4">
      <c r="B145" s="270"/>
      <c r="C145" s="369" t="str">
        <f>IF(ISNA(VLOOKUP(B145,Pricelist!A:D,2,FALSE)),"",VLOOKUP(B145,Pricelist!A:D,2,FALSE))</f>
        <v/>
      </c>
      <c r="D145" s="134" t="str">
        <f>IF(ISNA(VLOOKUP(B145,Pricelist!A:D,2,FALSE)),"",VLOOKUP(B145,Pricelist!A:D,4,FALSE))</f>
        <v/>
      </c>
    </row>
    <row r="146" spans="2:4">
      <c r="B146" s="270"/>
      <c r="C146" s="369" t="str">
        <f>IF(ISNA(VLOOKUP(B146,Pricelist!A:D,2,FALSE)),"",VLOOKUP(B146,Pricelist!A:D,2,FALSE))</f>
        <v/>
      </c>
      <c r="D146" s="134" t="str">
        <f>IF(ISNA(VLOOKUP(B146,Pricelist!A:D,2,FALSE)),"",VLOOKUP(B146,Pricelist!A:D,4,FALSE))</f>
        <v/>
      </c>
    </row>
    <row r="147" spans="2:4">
      <c r="B147" s="270"/>
      <c r="C147" s="369" t="str">
        <f>IF(ISNA(VLOOKUP(B147,Pricelist!A:D,2,FALSE)),"",VLOOKUP(B147,Pricelist!A:D,2,FALSE))</f>
        <v/>
      </c>
      <c r="D147" s="134" t="str">
        <f>IF(ISNA(VLOOKUP(B147,Pricelist!A:D,2,FALSE)),"",VLOOKUP(B147,Pricelist!A:D,4,FALSE))</f>
        <v/>
      </c>
    </row>
    <row r="148" spans="2:4">
      <c r="B148" s="270"/>
      <c r="C148" s="369" t="str">
        <f>IF(ISNA(VLOOKUP(B148,Pricelist!A:D,2,FALSE)),"",VLOOKUP(B148,Pricelist!A:D,2,FALSE))</f>
        <v/>
      </c>
      <c r="D148" s="134" t="str">
        <f>IF(ISNA(VLOOKUP(B148,Pricelist!A:D,2,FALSE)),"",VLOOKUP(B148,Pricelist!A:D,4,FALSE))</f>
        <v/>
      </c>
    </row>
    <row r="149" spans="2:4">
      <c r="B149" s="270"/>
      <c r="C149" s="369" t="str">
        <f>IF(ISNA(VLOOKUP(B149,Pricelist!A:D,2,FALSE)),"",VLOOKUP(B149,Pricelist!A:D,2,FALSE))</f>
        <v/>
      </c>
      <c r="D149" s="134" t="str">
        <f>IF(ISNA(VLOOKUP(B149,Pricelist!A:D,2,FALSE)),"",VLOOKUP(B149,Pricelist!A:D,4,FALSE))</f>
        <v/>
      </c>
    </row>
    <row r="150" spans="2:4">
      <c r="B150" s="270"/>
      <c r="C150" s="369" t="str">
        <f>IF(ISNA(VLOOKUP(B150,Pricelist!A:D,2,FALSE)),"",VLOOKUP(B150,Pricelist!A:D,2,FALSE))</f>
        <v/>
      </c>
      <c r="D150" s="134" t="str">
        <f>IF(ISNA(VLOOKUP(B150,Pricelist!A:D,2,FALSE)),"",VLOOKUP(B150,Pricelist!A:D,4,FALSE))</f>
        <v/>
      </c>
    </row>
    <row r="151" spans="2:4">
      <c r="B151" s="270"/>
      <c r="C151" s="369" t="str">
        <f>IF(ISNA(VLOOKUP(B151,Pricelist!A:D,2,FALSE)),"",VLOOKUP(B151,Pricelist!A:D,2,FALSE))</f>
        <v/>
      </c>
      <c r="D151" s="134" t="str">
        <f>IF(ISNA(VLOOKUP(B151,Pricelist!A:D,2,FALSE)),"",VLOOKUP(B151,Pricelist!A:D,4,FALSE))</f>
        <v/>
      </c>
    </row>
    <row r="152" spans="2:4">
      <c r="B152" s="270"/>
      <c r="C152" s="369" t="str">
        <f>IF(ISNA(VLOOKUP(B152,Pricelist!A:D,2,FALSE)),"",VLOOKUP(B152,Pricelist!A:D,2,FALSE))</f>
        <v/>
      </c>
      <c r="D152" s="134" t="str">
        <f>IF(ISNA(VLOOKUP(B152,Pricelist!A:D,2,FALSE)),"",VLOOKUP(B152,Pricelist!A:D,4,FALSE))</f>
        <v/>
      </c>
    </row>
    <row r="153" spans="2:4">
      <c r="B153" s="270"/>
      <c r="C153" s="369" t="str">
        <f>IF(ISNA(VLOOKUP(B153,Pricelist!A:D,2,FALSE)),"",VLOOKUP(B153,Pricelist!A:D,2,FALSE))</f>
        <v/>
      </c>
      <c r="D153" s="134" t="str">
        <f>IF(ISNA(VLOOKUP(B153,Pricelist!A:D,2,FALSE)),"",VLOOKUP(B153,Pricelist!A:D,4,FALSE))</f>
        <v/>
      </c>
    </row>
    <row r="154" spans="2:4">
      <c r="B154" s="270"/>
      <c r="C154" s="369" t="str">
        <f>IF(ISNA(VLOOKUP(B154,Pricelist!A:D,2,FALSE)),"",VLOOKUP(B154,Pricelist!A:D,2,FALSE))</f>
        <v/>
      </c>
      <c r="D154" s="134" t="str">
        <f>IF(ISNA(VLOOKUP(B154,Pricelist!A:D,2,FALSE)),"",VLOOKUP(B154,Pricelist!A:D,4,FALSE))</f>
        <v/>
      </c>
    </row>
    <row r="155" spans="2:4">
      <c r="B155" s="270"/>
      <c r="C155" s="369" t="str">
        <f>IF(ISNA(VLOOKUP(B155,Pricelist!A:D,2,FALSE)),"",VLOOKUP(B155,Pricelist!A:D,2,FALSE))</f>
        <v/>
      </c>
      <c r="D155" s="134" t="str">
        <f>IF(ISNA(VLOOKUP(B155,Pricelist!A:D,2,FALSE)),"",VLOOKUP(B155,Pricelist!A:D,4,FALSE))</f>
        <v/>
      </c>
    </row>
    <row r="156" spans="2:4">
      <c r="B156" s="270"/>
      <c r="C156" s="369" t="str">
        <f>IF(ISNA(VLOOKUP(B156,Pricelist!A:D,2,FALSE)),"",VLOOKUP(B156,Pricelist!A:D,2,FALSE))</f>
        <v/>
      </c>
      <c r="D156" s="134" t="str">
        <f>IF(ISNA(VLOOKUP(B156,Pricelist!A:D,2,FALSE)),"",VLOOKUP(B156,Pricelist!A:D,4,FALSE))</f>
        <v/>
      </c>
    </row>
    <row r="157" spans="2:4">
      <c r="B157" s="270"/>
      <c r="C157" s="369" t="str">
        <f>IF(ISNA(VLOOKUP(B157,Pricelist!A:D,2,FALSE)),"",VLOOKUP(B157,Pricelist!A:D,2,FALSE))</f>
        <v/>
      </c>
      <c r="D157" s="134" t="str">
        <f>IF(ISNA(VLOOKUP(B157,Pricelist!A:D,2,FALSE)),"",VLOOKUP(B157,Pricelist!A:D,4,FALSE))</f>
        <v/>
      </c>
    </row>
    <row r="158" spans="2:4">
      <c r="B158" s="270"/>
      <c r="C158" s="369" t="str">
        <f>IF(ISNA(VLOOKUP(B158,Pricelist!A:D,2,FALSE)),"",VLOOKUP(B158,Pricelist!A:D,2,FALSE))</f>
        <v/>
      </c>
      <c r="D158" s="134" t="str">
        <f>IF(ISNA(VLOOKUP(B158,Pricelist!A:D,2,FALSE)),"",VLOOKUP(B158,Pricelist!A:D,4,FALSE))</f>
        <v/>
      </c>
    </row>
    <row r="159" spans="2:4">
      <c r="B159" s="270"/>
      <c r="C159" s="369" t="str">
        <f>IF(ISNA(VLOOKUP(B159,Pricelist!A:D,2,FALSE)),"",VLOOKUP(B159,Pricelist!A:D,2,FALSE))</f>
        <v/>
      </c>
      <c r="D159" s="134" t="str">
        <f>IF(ISNA(VLOOKUP(B159,Pricelist!A:D,2,FALSE)),"",VLOOKUP(B159,Pricelist!A:D,4,FALSE))</f>
        <v/>
      </c>
    </row>
    <row r="160" spans="2:4">
      <c r="B160" s="270"/>
      <c r="C160" s="369" t="str">
        <f>IF(ISNA(VLOOKUP(B160,Pricelist!A:D,2,FALSE)),"",VLOOKUP(B160,Pricelist!A:D,2,FALSE))</f>
        <v/>
      </c>
      <c r="D160" s="134" t="str">
        <f>IF(ISNA(VLOOKUP(B160,Pricelist!A:D,2,FALSE)),"",VLOOKUP(B160,Pricelist!A:D,4,FALSE))</f>
        <v/>
      </c>
    </row>
    <row r="161" spans="2:8">
      <c r="B161" s="270"/>
      <c r="C161" s="369" t="str">
        <f>IF(ISNA(VLOOKUP(B161,Pricelist!A:D,2,FALSE)),"",VLOOKUP(B161,Pricelist!A:D,2,FALSE))</f>
        <v/>
      </c>
      <c r="D161" s="134" t="str">
        <f>IF(ISNA(VLOOKUP(B161,Pricelist!A:D,2,FALSE)),"",VLOOKUP(B161,Pricelist!A:D,4,FALSE))</f>
        <v/>
      </c>
    </row>
    <row r="162" spans="2:8">
      <c r="B162" s="270"/>
      <c r="C162" s="369" t="str">
        <f>IF(ISNA(VLOOKUP(B162,Pricelist!A:D,2,FALSE)),"",VLOOKUP(B162,Pricelist!A:D,2,FALSE))</f>
        <v/>
      </c>
      <c r="D162" s="134" t="str">
        <f>IF(ISNA(VLOOKUP(B162,Pricelist!A:D,2,FALSE)),"",VLOOKUP(B162,Pricelist!A:D,4,FALSE))</f>
        <v/>
      </c>
    </row>
    <row r="163" spans="2:8">
      <c r="B163" s="270"/>
      <c r="C163" s="369" t="str">
        <f>IF(ISNA(VLOOKUP(B163,Pricelist!A:D,2,FALSE)),"",VLOOKUP(B163,Pricelist!A:D,2,FALSE))</f>
        <v/>
      </c>
      <c r="D163" s="134" t="str">
        <f>IF(ISNA(VLOOKUP(B163,Pricelist!A:D,2,FALSE)),"",VLOOKUP(B163,Pricelist!A:D,4,FALSE))</f>
        <v/>
      </c>
    </row>
    <row r="164" spans="2:8">
      <c r="B164" s="270"/>
      <c r="C164" s="369" t="str">
        <f>IF(ISNA(VLOOKUP(B164,Pricelist!A:D,2,FALSE)),"",VLOOKUP(B164,Pricelist!A:D,2,FALSE))</f>
        <v/>
      </c>
      <c r="D164" s="134" t="str">
        <f>IF(ISNA(VLOOKUP(B164,Pricelist!A:D,2,FALSE)),"",VLOOKUP(B164,Pricelist!A:D,4,FALSE))</f>
        <v/>
      </c>
    </row>
    <row r="165" spans="2:8">
      <c r="B165" s="270"/>
      <c r="C165" s="369" t="str">
        <f>IF(ISNA(VLOOKUP(B165,Pricelist!A:D,2,FALSE)),"",VLOOKUP(B165,Pricelist!A:D,2,FALSE))</f>
        <v/>
      </c>
      <c r="D165" s="134" t="str">
        <f>IF(ISNA(VLOOKUP(B165,Pricelist!A:D,2,FALSE)),"",VLOOKUP(B165,Pricelist!A:D,4,FALSE))</f>
        <v/>
      </c>
    </row>
    <row r="166" spans="2:8">
      <c r="B166" s="270"/>
      <c r="C166" s="369" t="str">
        <f>IF(ISNA(VLOOKUP(B166,Pricelist!A:D,2,FALSE)),"",VLOOKUP(B166,Pricelist!A:D,2,FALSE))</f>
        <v/>
      </c>
      <c r="D166" s="134" t="str">
        <f>IF(ISNA(VLOOKUP(B166,Pricelist!A:D,2,FALSE)),"",VLOOKUP(B166,Pricelist!A:D,4,FALSE))</f>
        <v/>
      </c>
    </row>
    <row r="167" spans="2:8">
      <c r="B167" s="270"/>
      <c r="C167" s="369" t="str">
        <f>IF(ISNA(VLOOKUP(B167,Pricelist!A:D,2,FALSE)),"",VLOOKUP(B167,Pricelist!A:D,2,FALSE))</f>
        <v/>
      </c>
      <c r="D167" s="134" t="str">
        <f>IF(ISNA(VLOOKUP(B167,Pricelist!A:D,2,FALSE)),"",VLOOKUP(B167,Pricelist!A:D,4,FALSE))</f>
        <v/>
      </c>
    </row>
    <row r="168" spans="2:8">
      <c r="B168" s="270"/>
      <c r="C168" s="369" t="str">
        <f>IF(ISNA(VLOOKUP(B168,Pricelist!A:D,2,FALSE)),"",VLOOKUP(B168,Pricelist!A:D,2,FALSE))</f>
        <v/>
      </c>
      <c r="D168" s="134" t="str">
        <f>IF(ISNA(VLOOKUP(B168,Pricelist!A:D,2,FALSE)),"",VLOOKUP(B168,Pricelist!A:D,4,FALSE))</f>
        <v/>
      </c>
    </row>
    <row r="169" spans="2:8">
      <c r="B169" s="270"/>
      <c r="C169" s="369" t="str">
        <f>IF(ISNA(VLOOKUP(B169,Pricelist!A:D,2,FALSE)),"",VLOOKUP(B169,Pricelist!A:D,2,FALSE))</f>
        <v/>
      </c>
      <c r="D169" s="134" t="str">
        <f>IF(ISNA(VLOOKUP(B169,Pricelist!A:D,2,FALSE)),"",VLOOKUP(B169,Pricelist!A:D,4,FALSE))</f>
        <v/>
      </c>
    </row>
    <row r="170" spans="2:8">
      <c r="B170" s="270"/>
      <c r="C170" s="369" t="str">
        <f>IF(ISNA(VLOOKUP(B170,Pricelist!A:D,2,FALSE)),"",VLOOKUP(B170,Pricelist!A:D,2,FALSE))</f>
        <v/>
      </c>
      <c r="D170" s="134" t="str">
        <f>IF(ISNA(VLOOKUP(B170,Pricelist!A:D,2,FALSE)),"",VLOOKUP(B170,Pricelist!A:D,4,FALSE))</f>
        <v/>
      </c>
    </row>
    <row r="171" spans="2:8">
      <c r="B171" s="270"/>
      <c r="C171" s="369" t="str">
        <f>IF(ISNA(VLOOKUP(B171,Pricelist!A:D,2,FALSE)),"",VLOOKUP(B171,Pricelist!A:D,2,FALSE))</f>
        <v/>
      </c>
      <c r="D171" s="134" t="str">
        <f>IF(ISNA(VLOOKUP(B171,Pricelist!A:D,2,FALSE)),"",VLOOKUP(B171,Pricelist!A:D,4,FALSE))</f>
        <v/>
      </c>
    </row>
    <row r="172" spans="2:8">
      <c r="B172" s="270"/>
      <c r="C172" s="369" t="str">
        <f>IF(ISNA(VLOOKUP(B172,Pricelist!A:D,2,FALSE)),"",VLOOKUP(B172,Pricelist!A:D,2,FALSE))</f>
        <v/>
      </c>
      <c r="D172" s="134" t="str">
        <f>IF(ISNA(VLOOKUP(B172,Pricelist!A:D,2,FALSE)),"",VLOOKUP(B172,Pricelist!A:D,4,FALSE))</f>
        <v/>
      </c>
      <c r="H172" s="133">
        <f>360/3</f>
        <v>120</v>
      </c>
    </row>
    <row r="173" spans="2:8">
      <c r="B173" s="270"/>
      <c r="C173" s="369" t="str">
        <f>IF(ISNA(VLOOKUP(B173,Pricelist!A:D,2,FALSE)),"",VLOOKUP(B173,Pricelist!A:D,2,FALSE))</f>
        <v/>
      </c>
      <c r="D173" s="134" t="str">
        <f>IF(ISNA(VLOOKUP(B173,Pricelist!A:D,2,FALSE)),"",VLOOKUP(B173,Pricelist!A:D,4,FALSE))</f>
        <v/>
      </c>
    </row>
    <row r="174" spans="2:8">
      <c r="B174" s="270"/>
      <c r="C174" s="369" t="str">
        <f>IF(ISNA(VLOOKUP(B174,Pricelist!A:D,2,FALSE)),"",VLOOKUP(B174,Pricelist!A:D,2,FALSE))</f>
        <v/>
      </c>
      <c r="D174" s="134" t="str">
        <f>IF(ISNA(VLOOKUP(B174,Pricelist!A:D,2,FALSE)),"",VLOOKUP(B174,Pricelist!A:D,4,FALSE))</f>
        <v/>
      </c>
    </row>
    <row r="175" spans="2:8">
      <c r="B175" s="270"/>
      <c r="C175" s="369" t="str">
        <f>IF(ISNA(VLOOKUP(B175,Pricelist!A:D,2,FALSE)),"",VLOOKUP(B175,Pricelist!A:D,2,FALSE))</f>
        <v/>
      </c>
      <c r="D175" s="134" t="str">
        <f>IF(ISNA(VLOOKUP(B175,Pricelist!A:D,2,FALSE)),"",VLOOKUP(B175,Pricelist!A:D,4,FALSE))</f>
        <v/>
      </c>
    </row>
    <row r="176" spans="2:8">
      <c r="B176" s="270"/>
      <c r="C176" s="369" t="str">
        <f>IF(ISNA(VLOOKUP(B176,Pricelist!A:D,2,FALSE)),"",VLOOKUP(B176,Pricelist!A:D,2,FALSE))</f>
        <v/>
      </c>
      <c r="D176" s="134" t="str">
        <f>IF(ISNA(VLOOKUP(B176,Pricelist!A:D,2,FALSE)),"",VLOOKUP(B176,Pricelist!A:D,4,FALSE))</f>
        <v/>
      </c>
    </row>
    <row r="177" spans="2:4">
      <c r="B177" s="270"/>
      <c r="C177" s="369" t="str">
        <f>IF(ISNA(VLOOKUP(B177,Pricelist!A:D,2,FALSE)),"",VLOOKUP(B177,Pricelist!A:D,2,FALSE))</f>
        <v/>
      </c>
      <c r="D177" s="134" t="str">
        <f>IF(ISNA(VLOOKUP(B177,Pricelist!A:D,2,FALSE)),"",VLOOKUP(B177,Pricelist!A:D,4,FALSE))</f>
        <v/>
      </c>
    </row>
    <row r="178" spans="2:4">
      <c r="B178" s="270"/>
      <c r="C178" s="369" t="str">
        <f>IF(ISNA(VLOOKUP(B178,Pricelist!A:D,2,FALSE)),"",VLOOKUP(B178,Pricelist!A:D,2,FALSE))</f>
        <v/>
      </c>
      <c r="D178" s="134" t="str">
        <f>IF(ISNA(VLOOKUP(B178,Pricelist!A:D,2,FALSE)),"",VLOOKUP(B178,Pricelist!A:D,4,FALSE))</f>
        <v/>
      </c>
    </row>
    <row r="179" spans="2:4">
      <c r="B179" s="270"/>
      <c r="C179" s="369" t="str">
        <f>IF(ISNA(VLOOKUP(B179,Pricelist!A:D,2,FALSE)),"",VLOOKUP(B179,Pricelist!A:D,2,FALSE))</f>
        <v/>
      </c>
      <c r="D179" s="134" t="str">
        <f>IF(ISNA(VLOOKUP(B179,Pricelist!A:D,2,FALSE)),"",VLOOKUP(B179,Pricelist!A:D,4,FALSE))</f>
        <v/>
      </c>
    </row>
    <row r="180" spans="2:4">
      <c r="B180" s="270"/>
      <c r="C180" s="369" t="str">
        <f>IF(ISNA(VLOOKUP(B180,Pricelist!A:D,2,FALSE)),"",VLOOKUP(B180,Pricelist!A:D,2,FALSE))</f>
        <v/>
      </c>
      <c r="D180" s="134" t="str">
        <f>IF(ISNA(VLOOKUP(B180,Pricelist!A:D,2,FALSE)),"",VLOOKUP(B180,Pricelist!A:D,4,FALSE))</f>
        <v/>
      </c>
    </row>
    <row r="181" spans="2:4">
      <c r="B181" s="270"/>
      <c r="C181" s="369" t="str">
        <f>IF(ISNA(VLOOKUP(B181,Pricelist!A:D,2,FALSE)),"",VLOOKUP(B181,Pricelist!A:D,2,FALSE))</f>
        <v/>
      </c>
      <c r="D181" s="134" t="str">
        <f>IF(ISNA(VLOOKUP(B181,Pricelist!A:D,2,FALSE)),"",VLOOKUP(B181,Pricelist!A:D,4,FALSE))</f>
        <v/>
      </c>
    </row>
    <row r="182" spans="2:4">
      <c r="B182" s="270"/>
      <c r="C182" s="369" t="str">
        <f>IF(ISNA(VLOOKUP(B182,Pricelist!A:D,2,FALSE)),"",VLOOKUP(B182,Pricelist!A:D,2,FALSE))</f>
        <v/>
      </c>
      <c r="D182" s="134" t="str">
        <f>IF(ISNA(VLOOKUP(B182,Pricelist!A:D,2,FALSE)),"",VLOOKUP(B182,Pricelist!A:D,4,FALSE))</f>
        <v/>
      </c>
    </row>
    <row r="183" spans="2:4">
      <c r="B183" s="270"/>
      <c r="C183" s="369" t="str">
        <f>IF(ISNA(VLOOKUP(B183,Pricelist!A:D,2,FALSE)),"",VLOOKUP(B183,Pricelist!A:D,2,FALSE))</f>
        <v/>
      </c>
      <c r="D183" s="134" t="str">
        <f>IF(ISNA(VLOOKUP(B183,Pricelist!A:D,2,FALSE)),"",VLOOKUP(B183,Pricelist!A:D,4,FALSE))</f>
        <v/>
      </c>
    </row>
    <row r="184" spans="2:4">
      <c r="B184" s="270"/>
      <c r="C184" s="369" t="str">
        <f>IF(ISNA(VLOOKUP(B184,Pricelist!A:D,2,FALSE)),"",VLOOKUP(B184,Pricelist!A:D,2,FALSE))</f>
        <v/>
      </c>
      <c r="D184" s="134" t="str">
        <f>IF(ISNA(VLOOKUP(B184,Pricelist!A:D,2,FALSE)),"",VLOOKUP(B184,Pricelist!A:D,4,FALSE))</f>
        <v/>
      </c>
    </row>
    <row r="185" spans="2:4">
      <c r="B185" s="270"/>
      <c r="C185" s="369" t="str">
        <f>IF(ISNA(VLOOKUP(B185,Pricelist!A:D,2,FALSE)),"",VLOOKUP(B185,Pricelist!A:D,2,FALSE))</f>
        <v/>
      </c>
      <c r="D185" s="134" t="str">
        <f>IF(ISNA(VLOOKUP(B185,Pricelist!A:D,2,FALSE)),"",VLOOKUP(B185,Pricelist!A:D,4,FALSE))</f>
        <v/>
      </c>
    </row>
    <row r="186" spans="2:4">
      <c r="B186" s="270"/>
      <c r="C186" s="369" t="str">
        <f>IF(ISNA(VLOOKUP(B186,Pricelist!A:D,2,FALSE)),"",VLOOKUP(B186,Pricelist!A:D,2,FALSE))</f>
        <v/>
      </c>
      <c r="D186" s="134" t="str">
        <f>IF(ISNA(VLOOKUP(B186,Pricelist!A:D,2,FALSE)),"",VLOOKUP(B186,Pricelist!A:D,4,FALSE))</f>
        <v/>
      </c>
    </row>
    <row r="187" spans="2:4">
      <c r="B187" s="270"/>
      <c r="C187" s="369" t="str">
        <f>IF(ISNA(VLOOKUP(B187,Pricelist!A:D,2,FALSE)),"",VLOOKUP(B187,Pricelist!A:D,2,FALSE))</f>
        <v/>
      </c>
      <c r="D187" s="134" t="str">
        <f>IF(ISNA(VLOOKUP(B187,Pricelist!A:D,2,FALSE)),"",VLOOKUP(B187,Pricelist!A:D,4,FALSE))</f>
        <v/>
      </c>
    </row>
    <row r="188" spans="2:4">
      <c r="B188" s="270"/>
      <c r="C188" s="369" t="str">
        <f>IF(ISNA(VLOOKUP(B188,Pricelist!A:D,2,FALSE)),"",VLOOKUP(B188,Pricelist!A:D,2,FALSE))</f>
        <v/>
      </c>
      <c r="D188" s="134" t="str">
        <f>IF(ISNA(VLOOKUP(B188,Pricelist!A:D,2,FALSE)),"",VLOOKUP(B188,Pricelist!A:D,4,FALSE))</f>
        <v/>
      </c>
    </row>
    <row r="189" spans="2:4">
      <c r="B189" s="270"/>
      <c r="C189" s="369" t="str">
        <f>IF(ISNA(VLOOKUP(B189,Pricelist!A:D,2,FALSE)),"",VLOOKUP(B189,Pricelist!A:D,2,FALSE))</f>
        <v/>
      </c>
      <c r="D189" s="134" t="str">
        <f>IF(ISNA(VLOOKUP(B189,Pricelist!A:D,2,FALSE)),"",VLOOKUP(B189,Pricelist!A:D,4,FALSE))</f>
        <v/>
      </c>
    </row>
    <row r="190" spans="2:4">
      <c r="B190" s="270"/>
      <c r="C190" s="369" t="str">
        <f>IF(ISNA(VLOOKUP(B190,Pricelist!A:D,2,FALSE)),"",VLOOKUP(B190,Pricelist!A:D,2,FALSE))</f>
        <v/>
      </c>
      <c r="D190" s="134" t="str">
        <f>IF(ISNA(VLOOKUP(B190,Pricelist!A:D,2,FALSE)),"",VLOOKUP(B190,Pricelist!A:D,4,FALSE))</f>
        <v/>
      </c>
    </row>
    <row r="191" spans="2:4">
      <c r="B191" s="270"/>
      <c r="C191" s="369" t="str">
        <f>IF(ISNA(VLOOKUP(B191,Pricelist!A:D,2,FALSE)),"",VLOOKUP(B191,Pricelist!A:D,2,FALSE))</f>
        <v/>
      </c>
      <c r="D191" s="134" t="str">
        <f>IF(ISNA(VLOOKUP(B191,Pricelist!A:D,2,FALSE)),"",VLOOKUP(B191,Pricelist!A:D,4,FALSE))</f>
        <v/>
      </c>
    </row>
    <row r="192" spans="2:4">
      <c r="B192" s="270"/>
      <c r="C192" s="369" t="str">
        <f>IF(ISNA(VLOOKUP(B192,Pricelist!A:D,2,FALSE)),"",VLOOKUP(B192,Pricelist!A:D,2,FALSE))</f>
        <v/>
      </c>
      <c r="D192" s="134" t="str">
        <f>IF(ISNA(VLOOKUP(B192,Pricelist!A:D,2,FALSE)),"",VLOOKUP(B192,Pricelist!A:D,4,FALSE))</f>
        <v/>
      </c>
    </row>
    <row r="193" spans="1:4">
      <c r="A193" s="133" t="s">
        <v>494</v>
      </c>
      <c r="B193" s="270"/>
      <c r="C193" s="369" t="str">
        <f>IF(ISNA(VLOOKUP(B193,Pricelist!A:D,2,FALSE)),"",VLOOKUP(B193,Pricelist!A:D,2,FALSE))</f>
        <v/>
      </c>
      <c r="D193" s="134" t="str">
        <f>IF(ISNA(VLOOKUP(B193,Pricelist!A:D,2,FALSE)),"",VLOOKUP(B193,Pricelist!A:D,4,FALSE))</f>
        <v/>
      </c>
    </row>
    <row r="194" spans="1:4">
      <c r="A194" s="133">
        <f>COUNTA(B193:B274)</f>
        <v>0</v>
      </c>
      <c r="B194" s="270"/>
      <c r="C194" s="369" t="str">
        <f>IF(ISNA(VLOOKUP(B194,Pricelist!A:D,2,FALSE)),"",VLOOKUP(B194,Pricelist!A:D,2,FALSE))</f>
        <v/>
      </c>
      <c r="D194" s="134" t="str">
        <f>IF(ISNA(VLOOKUP(B194,Pricelist!A:D,2,FALSE)),"",VLOOKUP(B194,Pricelist!A:D,4,FALSE))</f>
        <v/>
      </c>
    </row>
    <row r="195" spans="1:4">
      <c r="B195" s="270"/>
      <c r="C195" s="369" t="str">
        <f>IF(ISNA(VLOOKUP(B195,Pricelist!A:D,2,FALSE)),"",VLOOKUP(B195,Pricelist!A:D,2,FALSE))</f>
        <v/>
      </c>
      <c r="D195" s="134" t="str">
        <f>IF(ISNA(VLOOKUP(B195,Pricelist!A:D,2,FALSE)),"",VLOOKUP(B195,Pricelist!A:D,4,FALSE))</f>
        <v/>
      </c>
    </row>
    <row r="196" spans="1:4">
      <c r="B196" s="270"/>
      <c r="C196" s="369" t="str">
        <f>IF(ISNA(VLOOKUP(B196,Pricelist!A:D,2,FALSE)),"",VLOOKUP(B196,Pricelist!A:D,2,FALSE))</f>
        <v/>
      </c>
      <c r="D196" s="134" t="str">
        <f>IF(ISNA(VLOOKUP(B196,Pricelist!A:D,2,FALSE)),"",VLOOKUP(B196,Pricelist!A:D,4,FALSE))</f>
        <v/>
      </c>
    </row>
    <row r="197" spans="1:4">
      <c r="B197" s="270"/>
      <c r="C197" s="369" t="str">
        <f>IF(ISNA(VLOOKUP(B197,Pricelist!A:D,2,FALSE)),"",VLOOKUP(B197,Pricelist!A:D,2,FALSE))</f>
        <v/>
      </c>
      <c r="D197" s="134" t="str">
        <f>IF(ISNA(VLOOKUP(B197,Pricelist!A:D,2,FALSE)),"",VLOOKUP(B197,Pricelist!A:D,4,FALSE))</f>
        <v/>
      </c>
    </row>
    <row r="198" spans="1:4">
      <c r="B198" s="270"/>
      <c r="C198" s="369" t="str">
        <f>IF(ISNA(VLOOKUP(B198,Pricelist!A:D,2,FALSE)),"",VLOOKUP(B198,Pricelist!A:D,2,FALSE))</f>
        <v/>
      </c>
      <c r="D198" s="134" t="str">
        <f>IF(ISNA(VLOOKUP(B198,Pricelist!A:D,2,FALSE)),"",VLOOKUP(B198,Pricelist!A:D,4,FALSE))</f>
        <v/>
      </c>
    </row>
    <row r="199" spans="1:4">
      <c r="B199" s="270"/>
      <c r="C199" s="369" t="str">
        <f>IF(ISNA(VLOOKUP(B199,Pricelist!A:D,2,FALSE)),"",VLOOKUP(B199,Pricelist!A:D,2,FALSE))</f>
        <v/>
      </c>
      <c r="D199" s="134" t="str">
        <f>IF(ISNA(VLOOKUP(B199,Pricelist!A:D,2,FALSE)),"",VLOOKUP(B199,Pricelist!A:D,4,FALSE))</f>
        <v/>
      </c>
    </row>
    <row r="200" spans="1:4">
      <c r="B200" s="270"/>
      <c r="C200" s="369" t="str">
        <f>IF(ISNA(VLOOKUP(B200,Pricelist!A:D,2,FALSE)),"",VLOOKUP(B200,Pricelist!A:D,2,FALSE))</f>
        <v/>
      </c>
      <c r="D200" s="134" t="str">
        <f>IF(ISNA(VLOOKUP(B200,Pricelist!A:D,2,FALSE)),"",VLOOKUP(B200,Pricelist!A:D,4,FALSE))</f>
        <v/>
      </c>
    </row>
    <row r="201" spans="1:4">
      <c r="B201" s="270"/>
      <c r="C201" s="369" t="str">
        <f>IF(ISNA(VLOOKUP(B201,Pricelist!A:D,2,FALSE)),"",VLOOKUP(B201,Pricelist!A:D,2,FALSE))</f>
        <v/>
      </c>
      <c r="D201" s="134" t="str">
        <f>IF(ISNA(VLOOKUP(B201,Pricelist!A:D,2,FALSE)),"",VLOOKUP(B201,Pricelist!A:D,4,FALSE))</f>
        <v/>
      </c>
    </row>
    <row r="202" spans="1:4">
      <c r="B202" s="270"/>
      <c r="C202" s="369" t="str">
        <f>IF(ISNA(VLOOKUP(B202,Pricelist!A:D,2,FALSE)),"",VLOOKUP(B202,Pricelist!A:D,2,FALSE))</f>
        <v/>
      </c>
      <c r="D202" s="134" t="str">
        <f>IF(ISNA(VLOOKUP(B202,Pricelist!A:D,2,FALSE)),"",VLOOKUP(B202,Pricelist!A:D,4,FALSE))</f>
        <v/>
      </c>
    </row>
    <row r="203" spans="1:4">
      <c r="B203" s="270"/>
      <c r="C203" s="369" t="str">
        <f>IF(ISNA(VLOOKUP(B203,Pricelist!A:D,2,FALSE)),"",VLOOKUP(B203,Pricelist!A:D,2,FALSE))</f>
        <v/>
      </c>
      <c r="D203" s="134" t="str">
        <f>IF(ISNA(VLOOKUP(B203,Pricelist!A:D,2,FALSE)),"",VLOOKUP(B203,Pricelist!A:D,4,FALSE))</f>
        <v/>
      </c>
    </row>
    <row r="204" spans="1:4">
      <c r="B204" s="270"/>
      <c r="C204" s="369" t="str">
        <f>IF(ISNA(VLOOKUP(B204,Pricelist!A:D,2,FALSE)),"",VLOOKUP(B204,Pricelist!A:D,2,FALSE))</f>
        <v/>
      </c>
      <c r="D204" s="134" t="str">
        <f>IF(ISNA(VLOOKUP(B204,Pricelist!A:D,2,FALSE)),"",VLOOKUP(B204,Pricelist!A:D,4,FALSE))</f>
        <v/>
      </c>
    </row>
    <row r="205" spans="1:4">
      <c r="B205" s="270"/>
      <c r="C205" s="369" t="str">
        <f>IF(ISNA(VLOOKUP(B205,Pricelist!A:D,2,FALSE)),"",VLOOKUP(B205,Pricelist!A:D,2,FALSE))</f>
        <v/>
      </c>
      <c r="D205" s="134" t="str">
        <f>IF(ISNA(VLOOKUP(B205,Pricelist!A:D,2,FALSE)),"",VLOOKUP(B205,Pricelist!A:D,4,FALSE))</f>
        <v/>
      </c>
    </row>
    <row r="206" spans="1:4">
      <c r="B206" s="270"/>
      <c r="C206" s="369" t="str">
        <f>IF(ISNA(VLOOKUP(B206,Pricelist!A:D,2,FALSE)),"",VLOOKUP(B206,Pricelist!A:D,2,FALSE))</f>
        <v/>
      </c>
      <c r="D206" s="134" t="str">
        <f>IF(ISNA(VLOOKUP(B206,Pricelist!A:D,2,FALSE)),"",VLOOKUP(B206,Pricelist!A:D,4,FALSE))</f>
        <v/>
      </c>
    </row>
    <row r="207" spans="1:4">
      <c r="B207" s="270"/>
      <c r="C207" s="369" t="str">
        <f>IF(ISNA(VLOOKUP(B207,Pricelist!A:D,2,FALSE)),"",VLOOKUP(B207,Pricelist!A:D,2,FALSE))</f>
        <v/>
      </c>
      <c r="D207" s="134" t="str">
        <f>IF(ISNA(VLOOKUP(B207,Pricelist!A:D,2,FALSE)),"",VLOOKUP(B207,Pricelist!A:D,4,FALSE))</f>
        <v/>
      </c>
    </row>
    <row r="208" spans="1:4">
      <c r="B208" s="270"/>
      <c r="C208" s="369" t="str">
        <f>IF(ISNA(VLOOKUP(B208,Pricelist!A:D,2,FALSE)),"",VLOOKUP(B208,Pricelist!A:D,2,FALSE))</f>
        <v/>
      </c>
      <c r="D208" s="134" t="str">
        <f>IF(ISNA(VLOOKUP(B208,Pricelist!A:D,2,FALSE)),"",VLOOKUP(B208,Pricelist!A:D,4,FALSE))</f>
        <v/>
      </c>
    </row>
    <row r="209" spans="2:4">
      <c r="B209" s="270"/>
      <c r="C209" s="369" t="str">
        <f>IF(ISNA(VLOOKUP(B209,Pricelist!A:D,2,FALSE)),"",VLOOKUP(B209,Pricelist!A:D,2,FALSE))</f>
        <v/>
      </c>
      <c r="D209" s="134" t="str">
        <f>IF(ISNA(VLOOKUP(B209,Pricelist!A:D,2,FALSE)),"",VLOOKUP(B209,Pricelist!A:D,4,FALSE))</f>
        <v/>
      </c>
    </row>
    <row r="210" spans="2:4">
      <c r="B210" s="270"/>
      <c r="C210" s="369" t="str">
        <f>IF(ISNA(VLOOKUP(B210,Pricelist!A:D,2,FALSE)),"",VLOOKUP(B210,Pricelist!A:D,2,FALSE))</f>
        <v/>
      </c>
      <c r="D210" s="134" t="str">
        <f>IF(ISNA(VLOOKUP(B210,Pricelist!A:D,2,FALSE)),"",VLOOKUP(B210,Pricelist!A:D,4,FALSE))</f>
        <v/>
      </c>
    </row>
    <row r="211" spans="2:4">
      <c r="B211" s="270"/>
      <c r="C211" s="369" t="str">
        <f>IF(ISNA(VLOOKUP(B211,Pricelist!A:D,2,FALSE)),"",VLOOKUP(B211,Pricelist!A:D,2,FALSE))</f>
        <v/>
      </c>
      <c r="D211" s="134" t="str">
        <f>IF(ISNA(VLOOKUP(B211,Pricelist!A:D,2,FALSE)),"",VLOOKUP(B211,Pricelist!A:D,4,FALSE))</f>
        <v/>
      </c>
    </row>
    <row r="212" spans="2:4">
      <c r="B212" s="270"/>
      <c r="C212" s="369" t="str">
        <f>IF(ISNA(VLOOKUP(B212,Pricelist!A:D,2,FALSE)),"",VLOOKUP(B212,Pricelist!A:D,2,FALSE))</f>
        <v/>
      </c>
      <c r="D212" s="134" t="str">
        <f>IF(ISNA(VLOOKUP(B212,Pricelist!A:D,2,FALSE)),"",VLOOKUP(B212,Pricelist!A:D,4,FALSE))</f>
        <v/>
      </c>
    </row>
    <row r="213" spans="2:4">
      <c r="B213" s="270"/>
      <c r="C213" s="369" t="str">
        <f>IF(ISNA(VLOOKUP(B213,Pricelist!A:D,2,FALSE)),"",VLOOKUP(B213,Pricelist!A:D,2,FALSE))</f>
        <v/>
      </c>
      <c r="D213" s="134" t="str">
        <f>IF(ISNA(VLOOKUP(B213,Pricelist!A:D,2,FALSE)),"",VLOOKUP(B213,Pricelist!A:D,4,FALSE))</f>
        <v/>
      </c>
    </row>
    <row r="214" spans="2:4">
      <c r="B214" s="270"/>
      <c r="C214" s="369" t="str">
        <f>IF(ISNA(VLOOKUP(B214,Pricelist!A:D,2,FALSE)),"",VLOOKUP(B214,Pricelist!A:D,2,FALSE))</f>
        <v/>
      </c>
      <c r="D214" s="134" t="str">
        <f>IF(ISNA(VLOOKUP(B214,Pricelist!A:D,2,FALSE)),"",VLOOKUP(B214,Pricelist!A:D,4,FALSE))</f>
        <v/>
      </c>
    </row>
    <row r="215" spans="2:4">
      <c r="B215" s="270"/>
      <c r="C215" s="369" t="str">
        <f>IF(ISNA(VLOOKUP(B215,Pricelist!A:D,2,FALSE)),"",VLOOKUP(B215,Pricelist!A:D,2,FALSE))</f>
        <v/>
      </c>
      <c r="D215" s="134" t="str">
        <f>IF(ISNA(VLOOKUP(B215,Pricelist!A:D,2,FALSE)),"",VLOOKUP(B215,Pricelist!A:D,4,FALSE))</f>
        <v/>
      </c>
    </row>
    <row r="216" spans="2:4">
      <c r="B216" s="270"/>
      <c r="C216" s="369" t="str">
        <f>IF(ISNA(VLOOKUP(B216,Pricelist!A:D,2,FALSE)),"",VLOOKUP(B216,Pricelist!A:D,2,FALSE))</f>
        <v/>
      </c>
      <c r="D216" s="134" t="str">
        <f>IF(ISNA(VLOOKUP(B216,Pricelist!A:D,2,FALSE)),"",VLOOKUP(B216,Pricelist!A:D,4,FALSE))</f>
        <v/>
      </c>
    </row>
    <row r="217" spans="2:4">
      <c r="B217" s="270"/>
      <c r="C217" s="369" t="str">
        <f>IF(ISNA(VLOOKUP(B217,Pricelist!A:D,2,FALSE)),"",VLOOKUP(B217,Pricelist!A:D,2,FALSE))</f>
        <v/>
      </c>
      <c r="D217" s="134" t="str">
        <f>IF(ISNA(VLOOKUP(B217,Pricelist!A:D,2,FALSE)),"",VLOOKUP(B217,Pricelist!A:D,4,FALSE))</f>
        <v/>
      </c>
    </row>
    <row r="218" spans="2:4">
      <c r="B218" s="270"/>
      <c r="C218" s="369" t="str">
        <f>IF(ISNA(VLOOKUP(B218,Pricelist!A:D,2,FALSE)),"",VLOOKUP(B218,Pricelist!A:D,2,FALSE))</f>
        <v/>
      </c>
      <c r="D218" s="134" t="str">
        <f>IF(ISNA(VLOOKUP(B218,Pricelist!A:D,2,FALSE)),"",VLOOKUP(B218,Pricelist!A:D,4,FALSE))</f>
        <v/>
      </c>
    </row>
    <row r="219" spans="2:4">
      <c r="B219" s="270"/>
      <c r="C219" s="369" t="str">
        <f>IF(ISNA(VLOOKUP(B219,Pricelist!A:D,2,FALSE)),"",VLOOKUP(B219,Pricelist!A:D,2,FALSE))</f>
        <v/>
      </c>
      <c r="D219" s="134" t="str">
        <f>IF(ISNA(VLOOKUP(B219,Pricelist!A:D,2,FALSE)),"",VLOOKUP(B219,Pricelist!A:D,4,FALSE))</f>
        <v/>
      </c>
    </row>
    <row r="220" spans="2:4">
      <c r="B220" s="270"/>
      <c r="C220" s="369" t="str">
        <f>IF(ISNA(VLOOKUP(B220,Pricelist!A:D,2,FALSE)),"",VLOOKUP(B220,Pricelist!A:D,2,FALSE))</f>
        <v/>
      </c>
      <c r="D220" s="134" t="str">
        <f>IF(ISNA(VLOOKUP(B220,Pricelist!A:D,2,FALSE)),"",VLOOKUP(B220,Pricelist!A:D,4,FALSE))</f>
        <v/>
      </c>
    </row>
    <row r="221" spans="2:4">
      <c r="B221" s="270"/>
      <c r="C221" s="369"/>
      <c r="D221" s="134" t="str">
        <f>IF(ISNA(VLOOKUP(B221,Pricelist!A:D,2,FALSE)),"",VLOOKUP(B221,Pricelist!A:D,4,FALSE))</f>
        <v/>
      </c>
    </row>
    <row r="222" spans="2:4">
      <c r="C222" s="369" t="str">
        <f>IF(ISNA(VLOOKUP(B221,Pricelist!A:D,2,FALSE)),"",VLOOKUP(B221,Pricelist!A:D,2,FALSE))</f>
        <v/>
      </c>
      <c r="D222" s="134" t="str">
        <f>IF(ISNA(VLOOKUP(B222,Pricelist!A:D,2,FALSE)),"",VLOOKUP(B222,Pricelist!A:D,4,FALSE))</f>
        <v/>
      </c>
    </row>
    <row r="223" spans="2:4">
      <c r="B223" s="270"/>
      <c r="C223" s="369" t="str">
        <f>IF(ISNA(VLOOKUP(B223,Pricelist!A:D,2,FALSE)),"",VLOOKUP(B223,Pricelist!A:D,2,FALSE))</f>
        <v/>
      </c>
      <c r="D223" s="134" t="str">
        <f>IF(ISNA(VLOOKUP(B223,Pricelist!A:D,2,FALSE)),"",VLOOKUP(B223,Pricelist!A:D,4,FALSE))</f>
        <v/>
      </c>
    </row>
    <row r="224" spans="2:4">
      <c r="B224" s="270"/>
      <c r="C224" s="369" t="str">
        <f>IF(ISNA(VLOOKUP(B224,Pricelist!A:D,2,FALSE)),"",VLOOKUP(B224,Pricelist!A:D,2,FALSE))</f>
        <v/>
      </c>
      <c r="D224" s="134" t="str">
        <f>IF(ISNA(VLOOKUP(B224,Pricelist!A:D,2,FALSE)),"",VLOOKUP(B224,Pricelist!A:D,4,FALSE))</f>
        <v/>
      </c>
    </row>
    <row r="225" spans="2:4">
      <c r="B225" s="270"/>
      <c r="C225" s="369" t="str">
        <f>IF(ISNA(VLOOKUP(B225,Pricelist!A:D,2,FALSE)),"",VLOOKUP(B225,Pricelist!A:D,2,FALSE))</f>
        <v/>
      </c>
      <c r="D225" s="134" t="str">
        <f>IF(ISNA(VLOOKUP(B225,Pricelist!A:D,2,FALSE)),"",VLOOKUP(B225,Pricelist!A:D,4,FALSE))</f>
        <v/>
      </c>
    </row>
    <row r="226" spans="2:4">
      <c r="B226" s="270"/>
      <c r="C226" s="369" t="str">
        <f>IF(ISNA(VLOOKUP(B226,Pricelist!A:D,2,FALSE)),"",VLOOKUP(B226,Pricelist!A:D,2,FALSE))</f>
        <v/>
      </c>
      <c r="D226" s="134" t="str">
        <f>IF(ISNA(VLOOKUP(B226,Pricelist!A:D,2,FALSE)),"",VLOOKUP(B226,Pricelist!A:D,4,FALSE))</f>
        <v/>
      </c>
    </row>
    <row r="227" spans="2:4">
      <c r="B227" s="270"/>
      <c r="C227" s="369" t="str">
        <f>IF(ISNA(VLOOKUP(B227,Pricelist!A:D,2,FALSE)),"",VLOOKUP(B227,Pricelist!A:D,2,FALSE))</f>
        <v/>
      </c>
      <c r="D227" s="134" t="str">
        <f>IF(ISNA(VLOOKUP(B227,Pricelist!A:D,2,FALSE)),"",VLOOKUP(B227,Pricelist!A:D,4,FALSE))</f>
        <v/>
      </c>
    </row>
    <row r="228" spans="2:4">
      <c r="B228" s="270"/>
      <c r="C228" s="369" t="str">
        <f>IF(ISNA(VLOOKUP(B228,Pricelist!A:D,2,FALSE)),"",VLOOKUP(B228,Pricelist!A:D,2,FALSE))</f>
        <v/>
      </c>
      <c r="D228" s="134" t="str">
        <f>IF(ISNA(VLOOKUP(B228,Pricelist!A:D,2,FALSE)),"",VLOOKUP(B228,Pricelist!A:D,4,FALSE))</f>
        <v/>
      </c>
    </row>
    <row r="229" spans="2:4">
      <c r="B229" s="270"/>
      <c r="C229" s="369" t="str">
        <f>IF(ISNA(VLOOKUP(B229,Pricelist!A:D,2,FALSE)),"",VLOOKUP(B229,Pricelist!A:D,2,FALSE))</f>
        <v/>
      </c>
      <c r="D229" s="134" t="str">
        <f>IF(ISNA(VLOOKUP(B229,Pricelist!A:D,2,FALSE)),"",VLOOKUP(B229,Pricelist!A:D,4,FALSE))</f>
        <v/>
      </c>
    </row>
    <row r="230" spans="2:4">
      <c r="B230" s="270"/>
      <c r="C230" s="369" t="str">
        <f>IF(ISNA(VLOOKUP(B230,Pricelist!A:D,2,FALSE)),"",VLOOKUP(B230,Pricelist!A:D,2,FALSE))</f>
        <v/>
      </c>
      <c r="D230" s="134" t="str">
        <f>IF(ISNA(VLOOKUP(B230,Pricelist!A:D,2,FALSE)),"",VLOOKUP(B230,Pricelist!A:D,4,FALSE))</f>
        <v/>
      </c>
    </row>
    <row r="231" spans="2:4">
      <c r="B231" s="270"/>
      <c r="C231" s="369" t="str">
        <f>IF(ISNA(VLOOKUP(B231,Pricelist!A:D,2,FALSE)),"",VLOOKUP(B231,Pricelist!A:D,2,FALSE))</f>
        <v/>
      </c>
      <c r="D231" s="134" t="str">
        <f>IF(ISNA(VLOOKUP(B231,Pricelist!A:D,2,FALSE)),"",VLOOKUP(B231,Pricelist!A:D,4,FALSE))</f>
        <v/>
      </c>
    </row>
    <row r="232" spans="2:4">
      <c r="B232" s="270"/>
      <c r="C232" s="369" t="str">
        <f>IF(ISNA(VLOOKUP(B232,Pricelist!A:D,2,FALSE)),"",VLOOKUP(B232,Pricelist!A:D,2,FALSE))</f>
        <v/>
      </c>
      <c r="D232" s="134" t="str">
        <f>IF(ISNA(VLOOKUP(B232,Pricelist!A:D,2,FALSE)),"",VLOOKUP(B232,Pricelist!A:D,4,FALSE))</f>
        <v/>
      </c>
    </row>
    <row r="233" spans="2:4">
      <c r="B233" s="270"/>
      <c r="C233" s="369" t="str">
        <f>IF(ISNA(VLOOKUP(B233,Pricelist!A:D,2,FALSE)),"",VLOOKUP(B233,Pricelist!A:D,2,FALSE))</f>
        <v/>
      </c>
      <c r="D233" s="134" t="str">
        <f>IF(ISNA(VLOOKUP(B233,Pricelist!A:D,2,FALSE)),"",VLOOKUP(B233,Pricelist!A:D,4,FALSE))</f>
        <v/>
      </c>
    </row>
    <row r="234" spans="2:4">
      <c r="B234" s="270"/>
      <c r="C234" s="369" t="str">
        <f>IF(ISNA(VLOOKUP(B234,Pricelist!A:D,2,FALSE)),"",VLOOKUP(B234,Pricelist!A:D,2,FALSE))</f>
        <v/>
      </c>
      <c r="D234" s="134" t="str">
        <f>IF(ISNA(VLOOKUP(B234,Pricelist!A:D,2,FALSE)),"",VLOOKUP(B234,Pricelist!A:D,4,FALSE))</f>
        <v/>
      </c>
    </row>
    <row r="235" spans="2:4">
      <c r="B235" s="270"/>
      <c r="C235" s="369" t="str">
        <f>IF(ISNA(VLOOKUP(B235,Pricelist!A:D,2,FALSE)),"",VLOOKUP(B235,Pricelist!A:D,2,FALSE))</f>
        <v/>
      </c>
      <c r="D235" s="134" t="str">
        <f>IF(ISNA(VLOOKUP(B235,Pricelist!A:D,2,FALSE)),"",VLOOKUP(B235,Pricelist!A:D,4,FALSE))</f>
        <v/>
      </c>
    </row>
    <row r="236" spans="2:4">
      <c r="B236" s="270"/>
      <c r="C236" s="369" t="str">
        <f>IF(ISNA(VLOOKUP(B236,Pricelist!A:D,2,FALSE)),"",VLOOKUP(B236,Pricelist!A:D,2,FALSE))</f>
        <v/>
      </c>
      <c r="D236" s="134" t="str">
        <f>IF(ISNA(VLOOKUP(B236,Pricelist!A:D,2,FALSE)),"",VLOOKUP(B236,Pricelist!A:D,4,FALSE))</f>
        <v/>
      </c>
    </row>
    <row r="237" spans="2:4">
      <c r="B237" s="270"/>
      <c r="C237" s="369" t="str">
        <f>IF(ISNA(VLOOKUP(B237,Pricelist!A:D,2,FALSE)),"",VLOOKUP(B237,Pricelist!A:D,2,FALSE))</f>
        <v/>
      </c>
      <c r="D237" s="134" t="str">
        <f>IF(ISNA(VLOOKUP(B237,Pricelist!A:D,2,FALSE)),"",VLOOKUP(B237,Pricelist!A:D,4,FALSE))</f>
        <v/>
      </c>
    </row>
    <row r="238" spans="2:4">
      <c r="B238" s="270"/>
      <c r="C238" s="369" t="str">
        <f>IF(ISNA(VLOOKUP(B238,Pricelist!A:D,2,FALSE)),"",VLOOKUP(B238,Pricelist!A:D,2,FALSE))</f>
        <v/>
      </c>
      <c r="D238" s="134" t="str">
        <f>IF(ISNA(VLOOKUP(B238,Pricelist!A:D,2,FALSE)),"",VLOOKUP(B238,Pricelist!A:D,4,FALSE))</f>
        <v/>
      </c>
    </row>
    <row r="239" spans="2:4">
      <c r="B239" s="270"/>
      <c r="C239" s="369" t="str">
        <f>IF(ISNA(VLOOKUP(B239,Pricelist!A:D,2,FALSE)),"",VLOOKUP(B239,Pricelist!A:D,2,FALSE))</f>
        <v/>
      </c>
      <c r="D239" s="134" t="str">
        <f>IF(ISNA(VLOOKUP(B239,Pricelist!A:D,2,FALSE)),"",VLOOKUP(B239,Pricelist!A:D,4,FALSE))</f>
        <v/>
      </c>
    </row>
    <row r="240" spans="2:4">
      <c r="B240" s="270"/>
      <c r="C240" s="369" t="str">
        <f>IF(ISNA(VLOOKUP(B240,Pricelist!A:D,2,FALSE)),"",VLOOKUP(B240,Pricelist!A:D,2,FALSE))</f>
        <v/>
      </c>
      <c r="D240" s="134" t="str">
        <f>IF(ISNA(VLOOKUP(B240,Pricelist!A:D,2,FALSE)),"",VLOOKUP(B240,Pricelist!A:D,4,FALSE))</f>
        <v/>
      </c>
    </row>
    <row r="241" spans="2:4">
      <c r="B241" s="270"/>
      <c r="C241" s="369" t="str">
        <f>IF(ISNA(VLOOKUP(B241,Pricelist!A:D,2,FALSE)),"",VLOOKUP(B241,Pricelist!A:D,2,FALSE))</f>
        <v/>
      </c>
      <c r="D241" s="134" t="str">
        <f>IF(ISNA(VLOOKUP(B241,Pricelist!A:D,2,FALSE)),"",VLOOKUP(B241,Pricelist!A:D,4,FALSE))</f>
        <v/>
      </c>
    </row>
    <row r="242" spans="2:4">
      <c r="B242" s="270"/>
      <c r="C242" s="369" t="str">
        <f>IF(ISNA(VLOOKUP(B242,Pricelist!A:D,2,FALSE)),"",VLOOKUP(B242,Pricelist!A:D,2,FALSE))</f>
        <v/>
      </c>
      <c r="D242" s="134" t="str">
        <f>IF(ISNA(VLOOKUP(B242,Pricelist!A:D,2,FALSE)),"",VLOOKUP(B242,Pricelist!A:D,4,FALSE))</f>
        <v/>
      </c>
    </row>
    <row r="243" spans="2:4">
      <c r="B243" s="270"/>
      <c r="C243" s="369" t="str">
        <f>IF(ISNA(VLOOKUP(B243,Pricelist!A:D,2,FALSE)),"",VLOOKUP(B243,Pricelist!A:D,2,FALSE))</f>
        <v/>
      </c>
      <c r="D243" s="134" t="str">
        <f>IF(ISNA(VLOOKUP(B243,Pricelist!A:D,2,FALSE)),"",VLOOKUP(B243,Pricelist!A:D,4,FALSE))</f>
        <v/>
      </c>
    </row>
    <row r="244" spans="2:4">
      <c r="B244" s="270"/>
      <c r="C244" s="369" t="str">
        <f>IF(ISNA(VLOOKUP(B244,Pricelist!A:D,2,FALSE)),"",VLOOKUP(B244,Pricelist!A:D,2,FALSE))</f>
        <v/>
      </c>
      <c r="D244" s="134" t="str">
        <f>IF(ISNA(VLOOKUP(B244,Pricelist!A:D,2,FALSE)),"",VLOOKUP(B244,Pricelist!A:D,4,FALSE))</f>
        <v/>
      </c>
    </row>
    <row r="245" spans="2:4">
      <c r="B245" s="270"/>
      <c r="C245" s="369" t="str">
        <f>IF(ISNA(VLOOKUP(B245,Pricelist!A:D,2,FALSE)),"",VLOOKUP(B245,Pricelist!A:D,2,FALSE))</f>
        <v/>
      </c>
      <c r="D245" s="134" t="str">
        <f>IF(ISNA(VLOOKUP(B245,Pricelist!A:D,2,FALSE)),"",VLOOKUP(B245,Pricelist!A:D,4,FALSE))</f>
        <v/>
      </c>
    </row>
    <row r="246" spans="2:4">
      <c r="B246" s="270"/>
      <c r="C246" s="369" t="str">
        <f>IF(ISNA(VLOOKUP(B246,Pricelist!A:D,2,FALSE)),"",VLOOKUP(B246,Pricelist!A:D,2,FALSE))</f>
        <v/>
      </c>
      <c r="D246" s="134" t="str">
        <f>IF(ISNA(VLOOKUP(B246,Pricelist!A:D,2,FALSE)),"",VLOOKUP(B246,Pricelist!A:D,4,FALSE))</f>
        <v/>
      </c>
    </row>
    <row r="247" spans="2:4">
      <c r="B247" s="270"/>
      <c r="C247" s="369" t="str">
        <f>IF(ISNA(VLOOKUP(B247,Pricelist!A:D,2,FALSE)),"",VLOOKUP(B247,Pricelist!A:D,2,FALSE))</f>
        <v/>
      </c>
      <c r="D247" s="134" t="str">
        <f>IF(ISNA(VLOOKUP(B247,Pricelist!A:D,2,FALSE)),"",VLOOKUP(B247,Pricelist!A:D,4,FALSE))</f>
        <v/>
      </c>
    </row>
    <row r="248" spans="2:4">
      <c r="B248" s="270"/>
      <c r="C248" s="369" t="str">
        <f>IF(ISNA(VLOOKUP(B248,Pricelist!A:D,2,FALSE)),"",VLOOKUP(B248,Pricelist!A:D,2,FALSE))</f>
        <v/>
      </c>
      <c r="D248" s="134" t="str">
        <f>IF(ISNA(VLOOKUP(B248,Pricelist!A:D,2,FALSE)),"",VLOOKUP(B248,Pricelist!A:D,4,FALSE))</f>
        <v/>
      </c>
    </row>
    <row r="249" spans="2:4">
      <c r="B249" s="270"/>
      <c r="C249" s="369" t="str">
        <f>IF(ISNA(VLOOKUP(B249,Pricelist!A:D,2,FALSE)),"",VLOOKUP(B249,Pricelist!A:D,2,FALSE))</f>
        <v/>
      </c>
      <c r="D249" s="134" t="str">
        <f>IF(ISNA(VLOOKUP(B249,Pricelist!A:D,2,FALSE)),"",VLOOKUP(B249,Pricelist!A:D,4,FALSE))</f>
        <v/>
      </c>
    </row>
    <row r="250" spans="2:4">
      <c r="B250" s="270"/>
      <c r="C250" s="369" t="str">
        <f>IF(ISNA(VLOOKUP(B250,Pricelist!A:D,2,FALSE)),"",VLOOKUP(B250,Pricelist!A:D,2,FALSE))</f>
        <v/>
      </c>
      <c r="D250" s="134" t="str">
        <f>IF(ISNA(VLOOKUP(B250,Pricelist!A:D,2,FALSE)),"",VLOOKUP(B250,Pricelist!A:D,4,FALSE))</f>
        <v/>
      </c>
    </row>
    <row r="251" spans="2:4">
      <c r="B251" s="270"/>
      <c r="C251" s="369" t="str">
        <f>IF(ISNA(VLOOKUP(B251,Pricelist!A:D,2,FALSE)),"",VLOOKUP(B251,Pricelist!A:D,2,FALSE))</f>
        <v/>
      </c>
      <c r="D251" s="134" t="str">
        <f>IF(ISNA(VLOOKUP(B251,Pricelist!A:D,2,FALSE)),"",VLOOKUP(B251,Pricelist!A:D,4,FALSE))</f>
        <v/>
      </c>
    </row>
    <row r="252" spans="2:4">
      <c r="B252" s="270"/>
      <c r="C252" s="369" t="str">
        <f>IF(ISNA(VLOOKUP(B252,Pricelist!A:D,2,FALSE)),"",VLOOKUP(B252,Pricelist!A:D,2,FALSE))</f>
        <v/>
      </c>
      <c r="D252" s="134" t="str">
        <f>IF(ISNA(VLOOKUP(B252,Pricelist!A:D,2,FALSE)),"",VLOOKUP(B252,Pricelist!A:D,4,FALSE))</f>
        <v/>
      </c>
    </row>
    <row r="253" spans="2:4">
      <c r="B253" s="270"/>
      <c r="C253" s="369" t="str">
        <f>IF(ISNA(VLOOKUP(B253,Pricelist!A:D,2,FALSE)),"",VLOOKUP(B253,Pricelist!A:D,2,FALSE))</f>
        <v/>
      </c>
      <c r="D253" s="134" t="str">
        <f>IF(ISNA(VLOOKUP(B253,Pricelist!A:D,2,FALSE)),"",VLOOKUP(B253,Pricelist!A:D,4,FALSE))</f>
        <v/>
      </c>
    </row>
    <row r="254" spans="2:4">
      <c r="B254" s="270"/>
      <c r="C254" s="369" t="str">
        <f>IF(ISNA(VLOOKUP(B254,Pricelist!A:D,2,FALSE)),"",VLOOKUP(B254,Pricelist!A:D,2,FALSE))</f>
        <v/>
      </c>
      <c r="D254" s="134" t="str">
        <f>IF(ISNA(VLOOKUP(B254,Pricelist!A:D,2,FALSE)),"",VLOOKUP(B254,Pricelist!A:D,4,FALSE))</f>
        <v/>
      </c>
    </row>
    <row r="255" spans="2:4">
      <c r="B255" s="270"/>
      <c r="C255" s="369" t="str">
        <f>IF(ISNA(VLOOKUP(B255,Pricelist!A:D,2,FALSE)),"",VLOOKUP(B255,Pricelist!A:D,2,FALSE))</f>
        <v/>
      </c>
      <c r="D255" s="134" t="str">
        <f>IF(ISNA(VLOOKUP(B255,Pricelist!A:D,2,FALSE)),"",VLOOKUP(B255,Pricelist!A:D,4,FALSE))</f>
        <v/>
      </c>
    </row>
    <row r="256" spans="2:4">
      <c r="B256" s="270"/>
      <c r="C256" s="369" t="str">
        <f>IF(ISNA(VLOOKUP(B256,Pricelist!A:D,2,FALSE)),"",VLOOKUP(B256,Pricelist!A:D,2,FALSE))</f>
        <v/>
      </c>
      <c r="D256" s="134" t="str">
        <f>IF(ISNA(VLOOKUP(B256,Pricelist!A:D,2,FALSE)),"",VLOOKUP(B256,Pricelist!A:D,4,FALSE))</f>
        <v/>
      </c>
    </row>
    <row r="257" spans="2:4">
      <c r="B257" s="270"/>
      <c r="C257" s="369" t="str">
        <f>IF(ISNA(VLOOKUP(B257,Pricelist!A:D,2,FALSE)),"",VLOOKUP(B257,Pricelist!A:D,2,FALSE))</f>
        <v/>
      </c>
      <c r="D257" s="134" t="str">
        <f>IF(ISNA(VLOOKUP(B257,Pricelist!A:D,2,FALSE)),"",VLOOKUP(B257,Pricelist!A:D,4,FALSE))</f>
        <v/>
      </c>
    </row>
    <row r="258" spans="2:4">
      <c r="B258" s="270"/>
      <c r="C258" s="369" t="str">
        <f>IF(ISNA(VLOOKUP(B258,Pricelist!A:D,2,FALSE)),"",VLOOKUP(B258,Pricelist!A:D,2,FALSE))</f>
        <v/>
      </c>
      <c r="D258" s="134" t="str">
        <f>IF(ISNA(VLOOKUP(B258,Pricelist!A:D,2,FALSE)),"",VLOOKUP(B258,Pricelist!A:D,4,FALSE))</f>
        <v/>
      </c>
    </row>
    <row r="259" spans="2:4">
      <c r="B259" s="270"/>
      <c r="C259" s="369" t="str">
        <f>IF(ISNA(VLOOKUP(B259,Pricelist!A:D,2,FALSE)),"",VLOOKUP(B259,Pricelist!A:D,2,FALSE))</f>
        <v/>
      </c>
      <c r="D259" s="134" t="str">
        <f>IF(ISNA(VLOOKUP(B259,Pricelist!A:D,2,FALSE)),"",VLOOKUP(B259,Pricelist!A:D,4,FALSE))</f>
        <v/>
      </c>
    </row>
    <row r="260" spans="2:4">
      <c r="B260" s="270"/>
      <c r="C260" s="369" t="str">
        <f>IF(ISNA(VLOOKUP(B260,Pricelist!A:D,2,FALSE)),"",VLOOKUP(B260,Pricelist!A:D,2,FALSE))</f>
        <v/>
      </c>
      <c r="D260" s="134" t="str">
        <f>IF(ISNA(VLOOKUP(B260,Pricelist!A:D,2,FALSE)),"",VLOOKUP(B260,Pricelist!A:D,4,FALSE))</f>
        <v/>
      </c>
    </row>
    <row r="261" spans="2:4">
      <c r="B261" s="270"/>
      <c r="C261" s="369" t="str">
        <f>IF(ISNA(VLOOKUP(B261,Pricelist!A:D,2,FALSE)),"",VLOOKUP(B261,Pricelist!A:D,2,FALSE))</f>
        <v/>
      </c>
      <c r="D261" s="134" t="str">
        <f>IF(ISNA(VLOOKUP(B261,Pricelist!A:D,2,FALSE)),"",VLOOKUP(B261,Pricelist!A:D,4,FALSE))</f>
        <v/>
      </c>
    </row>
    <row r="262" spans="2:4">
      <c r="B262" s="270"/>
      <c r="C262" s="369" t="str">
        <f>IF(ISNA(VLOOKUP(B262,Pricelist!A:D,2,FALSE)),"",VLOOKUP(B262,Pricelist!A:D,2,FALSE))</f>
        <v/>
      </c>
      <c r="D262" s="134" t="str">
        <f>IF(ISNA(VLOOKUP(B262,Pricelist!A:D,2,FALSE)),"",VLOOKUP(B262,Pricelist!A:D,4,FALSE))</f>
        <v/>
      </c>
    </row>
    <row r="263" spans="2:4">
      <c r="B263" s="270"/>
      <c r="C263" s="369" t="str">
        <f>IF(ISNA(VLOOKUP(B263,Pricelist!A:D,2,FALSE)),"",VLOOKUP(B263,Pricelist!A:D,2,FALSE))</f>
        <v/>
      </c>
      <c r="D263" s="134" t="str">
        <f>IF(ISNA(VLOOKUP(B263,Pricelist!A:D,2,FALSE)),"",VLOOKUP(B263,Pricelist!A:D,4,FALSE))</f>
        <v/>
      </c>
    </row>
    <row r="264" spans="2:4">
      <c r="B264" s="270"/>
      <c r="C264" s="369" t="str">
        <f>IF(ISNA(VLOOKUP(B264,Pricelist!A:D,2,FALSE)),"",VLOOKUP(B264,Pricelist!A:D,2,FALSE))</f>
        <v/>
      </c>
      <c r="D264" s="134" t="str">
        <f>IF(ISNA(VLOOKUP(B264,Pricelist!A:D,2,FALSE)),"",VLOOKUP(B264,Pricelist!A:D,4,FALSE))</f>
        <v/>
      </c>
    </row>
    <row r="265" spans="2:4">
      <c r="B265" s="270"/>
      <c r="C265" s="369" t="str">
        <f>IF(ISNA(VLOOKUP(B265,Pricelist!A:D,2,FALSE)),"",VLOOKUP(B265,Pricelist!A:D,2,FALSE))</f>
        <v/>
      </c>
      <c r="D265" s="134" t="str">
        <f>IF(ISNA(VLOOKUP(B265,Pricelist!A:D,2,FALSE)),"",VLOOKUP(B265,Pricelist!A:D,4,FALSE))</f>
        <v/>
      </c>
    </row>
    <row r="266" spans="2:4">
      <c r="B266" s="270"/>
      <c r="C266" s="369" t="str">
        <f>IF(ISNA(VLOOKUP(B266,Pricelist!A:D,2,FALSE)),"",VLOOKUP(B266,Pricelist!A:D,2,FALSE))</f>
        <v/>
      </c>
      <c r="D266" s="134" t="str">
        <f>IF(ISNA(VLOOKUP(B266,Pricelist!A:D,2,FALSE)),"",VLOOKUP(B266,Pricelist!A:D,4,FALSE))</f>
        <v/>
      </c>
    </row>
    <row r="267" spans="2:4">
      <c r="B267" s="270"/>
      <c r="C267" s="369" t="str">
        <f>IF(ISNA(VLOOKUP(B267,Pricelist!A:D,2,FALSE)),"",VLOOKUP(B267,Pricelist!A:D,2,FALSE))</f>
        <v/>
      </c>
      <c r="D267" s="134" t="str">
        <f>IF(ISNA(VLOOKUP(B267,Pricelist!A:D,2,FALSE)),"",VLOOKUP(B267,Pricelist!A:D,4,FALSE))</f>
        <v/>
      </c>
    </row>
    <row r="268" spans="2:4">
      <c r="B268" s="270"/>
      <c r="C268" s="369" t="str">
        <f>IF(ISNA(VLOOKUP(B268,Pricelist!A:D,2,FALSE)),"",VLOOKUP(B268,Pricelist!A:D,2,FALSE))</f>
        <v/>
      </c>
      <c r="D268" s="134" t="str">
        <f>IF(ISNA(VLOOKUP(B268,Pricelist!A:D,2,FALSE)),"",VLOOKUP(B268,Pricelist!A:D,4,FALSE))</f>
        <v/>
      </c>
    </row>
    <row r="269" spans="2:4">
      <c r="B269" s="270"/>
      <c r="C269" s="369" t="str">
        <f>IF(ISNA(VLOOKUP(B269,Pricelist!A:D,2,FALSE)),"",VLOOKUP(B269,Pricelist!A:D,2,FALSE))</f>
        <v/>
      </c>
      <c r="D269" s="134" t="str">
        <f>IF(ISNA(VLOOKUP(B269,Pricelist!A:D,2,FALSE)),"",VLOOKUP(B269,Pricelist!A:D,4,FALSE))</f>
        <v/>
      </c>
    </row>
    <row r="270" spans="2:4">
      <c r="B270" s="270"/>
      <c r="C270" s="369" t="str">
        <f>IF(ISNA(VLOOKUP(B270,Pricelist!A:D,2,FALSE)),"",VLOOKUP(B270,Pricelist!A:D,2,FALSE))</f>
        <v/>
      </c>
      <c r="D270" s="134" t="str">
        <f>IF(ISNA(VLOOKUP(B270,Pricelist!A:D,2,FALSE)),"",VLOOKUP(B270,Pricelist!A:D,4,FALSE))</f>
        <v/>
      </c>
    </row>
    <row r="271" spans="2:4">
      <c r="B271" s="270"/>
      <c r="C271" s="369" t="str">
        <f>IF(ISNA(VLOOKUP(B271,Pricelist!A:D,2,FALSE)),"",VLOOKUP(B271,Pricelist!A:D,2,FALSE))</f>
        <v/>
      </c>
      <c r="D271" s="134" t="str">
        <f>IF(ISNA(VLOOKUP(B271,Pricelist!A:D,2,FALSE)),"",VLOOKUP(B271,Pricelist!A:D,4,FALSE))</f>
        <v/>
      </c>
    </row>
    <row r="272" spans="2:4">
      <c r="B272" s="270"/>
      <c r="C272" s="369" t="str">
        <f>IF(ISNA(VLOOKUP(B272,Pricelist!A:D,2,FALSE)),"",VLOOKUP(B272,Pricelist!A:D,2,FALSE))</f>
        <v/>
      </c>
      <c r="D272" s="134" t="str">
        <f>IF(ISNA(VLOOKUP(B272,Pricelist!A:D,2,FALSE)),"",VLOOKUP(B272,Pricelist!A:D,4,FALSE))</f>
        <v/>
      </c>
    </row>
    <row r="273" spans="1:4">
      <c r="B273" s="270"/>
      <c r="C273" s="369" t="str">
        <f>IF(ISNA(VLOOKUP(B273,Pricelist!A:D,2,FALSE)),"",VLOOKUP(B273,Pricelist!A:D,2,FALSE))</f>
        <v/>
      </c>
      <c r="D273" s="134" t="str">
        <f>IF(ISNA(VLOOKUP(B273,Pricelist!A:D,2,FALSE)),"",VLOOKUP(B273,Pricelist!A:D,4,FALSE))</f>
        <v/>
      </c>
    </row>
    <row r="274" spans="1:4">
      <c r="B274" s="270"/>
      <c r="C274" s="369" t="str">
        <f>IF(ISNA(VLOOKUP(B274,Pricelist!A:D,2,FALSE)),"",VLOOKUP(B274,Pricelist!A:D,2,FALSE))</f>
        <v/>
      </c>
      <c r="D274" s="134" t="str">
        <f>IF(ISNA(VLOOKUP(B274,Pricelist!A:D,2,FALSE)),"",VLOOKUP(B274,Pricelist!A:D,4,FALSE))</f>
        <v/>
      </c>
    </row>
    <row r="275" spans="1:4">
      <c r="B275" s="270"/>
      <c r="C275" s="369" t="str">
        <f>IF(ISNA(VLOOKUP(B275,Pricelist!A:D,2,FALSE)),"",VLOOKUP(B275,Pricelist!A:D,2,FALSE))</f>
        <v/>
      </c>
      <c r="D275" s="134" t="str">
        <f>IF(ISNA(VLOOKUP(B275,Pricelist!A:D,2,FALSE)),"",VLOOKUP(B275,Pricelist!A:D,4,FALSE))</f>
        <v/>
      </c>
    </row>
    <row r="276" spans="1:4">
      <c r="B276" s="270"/>
      <c r="C276" s="369" t="str">
        <f>IF(ISNA(VLOOKUP(B276,Pricelist!A:D,2,FALSE)),"",VLOOKUP(B276,Pricelist!A:D,2,FALSE))</f>
        <v/>
      </c>
      <c r="D276" s="134" t="str">
        <f>IF(ISNA(VLOOKUP(B276,Pricelist!A:D,2,FALSE)),"",VLOOKUP(B276,Pricelist!A:D,4,FALSE))</f>
        <v/>
      </c>
    </row>
    <row r="277" spans="1:4">
      <c r="B277" s="270"/>
      <c r="C277" s="369" t="str">
        <f>IF(ISNA(VLOOKUP(B277,Pricelist!A:D,2,FALSE)),"",VLOOKUP(B277,Pricelist!A:D,2,FALSE))</f>
        <v/>
      </c>
      <c r="D277" s="134" t="str">
        <f>IF(ISNA(VLOOKUP(B277,Pricelist!A:D,2,FALSE)),"",VLOOKUP(B277,Pricelist!A:D,4,FALSE))</f>
        <v/>
      </c>
    </row>
    <row r="278" spans="1:4">
      <c r="B278" s="270"/>
      <c r="C278" s="369" t="str">
        <f>IF(ISNA(VLOOKUP(B278,Pricelist!A:D,2,FALSE)),"",VLOOKUP(B278,Pricelist!A:D,2,FALSE))</f>
        <v/>
      </c>
      <c r="D278" s="134" t="str">
        <f>IF(ISNA(VLOOKUP(B278,Pricelist!A:D,2,FALSE)),"",VLOOKUP(B278,Pricelist!A:D,4,FALSE))</f>
        <v/>
      </c>
    </row>
    <row r="279" spans="1:4">
      <c r="B279" s="270"/>
      <c r="C279" s="369" t="str">
        <f>IF(ISNA(VLOOKUP(B279,Pricelist!A:D,2,FALSE)),"",VLOOKUP(B279,Pricelist!A:D,2,FALSE))</f>
        <v/>
      </c>
      <c r="D279" s="134" t="str">
        <f>IF(ISNA(VLOOKUP(B279,Pricelist!A:D,2,FALSE)),"",VLOOKUP(B279,Pricelist!A:D,4,FALSE))</f>
        <v/>
      </c>
    </row>
    <row r="280" spans="1:4">
      <c r="B280" s="270"/>
      <c r="C280" s="369" t="str">
        <f>IF(ISNA(VLOOKUP(B280,Pricelist!A:D,2,FALSE)),"",VLOOKUP(B280,Pricelist!A:D,2,FALSE))</f>
        <v/>
      </c>
      <c r="D280" s="134" t="str">
        <f>IF(ISNA(VLOOKUP(B280,Pricelist!A:D,2,FALSE)),"",VLOOKUP(B280,Pricelist!A:D,4,FALSE))</f>
        <v/>
      </c>
    </row>
    <row r="281" spans="1:4">
      <c r="B281" s="270"/>
      <c r="C281" s="369" t="str">
        <f>IF(ISNA(VLOOKUP(B281,Pricelist!A:D,2,FALSE)),"",VLOOKUP(B281,Pricelist!A:D,2,FALSE))</f>
        <v/>
      </c>
      <c r="D281" s="134" t="str">
        <f>IF(ISNA(VLOOKUP(B281,Pricelist!A:D,2,FALSE)),"",VLOOKUP(B281,Pricelist!A:D,4,FALSE))</f>
        <v/>
      </c>
    </row>
    <row r="282" spans="1:4">
      <c r="B282" s="270"/>
      <c r="C282" s="369" t="str">
        <f>IF(ISNA(VLOOKUP(B282,Pricelist!A:D,2,FALSE)),"",VLOOKUP(B282,Pricelist!A:D,2,FALSE))</f>
        <v/>
      </c>
      <c r="D282" s="134" t="str">
        <f>IF(ISNA(VLOOKUP(B282,Pricelist!A:D,2,FALSE)),"",VLOOKUP(B282,Pricelist!A:D,4,FALSE))</f>
        <v/>
      </c>
    </row>
    <row r="283" spans="1:4">
      <c r="B283" s="270"/>
      <c r="C283" s="369" t="str">
        <f>IF(ISNA(VLOOKUP(B283,Pricelist!A:D,2,FALSE)),"",VLOOKUP(B283,Pricelist!A:D,2,FALSE))</f>
        <v/>
      </c>
      <c r="D283" s="134" t="str">
        <f>IF(ISNA(VLOOKUP(B283,Pricelist!A:D,2,FALSE)),"",VLOOKUP(B283,Pricelist!A:D,4,FALSE))</f>
        <v/>
      </c>
    </row>
    <row r="284" spans="1:4">
      <c r="A284" s="133" t="s">
        <v>495</v>
      </c>
      <c r="B284" s="270"/>
      <c r="C284" s="369" t="str">
        <f>IF(ISNA(VLOOKUP(B284,Pricelist!A:D,2,FALSE)),"",VLOOKUP(B284,Pricelist!A:D,2,FALSE))</f>
        <v/>
      </c>
      <c r="D284" s="134" t="str">
        <f>IF(ISNA(VLOOKUP(B284,Pricelist!A:D,2,FALSE)),"",VLOOKUP(B284,Pricelist!A:D,4,FALSE))</f>
        <v/>
      </c>
    </row>
    <row r="285" spans="1:4">
      <c r="A285" s="133">
        <f>COUNTA(B284:B404)</f>
        <v>0</v>
      </c>
      <c r="B285" s="270"/>
      <c r="C285" s="369" t="str">
        <f>IF(ISNA(VLOOKUP(B285,Pricelist!A:D,2,FALSE)),"",VLOOKUP(B285,Pricelist!A:D,2,FALSE))</f>
        <v/>
      </c>
      <c r="D285" s="134" t="str">
        <f>IF(ISNA(VLOOKUP(B285,Pricelist!A:D,2,FALSE)),"",VLOOKUP(B285,Pricelist!A:D,4,FALSE))</f>
        <v/>
      </c>
    </row>
    <row r="286" spans="1:4">
      <c r="B286" s="270"/>
      <c r="C286" s="369" t="str">
        <f>IF(ISNA(VLOOKUP(B286,Pricelist!A:D,2,FALSE)),"",VLOOKUP(B286,Pricelist!A:D,2,FALSE))</f>
        <v/>
      </c>
      <c r="D286" s="134" t="str">
        <f>IF(ISNA(VLOOKUP(B286,Pricelist!A:D,2,FALSE)),"",VLOOKUP(B286,Pricelist!A:D,4,FALSE))</f>
        <v/>
      </c>
    </row>
    <row r="287" spans="1:4">
      <c r="B287" s="270"/>
      <c r="C287" s="369" t="str">
        <f>IF(ISNA(VLOOKUP(B287,Pricelist!A:D,2,FALSE)),"",VLOOKUP(B287,Pricelist!A:D,2,FALSE))</f>
        <v/>
      </c>
      <c r="D287" s="134" t="str">
        <f>IF(ISNA(VLOOKUP(B287,Pricelist!A:D,2,FALSE)),"",VLOOKUP(B287,Pricelist!A:D,4,FALSE))</f>
        <v/>
      </c>
    </row>
    <row r="288" spans="1:4">
      <c r="B288" s="270"/>
      <c r="C288" s="369" t="str">
        <f>IF(ISNA(VLOOKUP(B288,Pricelist!A:D,2,FALSE)),"",VLOOKUP(B288,Pricelist!A:D,2,FALSE))</f>
        <v/>
      </c>
      <c r="D288" s="134" t="str">
        <f>IF(ISNA(VLOOKUP(B288,Pricelist!A:D,2,FALSE)),"",VLOOKUP(B288,Pricelist!A:D,4,FALSE))</f>
        <v/>
      </c>
    </row>
    <row r="289" spans="2:4">
      <c r="B289" s="270"/>
      <c r="C289" s="369" t="str">
        <f>IF(ISNA(VLOOKUP(B289,Pricelist!A:D,2,FALSE)),"",VLOOKUP(B289,Pricelist!A:D,2,FALSE))</f>
        <v/>
      </c>
      <c r="D289" s="134" t="str">
        <f>IF(ISNA(VLOOKUP(B289,Pricelist!A:D,2,FALSE)),"",VLOOKUP(B289,Pricelist!A:D,4,FALSE))</f>
        <v/>
      </c>
    </row>
    <row r="290" spans="2:4">
      <c r="B290" s="270"/>
      <c r="C290" s="369" t="str">
        <f>IF(ISNA(VLOOKUP(B290,Pricelist!A:D,2,FALSE)),"",VLOOKUP(B290,Pricelist!A:D,2,FALSE))</f>
        <v/>
      </c>
      <c r="D290" s="134" t="str">
        <f>IF(ISNA(VLOOKUP(B290,Pricelist!A:D,2,FALSE)),"",VLOOKUP(B290,Pricelist!A:D,4,FALSE))</f>
        <v/>
      </c>
    </row>
    <row r="291" spans="2:4">
      <c r="B291" s="270"/>
      <c r="C291" s="369" t="str">
        <f>IF(ISNA(VLOOKUP(B291,Pricelist!A:D,2,FALSE)),"",VLOOKUP(B291,Pricelist!A:D,2,FALSE))</f>
        <v/>
      </c>
      <c r="D291" s="134" t="str">
        <f>IF(ISNA(VLOOKUP(B291,Pricelist!A:D,2,FALSE)),"",VLOOKUP(B291,Pricelist!A:D,4,FALSE))</f>
        <v/>
      </c>
    </row>
    <row r="292" spans="2:4">
      <c r="B292" s="270"/>
      <c r="C292" s="369" t="str">
        <f>IF(ISNA(VLOOKUP(B292,Pricelist!A:D,2,FALSE)),"",VLOOKUP(B292,Pricelist!A:D,2,FALSE))</f>
        <v/>
      </c>
      <c r="D292" s="134" t="str">
        <f>IF(ISNA(VLOOKUP(B292,Pricelist!A:D,2,FALSE)),"",VLOOKUP(B292,Pricelist!A:D,4,FALSE))</f>
        <v/>
      </c>
    </row>
    <row r="293" spans="2:4">
      <c r="B293" s="270"/>
      <c r="C293" s="369" t="str">
        <f>IF(ISNA(VLOOKUP(B293,Pricelist!A:D,2,FALSE)),"",VLOOKUP(B293,Pricelist!A:D,2,FALSE))</f>
        <v/>
      </c>
      <c r="D293" s="134" t="str">
        <f>IF(ISNA(VLOOKUP(B293,Pricelist!A:D,2,FALSE)),"",VLOOKUP(B293,Pricelist!A:D,4,FALSE))</f>
        <v/>
      </c>
    </row>
    <row r="294" spans="2:4">
      <c r="B294" s="270"/>
      <c r="C294" s="369" t="str">
        <f>IF(ISNA(VLOOKUP(B294,Pricelist!A:D,2,FALSE)),"",VLOOKUP(B294,Pricelist!A:D,2,FALSE))</f>
        <v/>
      </c>
      <c r="D294" s="134" t="str">
        <f>IF(ISNA(VLOOKUP(B294,Pricelist!A:D,2,FALSE)),"",VLOOKUP(B294,Pricelist!A:D,4,FALSE))</f>
        <v/>
      </c>
    </row>
    <row r="295" spans="2:4">
      <c r="B295" s="270"/>
      <c r="C295" s="369" t="str">
        <f>IF(ISNA(VLOOKUP(B295,Pricelist!A:D,2,FALSE)),"",VLOOKUP(B295,Pricelist!A:D,2,FALSE))</f>
        <v/>
      </c>
      <c r="D295" s="134" t="str">
        <f>IF(ISNA(VLOOKUP(B295,Pricelist!A:D,2,FALSE)),"",VLOOKUP(B295,Pricelist!A:D,4,FALSE))</f>
        <v/>
      </c>
    </row>
    <row r="296" spans="2:4">
      <c r="B296" s="270"/>
      <c r="C296" s="369" t="str">
        <f>IF(ISNA(VLOOKUP(B296,Pricelist!A:D,2,FALSE)),"",VLOOKUP(B296,Pricelist!A:D,2,FALSE))</f>
        <v/>
      </c>
      <c r="D296" s="134" t="str">
        <f>IF(ISNA(VLOOKUP(B296,Pricelist!A:D,2,FALSE)),"",VLOOKUP(B296,Pricelist!A:D,4,FALSE))</f>
        <v/>
      </c>
    </row>
    <row r="297" spans="2:4">
      <c r="B297" s="270"/>
      <c r="C297" s="369" t="str">
        <f>IF(ISNA(VLOOKUP(B297,Pricelist!A:D,2,FALSE)),"",VLOOKUP(B297,Pricelist!A:D,2,FALSE))</f>
        <v/>
      </c>
      <c r="D297" s="134" t="str">
        <f>IF(ISNA(VLOOKUP(B297,Pricelist!A:D,2,FALSE)),"",VLOOKUP(B297,Pricelist!A:D,4,FALSE))</f>
        <v/>
      </c>
    </row>
    <row r="298" spans="2:4">
      <c r="B298" s="270"/>
      <c r="C298" s="369" t="str">
        <f>IF(ISNA(VLOOKUP(B298,Pricelist!A:D,2,FALSE)),"",VLOOKUP(B298,Pricelist!A:D,2,FALSE))</f>
        <v/>
      </c>
      <c r="D298" s="134" t="str">
        <f>IF(ISNA(VLOOKUP(B298,Pricelist!A:D,2,FALSE)),"",VLOOKUP(B298,Pricelist!A:D,4,FALSE))</f>
        <v/>
      </c>
    </row>
    <row r="299" spans="2:4">
      <c r="B299" s="270"/>
      <c r="C299" s="369" t="str">
        <f>IF(ISNA(VLOOKUP(B299,Pricelist!A:D,2,FALSE)),"",VLOOKUP(B299,Pricelist!A:D,2,FALSE))</f>
        <v/>
      </c>
      <c r="D299" s="134" t="str">
        <f>IF(ISNA(VLOOKUP(B299,Pricelist!A:D,2,FALSE)),"",VLOOKUP(B299,Pricelist!A:D,4,FALSE))</f>
        <v/>
      </c>
    </row>
    <row r="300" spans="2:4">
      <c r="B300" s="270"/>
      <c r="C300" s="369" t="str">
        <f>IF(ISNA(VLOOKUP(B300,Pricelist!A:D,2,FALSE)),"",VLOOKUP(B300,Pricelist!A:D,2,FALSE))</f>
        <v/>
      </c>
      <c r="D300" s="134" t="str">
        <f>IF(ISNA(VLOOKUP(B300,Pricelist!A:D,2,FALSE)),"",VLOOKUP(B300,Pricelist!A:D,4,FALSE))</f>
        <v/>
      </c>
    </row>
    <row r="301" spans="2:4">
      <c r="B301" s="270"/>
      <c r="C301" s="369" t="str">
        <f>IF(ISNA(VLOOKUP(B301,Pricelist!A:D,2,FALSE)),"",VLOOKUP(B301,Pricelist!A:D,2,FALSE))</f>
        <v/>
      </c>
      <c r="D301" s="134" t="str">
        <f>IF(ISNA(VLOOKUP(B301,Pricelist!A:D,2,FALSE)),"",VLOOKUP(B301,Pricelist!A:D,4,FALSE))</f>
        <v/>
      </c>
    </row>
    <row r="302" spans="2:4">
      <c r="B302" s="270"/>
      <c r="C302" s="369" t="str">
        <f>IF(ISNA(VLOOKUP(B302,Pricelist!A:D,2,FALSE)),"",VLOOKUP(B302,Pricelist!A:D,2,FALSE))</f>
        <v/>
      </c>
      <c r="D302" s="134" t="str">
        <f>IF(ISNA(VLOOKUP(B302,Pricelist!A:D,2,FALSE)),"",VLOOKUP(B302,Pricelist!A:D,4,FALSE))</f>
        <v/>
      </c>
    </row>
    <row r="303" spans="2:4">
      <c r="B303" s="270"/>
      <c r="C303" s="369" t="str">
        <f>IF(ISNA(VLOOKUP(B303,Pricelist!A:D,2,FALSE)),"",VLOOKUP(B303,Pricelist!A:D,2,FALSE))</f>
        <v/>
      </c>
      <c r="D303" s="134" t="str">
        <f>IF(ISNA(VLOOKUP(B303,Pricelist!A:D,2,FALSE)),"",VLOOKUP(B303,Pricelist!A:D,4,FALSE))</f>
        <v/>
      </c>
    </row>
    <row r="304" spans="2:4">
      <c r="B304" s="270"/>
      <c r="C304" s="369" t="str">
        <f>IF(ISNA(VLOOKUP(B304,Pricelist!A:D,2,FALSE)),"",VLOOKUP(B304,Pricelist!A:D,2,FALSE))</f>
        <v/>
      </c>
      <c r="D304" s="134" t="str">
        <f>IF(ISNA(VLOOKUP(B304,Pricelist!A:D,2,FALSE)),"",VLOOKUP(B304,Pricelist!A:D,4,FALSE))</f>
        <v/>
      </c>
    </row>
    <row r="305" spans="2:5">
      <c r="B305" s="270"/>
      <c r="C305" s="369" t="str">
        <f>IF(ISNA(VLOOKUP(B305,Pricelist!A:D,2,FALSE)),"",VLOOKUP(B305,Pricelist!A:D,2,FALSE))</f>
        <v/>
      </c>
      <c r="D305" s="134" t="str">
        <f>IF(ISNA(VLOOKUP(B305,Pricelist!A:D,2,FALSE)),"",VLOOKUP(B305,Pricelist!A:D,4,FALSE))</f>
        <v/>
      </c>
    </row>
    <row r="306" spans="2:5">
      <c r="B306" s="270"/>
      <c r="C306" s="369" t="str">
        <f>IF(ISNA(VLOOKUP(B306,Pricelist!A:D,2,FALSE)),"",VLOOKUP(B306,Pricelist!A:D,2,FALSE))</f>
        <v/>
      </c>
      <c r="D306" s="134" t="str">
        <f>IF(ISNA(VLOOKUP(B306,Pricelist!A:D,2,FALSE)),"",VLOOKUP(B306,Pricelist!A:D,4,FALSE))</f>
        <v/>
      </c>
    </row>
    <row r="307" spans="2:5">
      <c r="B307" s="270"/>
      <c r="C307" s="369" t="str">
        <f>IF(ISNA(VLOOKUP(B307,Pricelist!A:D,2,FALSE)),"",VLOOKUP(B307,Pricelist!A:D,2,FALSE))</f>
        <v/>
      </c>
      <c r="D307" s="134" t="str">
        <f>IF(ISNA(VLOOKUP(B307,Pricelist!A:D,2,FALSE)),"",VLOOKUP(B307,Pricelist!A:D,4,FALSE))</f>
        <v/>
      </c>
    </row>
    <row r="308" spans="2:5">
      <c r="B308" s="270"/>
      <c r="C308" s="369" t="str">
        <f>IF(ISNA(VLOOKUP(B308,Pricelist!A:D,2,FALSE)),"",VLOOKUP(B308,Pricelist!A:D,2,FALSE))</f>
        <v/>
      </c>
      <c r="D308" s="134" t="str">
        <f>IF(ISNA(VLOOKUP(B308,Pricelist!A:D,2,FALSE)),"",VLOOKUP(B308,Pricelist!A:D,4,FALSE))</f>
        <v/>
      </c>
    </row>
    <row r="309" spans="2:5">
      <c r="B309" s="270"/>
      <c r="C309" s="369" t="str">
        <f>IF(ISNA(VLOOKUP(B309,Pricelist!A:D,2,FALSE)),"",VLOOKUP(B309,Pricelist!A:D,2,FALSE))</f>
        <v/>
      </c>
      <c r="D309" s="134" t="str">
        <f>IF(ISNA(VLOOKUP(B309,Pricelist!A:D,2,FALSE)),"",VLOOKUP(B309,Pricelist!A:D,4,FALSE))</f>
        <v/>
      </c>
      <c r="E309" s="133" t="s">
        <v>1083</v>
      </c>
    </row>
    <row r="310" spans="2:5">
      <c r="B310" s="270"/>
      <c r="C310" s="369" t="str">
        <f>IF(ISNA(VLOOKUP(B310,Pricelist!A:D,2,FALSE)),"",VLOOKUP(B310,Pricelist!A:D,2,FALSE))</f>
        <v/>
      </c>
      <c r="D310" s="134" t="str">
        <f>IF(ISNA(VLOOKUP(B310,Pricelist!A:D,2,FALSE)),"",VLOOKUP(B310,Pricelist!A:D,4,FALSE))</f>
        <v/>
      </c>
    </row>
    <row r="311" spans="2:5">
      <c r="B311" s="270"/>
      <c r="C311" s="369" t="str">
        <f>IF(ISNA(VLOOKUP(B311,Pricelist!A:D,2,FALSE)),"",VLOOKUP(B311,Pricelist!A:D,2,FALSE))</f>
        <v/>
      </c>
      <c r="D311" s="134" t="str">
        <f>IF(ISNA(VLOOKUP(B311,Pricelist!A:D,2,FALSE)),"",VLOOKUP(B311,Pricelist!A:D,4,FALSE))</f>
        <v/>
      </c>
    </row>
    <row r="312" spans="2:5">
      <c r="B312" s="270"/>
      <c r="C312" s="369" t="str">
        <f>IF(ISNA(VLOOKUP(B312,Pricelist!A:D,2,FALSE)),"",VLOOKUP(B312,Pricelist!A:D,2,FALSE))</f>
        <v/>
      </c>
      <c r="D312" s="134" t="str">
        <f>IF(ISNA(VLOOKUP(B312,Pricelist!A:D,2,FALSE)),"",VLOOKUP(B312,Pricelist!A:D,4,FALSE))</f>
        <v/>
      </c>
    </row>
    <row r="313" spans="2:5">
      <c r="B313" s="270"/>
      <c r="C313" s="369" t="str">
        <f>IF(ISNA(VLOOKUP(B313,Pricelist!A:D,2,FALSE)),"",VLOOKUP(B313,Pricelist!A:D,2,FALSE))</f>
        <v/>
      </c>
      <c r="D313" s="134" t="str">
        <f>IF(ISNA(VLOOKUP(B313,Pricelist!A:D,2,FALSE)),"",VLOOKUP(B313,Pricelist!A:D,4,FALSE))</f>
        <v/>
      </c>
    </row>
    <row r="314" spans="2:5">
      <c r="B314" s="270"/>
      <c r="C314" s="369" t="str">
        <f>IF(ISNA(VLOOKUP(B314,Pricelist!A:D,2,FALSE)),"",VLOOKUP(B314,Pricelist!A:D,2,FALSE))</f>
        <v/>
      </c>
      <c r="D314" s="134" t="str">
        <f>IF(ISNA(VLOOKUP(B314,Pricelist!A:D,2,FALSE)),"",VLOOKUP(B314,Pricelist!A:D,4,FALSE))</f>
        <v/>
      </c>
    </row>
    <row r="315" spans="2:5">
      <c r="B315" s="270"/>
      <c r="C315" s="369" t="str">
        <f>IF(ISNA(VLOOKUP(B315,Pricelist!A:D,2,FALSE)),"",VLOOKUP(B315,Pricelist!A:D,2,FALSE))</f>
        <v/>
      </c>
      <c r="D315" s="134" t="str">
        <f>IF(ISNA(VLOOKUP(B315,Pricelist!A:D,2,FALSE)),"",VLOOKUP(B315,Pricelist!A:D,4,FALSE))</f>
        <v/>
      </c>
    </row>
    <row r="316" spans="2:5">
      <c r="B316" s="270"/>
      <c r="C316" s="369" t="str">
        <f>IF(ISNA(VLOOKUP(B316,Pricelist!A:D,2,FALSE)),"",VLOOKUP(B316,Pricelist!A:D,2,FALSE))</f>
        <v/>
      </c>
      <c r="D316" s="134" t="str">
        <f>IF(ISNA(VLOOKUP(B316,Pricelist!A:D,2,FALSE)),"",VLOOKUP(B316,Pricelist!A:D,4,FALSE))</f>
        <v/>
      </c>
    </row>
    <row r="317" spans="2:5">
      <c r="B317" s="270"/>
      <c r="C317" s="369" t="str">
        <f>IF(ISNA(VLOOKUP(B317,Pricelist!A:D,2,FALSE)),"",VLOOKUP(B317,Pricelist!A:D,2,FALSE))</f>
        <v/>
      </c>
      <c r="D317" s="134" t="str">
        <f>IF(ISNA(VLOOKUP(B317,Pricelist!A:D,2,FALSE)),"",VLOOKUP(B317,Pricelist!A:D,4,FALSE))</f>
        <v/>
      </c>
    </row>
    <row r="318" spans="2:5">
      <c r="B318" s="270"/>
      <c r="C318" s="369" t="str">
        <f>IF(ISNA(VLOOKUP(B318,Pricelist!A:D,2,FALSE)),"",VLOOKUP(B318,Pricelist!A:D,2,FALSE))</f>
        <v/>
      </c>
      <c r="D318" s="134" t="str">
        <f>IF(ISNA(VLOOKUP(B318,Pricelist!A:D,2,FALSE)),"",VLOOKUP(B318,Pricelist!A:D,4,FALSE))</f>
        <v/>
      </c>
    </row>
    <row r="319" spans="2:5">
      <c r="B319" s="270"/>
      <c r="C319" s="369" t="str">
        <f>IF(ISNA(VLOOKUP(B319,Pricelist!A:D,2,FALSE)),"",VLOOKUP(B319,Pricelist!A:D,2,FALSE))</f>
        <v/>
      </c>
      <c r="D319" s="134" t="str">
        <f>IF(ISNA(VLOOKUP(B319,Pricelist!A:D,2,FALSE)),"",VLOOKUP(B319,Pricelist!A:D,4,FALSE))</f>
        <v/>
      </c>
    </row>
    <row r="320" spans="2:5">
      <c r="B320" s="270"/>
      <c r="C320" s="369" t="str">
        <f>IF(ISNA(VLOOKUP(B320,Pricelist!A:D,2,FALSE)),"",VLOOKUP(B320,Pricelist!A:D,2,FALSE))</f>
        <v/>
      </c>
      <c r="D320" s="134" t="str">
        <f>IF(ISNA(VLOOKUP(B320,Pricelist!A:D,2,FALSE)),"",VLOOKUP(B320,Pricelist!A:D,4,FALSE))</f>
        <v/>
      </c>
    </row>
    <row r="321" spans="2:4">
      <c r="B321" s="270"/>
      <c r="C321" s="369" t="str">
        <f>IF(ISNA(VLOOKUP(B321,Pricelist!A:D,2,FALSE)),"",VLOOKUP(B321,Pricelist!A:D,2,FALSE))</f>
        <v/>
      </c>
      <c r="D321" s="134" t="str">
        <f>IF(ISNA(VLOOKUP(B321,Pricelist!A:D,2,FALSE)),"",VLOOKUP(B321,Pricelist!A:D,4,FALSE))</f>
        <v/>
      </c>
    </row>
    <row r="322" spans="2:4">
      <c r="B322" s="270"/>
      <c r="C322" s="369" t="str">
        <f>IF(ISNA(VLOOKUP(B322,Pricelist!A:D,2,FALSE)),"",VLOOKUP(B322,Pricelist!A:D,2,FALSE))</f>
        <v/>
      </c>
      <c r="D322" s="134" t="str">
        <f>IF(ISNA(VLOOKUP(B322,Pricelist!A:D,2,FALSE)),"",VLOOKUP(B322,Pricelist!A:D,4,FALSE))</f>
        <v/>
      </c>
    </row>
    <row r="323" spans="2:4">
      <c r="B323" s="270"/>
      <c r="C323" s="369" t="str">
        <f>IF(ISNA(VLOOKUP(B323,Pricelist!A:D,2,FALSE)),"",VLOOKUP(B323,Pricelist!A:D,2,FALSE))</f>
        <v/>
      </c>
      <c r="D323" s="134" t="str">
        <f>IF(ISNA(VLOOKUP(B323,Pricelist!A:D,2,FALSE)),"",VLOOKUP(B323,Pricelist!A:D,4,FALSE))</f>
        <v/>
      </c>
    </row>
    <row r="324" spans="2:4">
      <c r="B324" s="270"/>
      <c r="C324" s="369" t="str">
        <f>IF(ISNA(VLOOKUP(B324,Pricelist!A:D,2,FALSE)),"",VLOOKUP(B324,Pricelist!A:D,2,FALSE))</f>
        <v/>
      </c>
      <c r="D324" s="134" t="str">
        <f>IF(ISNA(VLOOKUP(B324,Pricelist!A:D,2,FALSE)),"",VLOOKUP(B324,Pricelist!A:D,4,FALSE))</f>
        <v/>
      </c>
    </row>
    <row r="325" spans="2:4">
      <c r="B325" s="270"/>
      <c r="C325" s="369" t="str">
        <f>IF(ISNA(VLOOKUP(B325,Pricelist!A:D,2,FALSE)),"",VLOOKUP(B325,Pricelist!A:D,2,FALSE))</f>
        <v/>
      </c>
      <c r="D325" s="134" t="str">
        <f>IF(ISNA(VLOOKUP(B325,Pricelist!A:D,2,FALSE)),"",VLOOKUP(B325,Pricelist!A:D,4,FALSE))</f>
        <v/>
      </c>
    </row>
    <row r="326" spans="2:4">
      <c r="B326" s="270"/>
      <c r="C326" s="369" t="str">
        <f>IF(ISNA(VLOOKUP(B326,Pricelist!A:D,2,FALSE)),"",VLOOKUP(B326,Pricelist!A:D,2,FALSE))</f>
        <v/>
      </c>
      <c r="D326" s="134" t="str">
        <f>IF(ISNA(VLOOKUP(B326,Pricelist!A:D,2,FALSE)),"",VLOOKUP(B326,Pricelist!A:D,4,FALSE))</f>
        <v/>
      </c>
    </row>
    <row r="327" spans="2:4">
      <c r="B327" s="270"/>
      <c r="C327" s="369" t="str">
        <f>IF(ISNA(VLOOKUP(B327,Pricelist!A:D,2,FALSE)),"",VLOOKUP(B327,Pricelist!A:D,2,FALSE))</f>
        <v/>
      </c>
      <c r="D327" s="134" t="str">
        <f>IF(ISNA(VLOOKUP(B327,Pricelist!A:D,2,FALSE)),"",VLOOKUP(B327,Pricelist!A:D,4,FALSE))</f>
        <v/>
      </c>
    </row>
    <row r="328" spans="2:4">
      <c r="B328" s="270"/>
      <c r="C328" s="369" t="str">
        <f>IF(ISNA(VLOOKUP(B328,Pricelist!A:D,2,FALSE)),"",VLOOKUP(B328,Pricelist!A:D,2,FALSE))</f>
        <v/>
      </c>
      <c r="D328" s="134" t="str">
        <f>IF(ISNA(VLOOKUP(B328,Pricelist!A:D,2,FALSE)),"",VLOOKUP(B328,Pricelist!A:D,4,FALSE))</f>
        <v/>
      </c>
    </row>
    <row r="329" spans="2:4">
      <c r="B329" s="270"/>
      <c r="C329" s="369" t="str">
        <f>IF(ISNA(VLOOKUP(B329,Pricelist!A:D,2,FALSE)),"",VLOOKUP(B329,Pricelist!A:D,2,FALSE))</f>
        <v/>
      </c>
      <c r="D329" s="134" t="str">
        <f>IF(ISNA(VLOOKUP(B329,Pricelist!A:D,2,FALSE)),"",VLOOKUP(B329,Pricelist!A:D,4,FALSE))</f>
        <v/>
      </c>
    </row>
    <row r="330" spans="2:4">
      <c r="B330" s="270"/>
      <c r="C330" s="369" t="str">
        <f>IF(ISNA(VLOOKUP(B330,Pricelist!A:D,2,FALSE)),"",VLOOKUP(B330,Pricelist!A:D,2,FALSE))</f>
        <v/>
      </c>
      <c r="D330" s="134" t="str">
        <f>IF(ISNA(VLOOKUP(B330,Pricelist!A:D,2,FALSE)),"",VLOOKUP(B330,Pricelist!A:D,4,FALSE))</f>
        <v/>
      </c>
    </row>
    <row r="331" spans="2:4">
      <c r="B331" s="270"/>
      <c r="C331" s="369" t="str">
        <f>IF(ISNA(VLOOKUP(B331,Pricelist!A:D,2,FALSE)),"",VLOOKUP(B331,Pricelist!A:D,2,FALSE))</f>
        <v/>
      </c>
      <c r="D331" s="134" t="str">
        <f>IF(ISNA(VLOOKUP(B331,Pricelist!A:D,2,FALSE)),"",VLOOKUP(B331,Pricelist!A:D,4,FALSE))</f>
        <v/>
      </c>
    </row>
    <row r="332" spans="2:4">
      <c r="B332" s="270"/>
      <c r="C332" s="369" t="str">
        <f>IF(ISNA(VLOOKUP(B332,Pricelist!A:D,2,FALSE)),"",VLOOKUP(B332,Pricelist!A:D,2,FALSE))</f>
        <v/>
      </c>
      <c r="D332" s="134" t="str">
        <f>IF(ISNA(VLOOKUP(B332,Pricelist!A:D,2,FALSE)),"",VLOOKUP(B332,Pricelist!A:D,4,FALSE))</f>
        <v/>
      </c>
    </row>
    <row r="333" spans="2:4">
      <c r="B333" s="270"/>
      <c r="C333" s="369" t="str">
        <f>IF(ISNA(VLOOKUP(B333,Pricelist!A:D,2,FALSE)),"",VLOOKUP(B333,Pricelist!A:D,2,FALSE))</f>
        <v/>
      </c>
      <c r="D333" s="134" t="str">
        <f>IF(ISNA(VLOOKUP(B333,Pricelist!A:D,2,FALSE)),"",VLOOKUP(B333,Pricelist!A:D,4,FALSE))</f>
        <v/>
      </c>
    </row>
    <row r="334" spans="2:4">
      <c r="B334" s="270"/>
      <c r="C334" s="369" t="str">
        <f>IF(ISNA(VLOOKUP(B334,Pricelist!A:D,2,FALSE)),"",VLOOKUP(B334,Pricelist!A:D,2,FALSE))</f>
        <v/>
      </c>
      <c r="D334" s="134" t="str">
        <f>IF(ISNA(VLOOKUP(B334,Pricelist!A:D,2,FALSE)),"",VLOOKUP(B334,Pricelist!A:D,4,FALSE))</f>
        <v/>
      </c>
    </row>
    <row r="335" spans="2:4">
      <c r="B335" s="270"/>
      <c r="C335" s="369" t="str">
        <f>IF(ISNA(VLOOKUP(B335,Pricelist!A:D,2,FALSE)),"",VLOOKUP(B335,Pricelist!A:D,2,FALSE))</f>
        <v/>
      </c>
      <c r="D335" s="134" t="str">
        <f>IF(ISNA(VLOOKUP(B335,Pricelist!A:D,2,FALSE)),"",VLOOKUP(B335,Pricelist!A:D,4,FALSE))</f>
        <v/>
      </c>
    </row>
    <row r="336" spans="2:4">
      <c r="B336" s="270"/>
      <c r="C336" s="369" t="str">
        <f>IF(ISNA(VLOOKUP(B336,Pricelist!A:D,2,FALSE)),"",VLOOKUP(B336,Pricelist!A:D,2,FALSE))</f>
        <v/>
      </c>
      <c r="D336" s="134" t="str">
        <f>IF(ISNA(VLOOKUP(B336,Pricelist!A:D,2,FALSE)),"",VLOOKUP(B336,Pricelist!A:D,4,FALSE))</f>
        <v/>
      </c>
    </row>
    <row r="337" spans="2:4">
      <c r="B337" s="270"/>
      <c r="C337" s="369" t="str">
        <f>IF(ISNA(VLOOKUP(B337,Pricelist!A:D,2,FALSE)),"",VLOOKUP(B337,Pricelist!A:D,2,FALSE))</f>
        <v/>
      </c>
      <c r="D337" s="134" t="str">
        <f>IF(ISNA(VLOOKUP(B337,Pricelist!A:D,2,FALSE)),"",VLOOKUP(B337,Pricelist!A:D,4,FALSE))</f>
        <v/>
      </c>
    </row>
    <row r="338" spans="2:4">
      <c r="B338" s="270"/>
      <c r="C338" s="369" t="str">
        <f>IF(ISNA(VLOOKUP(B338,Pricelist!A:D,2,FALSE)),"",VLOOKUP(B338,Pricelist!A:D,2,FALSE))</f>
        <v/>
      </c>
      <c r="D338" s="134" t="str">
        <f>IF(ISNA(VLOOKUP(B338,Pricelist!A:D,2,FALSE)),"",VLOOKUP(B338,Pricelist!A:D,4,FALSE))</f>
        <v/>
      </c>
    </row>
    <row r="339" spans="2:4">
      <c r="B339" s="270"/>
      <c r="C339" s="369" t="str">
        <f>IF(ISNA(VLOOKUP(B339,Pricelist!A:D,2,FALSE)),"",VLOOKUP(B339,Pricelist!A:D,2,FALSE))</f>
        <v/>
      </c>
      <c r="D339" s="134" t="str">
        <f>IF(ISNA(VLOOKUP(B339,Pricelist!A:D,2,FALSE)),"",VLOOKUP(B339,Pricelist!A:D,4,FALSE))</f>
        <v/>
      </c>
    </row>
    <row r="340" spans="2:4">
      <c r="B340" s="270"/>
      <c r="C340" s="369" t="str">
        <f>IF(ISNA(VLOOKUP(B340,Pricelist!A:D,2,FALSE)),"",VLOOKUP(B340,Pricelist!A:D,2,FALSE))</f>
        <v/>
      </c>
      <c r="D340" s="134" t="str">
        <f>IF(ISNA(VLOOKUP(B340,Pricelist!A:D,2,FALSE)),"",VLOOKUP(B340,Pricelist!A:D,4,FALSE))</f>
        <v/>
      </c>
    </row>
    <row r="341" spans="2:4">
      <c r="B341" s="270"/>
      <c r="C341" s="369" t="str">
        <f>IF(ISNA(VLOOKUP(B341,Pricelist!A:D,2,FALSE)),"",VLOOKUP(B341,Pricelist!A:D,2,FALSE))</f>
        <v/>
      </c>
      <c r="D341" s="134" t="str">
        <f>IF(ISNA(VLOOKUP(B341,Pricelist!A:D,2,FALSE)),"",VLOOKUP(B341,Pricelist!A:D,4,FALSE))</f>
        <v/>
      </c>
    </row>
    <row r="342" spans="2:4">
      <c r="B342" s="270"/>
      <c r="C342" s="369" t="str">
        <f>IF(ISNA(VLOOKUP(B342,Pricelist!A:D,2,FALSE)),"",VLOOKUP(B342,Pricelist!A:D,2,FALSE))</f>
        <v/>
      </c>
      <c r="D342" s="134" t="str">
        <f>IF(ISNA(VLOOKUP(B342,Pricelist!A:D,2,FALSE)),"",VLOOKUP(B342,Pricelist!A:D,4,FALSE))</f>
        <v/>
      </c>
    </row>
    <row r="343" spans="2:4">
      <c r="B343" s="270"/>
      <c r="C343" s="369" t="str">
        <f>IF(ISNA(VLOOKUP(B343,Pricelist!A:D,2,FALSE)),"",VLOOKUP(B343,Pricelist!A:D,2,FALSE))</f>
        <v/>
      </c>
      <c r="D343" s="134" t="str">
        <f>IF(ISNA(VLOOKUP(B343,Pricelist!A:D,2,FALSE)),"",VLOOKUP(B343,Pricelist!A:D,4,FALSE))</f>
        <v/>
      </c>
    </row>
    <row r="344" spans="2:4">
      <c r="B344" s="270"/>
      <c r="C344" s="369" t="str">
        <f>IF(ISNA(VLOOKUP(B344,Pricelist!A:D,2,FALSE)),"",VLOOKUP(B344,Pricelist!A:D,2,FALSE))</f>
        <v/>
      </c>
      <c r="D344" s="134" t="str">
        <f>IF(ISNA(VLOOKUP(B344,Pricelist!A:D,2,FALSE)),"",VLOOKUP(B344,Pricelist!A:D,4,FALSE))</f>
        <v/>
      </c>
    </row>
    <row r="345" spans="2:4">
      <c r="B345" s="270"/>
      <c r="C345" s="369" t="str">
        <f>IF(ISNA(VLOOKUP(B345,Pricelist!A:D,2,FALSE)),"",VLOOKUP(B345,Pricelist!A:D,2,FALSE))</f>
        <v/>
      </c>
      <c r="D345" s="134" t="str">
        <f>IF(ISNA(VLOOKUP(B345,Pricelist!A:D,2,FALSE)),"",VLOOKUP(B345,Pricelist!A:D,4,FALSE))</f>
        <v/>
      </c>
    </row>
    <row r="346" spans="2:4">
      <c r="B346" s="270"/>
      <c r="C346" s="369" t="str">
        <f>IF(ISNA(VLOOKUP(B346,Pricelist!A:D,2,FALSE)),"",VLOOKUP(B346,Pricelist!A:D,2,FALSE))</f>
        <v/>
      </c>
      <c r="D346" s="134" t="str">
        <f>IF(ISNA(VLOOKUP(B346,Pricelist!A:D,2,FALSE)),"",VLOOKUP(B346,Pricelist!A:D,4,FALSE))</f>
        <v/>
      </c>
    </row>
    <row r="347" spans="2:4">
      <c r="B347" s="270"/>
      <c r="C347" s="369" t="str">
        <f>IF(ISNA(VLOOKUP(B347,Pricelist!A:D,2,FALSE)),"",VLOOKUP(B347,Pricelist!A:D,2,FALSE))</f>
        <v/>
      </c>
      <c r="D347" s="134" t="str">
        <f>IF(ISNA(VLOOKUP(B347,Pricelist!A:D,2,FALSE)),"",VLOOKUP(B347,Pricelist!A:D,4,FALSE))</f>
        <v/>
      </c>
    </row>
    <row r="348" spans="2:4">
      <c r="B348" s="270"/>
      <c r="C348" s="369" t="str">
        <f>IF(ISNA(VLOOKUP(B348,Pricelist!A:D,2,FALSE)),"",VLOOKUP(B348,Pricelist!A:D,2,FALSE))</f>
        <v/>
      </c>
      <c r="D348" s="134" t="str">
        <f>IF(ISNA(VLOOKUP(B348,Pricelist!A:D,2,FALSE)),"",VLOOKUP(B348,Pricelist!A:D,4,FALSE))</f>
        <v/>
      </c>
    </row>
    <row r="349" spans="2:4">
      <c r="B349" s="270"/>
      <c r="C349" s="369" t="str">
        <f>IF(ISNA(VLOOKUP(B349,Pricelist!A:D,2,FALSE)),"",VLOOKUP(B349,Pricelist!A:D,2,FALSE))</f>
        <v/>
      </c>
      <c r="D349" s="134" t="str">
        <f>IF(ISNA(VLOOKUP(B349,Pricelist!A:D,2,FALSE)),"",VLOOKUP(B349,Pricelist!A:D,4,FALSE))</f>
        <v/>
      </c>
    </row>
    <row r="350" spans="2:4">
      <c r="B350" s="270"/>
      <c r="C350" s="369" t="str">
        <f>IF(ISNA(VLOOKUP(B350,Pricelist!A:D,2,FALSE)),"",VLOOKUP(B350,Pricelist!A:D,2,FALSE))</f>
        <v/>
      </c>
      <c r="D350" s="134" t="str">
        <f>IF(ISNA(VLOOKUP(B350,Pricelist!A:D,2,FALSE)),"",VLOOKUP(B350,Pricelist!A:D,4,FALSE))</f>
        <v/>
      </c>
    </row>
    <row r="351" spans="2:4">
      <c r="B351" s="270"/>
      <c r="C351" s="369" t="str">
        <f>IF(ISNA(VLOOKUP(B351,Pricelist!A:D,2,FALSE)),"",VLOOKUP(B351,Pricelist!A:D,2,FALSE))</f>
        <v/>
      </c>
      <c r="D351" s="134" t="str">
        <f>IF(ISNA(VLOOKUP(B351,Pricelist!A:D,2,FALSE)),"",VLOOKUP(B351,Pricelist!A:D,4,FALSE))</f>
        <v/>
      </c>
    </row>
    <row r="352" spans="2:4">
      <c r="B352" s="270"/>
      <c r="C352" s="369" t="str">
        <f>IF(ISNA(VLOOKUP(B352,Pricelist!A:D,2,FALSE)),"",VLOOKUP(B352,Pricelist!A:D,2,FALSE))</f>
        <v/>
      </c>
      <c r="D352" s="134" t="str">
        <f>IF(ISNA(VLOOKUP(B352,Pricelist!A:D,2,FALSE)),"",VLOOKUP(B352,Pricelist!A:D,4,FALSE))</f>
        <v/>
      </c>
    </row>
    <row r="353" spans="2:4">
      <c r="B353" s="270"/>
      <c r="C353" s="369" t="str">
        <f>IF(ISNA(VLOOKUP(B353,Pricelist!A:D,2,FALSE)),"",VLOOKUP(B353,Pricelist!A:D,2,FALSE))</f>
        <v/>
      </c>
      <c r="D353" s="134" t="str">
        <f>IF(ISNA(VLOOKUP(B353,Pricelist!A:D,2,FALSE)),"",VLOOKUP(B353,Pricelist!A:D,4,FALSE))</f>
        <v/>
      </c>
    </row>
    <row r="354" spans="2:4">
      <c r="B354" s="270"/>
      <c r="C354" s="369" t="str">
        <f>IF(ISNA(VLOOKUP(B354,Pricelist!A:D,2,FALSE)),"",VLOOKUP(B354,Pricelist!A:D,2,FALSE))</f>
        <v/>
      </c>
      <c r="D354" s="134" t="str">
        <f>IF(ISNA(VLOOKUP(B354,Pricelist!A:D,2,FALSE)),"",VLOOKUP(B354,Pricelist!A:D,4,FALSE))</f>
        <v/>
      </c>
    </row>
    <row r="355" spans="2:4">
      <c r="B355" s="270"/>
      <c r="C355" s="369" t="str">
        <f>IF(ISNA(VLOOKUP(B355,Pricelist!A:D,2,FALSE)),"",VLOOKUP(B355,Pricelist!A:D,2,FALSE))</f>
        <v/>
      </c>
      <c r="D355" s="134" t="str">
        <f>IF(ISNA(VLOOKUP(B355,Pricelist!A:D,2,FALSE)),"",VLOOKUP(B355,Pricelist!A:D,4,FALSE))</f>
        <v/>
      </c>
    </row>
    <row r="356" spans="2:4">
      <c r="B356" s="270"/>
      <c r="C356" s="369" t="str">
        <f>IF(ISNA(VLOOKUP(B356,Pricelist!A:D,2,FALSE)),"",VLOOKUP(B356,Pricelist!A:D,2,FALSE))</f>
        <v/>
      </c>
      <c r="D356" s="134" t="str">
        <f>IF(ISNA(VLOOKUP(B356,Pricelist!A:D,2,FALSE)),"",VLOOKUP(B356,Pricelist!A:D,4,FALSE))</f>
        <v/>
      </c>
    </row>
    <row r="357" spans="2:4">
      <c r="B357" s="270"/>
      <c r="C357" s="369" t="str">
        <f>IF(ISNA(VLOOKUP(B357,Pricelist!A:D,2,FALSE)),"",VLOOKUP(B357,Pricelist!A:D,2,FALSE))</f>
        <v/>
      </c>
      <c r="D357" s="134" t="str">
        <f>IF(ISNA(VLOOKUP(B357,Pricelist!A:D,2,FALSE)),"",VLOOKUP(B357,Pricelist!A:D,4,FALSE))</f>
        <v/>
      </c>
    </row>
    <row r="358" spans="2:4">
      <c r="B358" s="270"/>
      <c r="C358" s="369" t="str">
        <f>IF(ISNA(VLOOKUP(B358,Pricelist!A:D,2,FALSE)),"",VLOOKUP(B358,Pricelist!A:D,2,FALSE))</f>
        <v/>
      </c>
      <c r="D358" s="134" t="str">
        <f>IF(ISNA(VLOOKUP(B358,Pricelist!A:D,2,FALSE)),"",VLOOKUP(B358,Pricelist!A:D,4,FALSE))</f>
        <v/>
      </c>
    </row>
    <row r="359" spans="2:4">
      <c r="B359" s="270"/>
      <c r="C359" s="369" t="str">
        <f>IF(ISNA(VLOOKUP(B359,Pricelist!A:D,2,FALSE)),"",VLOOKUP(B359,Pricelist!A:D,2,FALSE))</f>
        <v/>
      </c>
      <c r="D359" s="134" t="str">
        <f>IF(ISNA(VLOOKUP(B359,Pricelist!A:D,2,FALSE)),"",VLOOKUP(B359,Pricelist!A:D,4,FALSE))</f>
        <v/>
      </c>
    </row>
    <row r="360" spans="2:4">
      <c r="B360" s="270"/>
      <c r="C360" s="369" t="str">
        <f>IF(ISNA(VLOOKUP(B360,Pricelist!A:D,2,FALSE)),"",VLOOKUP(B360,Pricelist!A:D,2,FALSE))</f>
        <v/>
      </c>
      <c r="D360" s="134" t="str">
        <f>IF(ISNA(VLOOKUP(B360,Pricelist!A:D,2,FALSE)),"",VLOOKUP(B360,Pricelist!A:D,4,FALSE))</f>
        <v/>
      </c>
    </row>
    <row r="361" spans="2:4">
      <c r="B361" s="270"/>
      <c r="C361" s="369" t="str">
        <f>IF(ISNA(VLOOKUP(B361,Pricelist!A:D,2,FALSE)),"",VLOOKUP(B361,Pricelist!A:D,2,FALSE))</f>
        <v/>
      </c>
      <c r="D361" s="134" t="str">
        <f>IF(ISNA(VLOOKUP(B361,Pricelist!A:D,2,FALSE)),"",VLOOKUP(B361,Pricelist!A:D,4,FALSE))</f>
        <v/>
      </c>
    </row>
    <row r="362" spans="2:4">
      <c r="B362" s="270"/>
      <c r="C362" s="369" t="str">
        <f>IF(ISNA(VLOOKUP(B362,Pricelist!A:D,2,FALSE)),"",VLOOKUP(B362,Pricelist!A:D,2,FALSE))</f>
        <v/>
      </c>
      <c r="D362" s="134" t="str">
        <f>IF(ISNA(VLOOKUP(B362,Pricelist!A:D,2,FALSE)),"",VLOOKUP(B362,Pricelist!A:D,4,FALSE))</f>
        <v/>
      </c>
    </row>
    <row r="363" spans="2:4">
      <c r="B363" s="270"/>
      <c r="C363" s="369" t="str">
        <f>IF(ISNA(VLOOKUP(B363,Pricelist!A:D,2,FALSE)),"",VLOOKUP(B363,Pricelist!A:D,2,FALSE))</f>
        <v/>
      </c>
      <c r="D363" s="134" t="str">
        <f>IF(ISNA(VLOOKUP(B363,Pricelist!A:D,2,FALSE)),"",VLOOKUP(B363,Pricelist!A:D,4,FALSE))</f>
        <v/>
      </c>
    </row>
    <row r="364" spans="2:4">
      <c r="B364" s="270"/>
      <c r="C364" s="369" t="str">
        <f>IF(ISNA(VLOOKUP(B364,Pricelist!A:D,2,FALSE)),"",VLOOKUP(B364,Pricelist!A:D,2,FALSE))</f>
        <v/>
      </c>
      <c r="D364" s="134" t="str">
        <f>IF(ISNA(VLOOKUP(B364,Pricelist!A:D,2,FALSE)),"",VLOOKUP(B364,Pricelist!A:D,4,FALSE))</f>
        <v/>
      </c>
    </row>
    <row r="365" spans="2:4">
      <c r="B365" s="270"/>
      <c r="C365" s="369" t="str">
        <f>IF(ISNA(VLOOKUP(B365,Pricelist!A:D,2,FALSE)),"",VLOOKUP(B365,Pricelist!A:D,2,FALSE))</f>
        <v/>
      </c>
      <c r="D365" s="134" t="str">
        <f>IF(ISNA(VLOOKUP(B365,Pricelist!A:D,2,FALSE)),"",VLOOKUP(B365,Pricelist!A:D,4,FALSE))</f>
        <v/>
      </c>
    </row>
    <row r="366" spans="2:4">
      <c r="B366" s="270"/>
      <c r="C366" s="369" t="str">
        <f>IF(ISNA(VLOOKUP(B366,Pricelist!A:D,2,FALSE)),"",VLOOKUP(B366,Pricelist!A:D,2,FALSE))</f>
        <v/>
      </c>
      <c r="D366" s="134" t="str">
        <f>IF(ISNA(VLOOKUP(B366,Pricelist!A:D,2,FALSE)),"",VLOOKUP(B366,Pricelist!A:D,4,FALSE))</f>
        <v/>
      </c>
    </row>
    <row r="367" spans="2:4">
      <c r="B367" s="270"/>
      <c r="C367" s="369" t="str">
        <f>IF(ISNA(VLOOKUP(B367,Pricelist!A:D,2,FALSE)),"",VLOOKUP(B367,Pricelist!A:D,2,FALSE))</f>
        <v/>
      </c>
      <c r="D367" s="134" t="str">
        <f>IF(ISNA(VLOOKUP(B367,Pricelist!A:D,2,FALSE)),"",VLOOKUP(B367,Pricelist!A:D,4,FALSE))</f>
        <v/>
      </c>
    </row>
    <row r="368" spans="2:4">
      <c r="B368" s="270"/>
      <c r="C368" s="369" t="str">
        <f>IF(ISNA(VLOOKUP(B368,Pricelist!A:D,2,FALSE)),"",VLOOKUP(B368,Pricelist!A:D,2,FALSE))</f>
        <v/>
      </c>
      <c r="D368" s="134" t="str">
        <f>IF(ISNA(VLOOKUP(B368,Pricelist!A:D,2,FALSE)),"",VLOOKUP(B368,Pricelist!A:D,4,FALSE))</f>
        <v/>
      </c>
    </row>
    <row r="369" spans="2:4">
      <c r="B369" s="270"/>
      <c r="C369" s="369" t="str">
        <f>IF(ISNA(VLOOKUP(B369,Pricelist!A:D,2,FALSE)),"",VLOOKUP(B369,Pricelist!A:D,2,FALSE))</f>
        <v/>
      </c>
      <c r="D369" s="134" t="str">
        <f>IF(ISNA(VLOOKUP(B369,Pricelist!A:D,2,FALSE)),"",VLOOKUP(B369,Pricelist!A:D,4,FALSE))</f>
        <v/>
      </c>
    </row>
    <row r="370" spans="2:4">
      <c r="B370" s="270"/>
      <c r="C370" s="369" t="str">
        <f>IF(ISNA(VLOOKUP(B370,Pricelist!A:D,2,FALSE)),"",VLOOKUP(B370,Pricelist!A:D,2,FALSE))</f>
        <v/>
      </c>
      <c r="D370" s="134" t="str">
        <f>IF(ISNA(VLOOKUP(B370,Pricelist!A:D,2,FALSE)),"",VLOOKUP(B370,Pricelist!A:D,4,FALSE))</f>
        <v/>
      </c>
    </row>
    <row r="371" spans="2:4">
      <c r="B371" s="270"/>
      <c r="C371" s="369" t="str">
        <f>IF(ISNA(VLOOKUP(B371,Pricelist!A:D,2,FALSE)),"",VLOOKUP(B371,Pricelist!A:D,2,FALSE))</f>
        <v/>
      </c>
      <c r="D371" s="134" t="str">
        <f>IF(ISNA(VLOOKUP(B371,Pricelist!A:D,2,FALSE)),"",VLOOKUP(B371,Pricelist!A:D,4,FALSE))</f>
        <v/>
      </c>
    </row>
    <row r="372" spans="2:4">
      <c r="B372" s="270"/>
      <c r="C372" s="369" t="str">
        <f>IF(ISNA(VLOOKUP(B372,Pricelist!A:D,2,FALSE)),"",VLOOKUP(B372,Pricelist!A:D,2,FALSE))</f>
        <v/>
      </c>
      <c r="D372" s="134" t="str">
        <f>IF(ISNA(VLOOKUP(B372,Pricelist!A:D,2,FALSE)),"",VLOOKUP(B372,Pricelist!A:D,4,FALSE))</f>
        <v/>
      </c>
    </row>
    <row r="373" spans="2:4">
      <c r="B373" s="270"/>
      <c r="C373" s="369" t="str">
        <f>IF(ISNA(VLOOKUP(B373,Pricelist!A:D,2,FALSE)),"",VLOOKUP(B373,Pricelist!A:D,2,FALSE))</f>
        <v/>
      </c>
      <c r="D373" s="134" t="str">
        <f>IF(ISNA(VLOOKUP(B373,Pricelist!A:D,2,FALSE)),"",VLOOKUP(B373,Pricelist!A:D,4,FALSE))</f>
        <v/>
      </c>
    </row>
    <row r="374" spans="2:4">
      <c r="B374" s="270"/>
      <c r="C374" s="369" t="str">
        <f>IF(ISNA(VLOOKUP(B374,Pricelist!A:D,2,FALSE)),"",VLOOKUP(B374,Pricelist!A:D,2,FALSE))</f>
        <v/>
      </c>
      <c r="D374" s="134" t="str">
        <f>IF(ISNA(VLOOKUP(B374,Pricelist!A:D,2,FALSE)),"",VLOOKUP(B374,Pricelist!A:D,4,FALSE))</f>
        <v/>
      </c>
    </row>
    <row r="375" spans="2:4">
      <c r="B375" s="270"/>
      <c r="C375" s="369" t="str">
        <f>IF(ISNA(VLOOKUP(B375,Pricelist!A:D,2,FALSE)),"",VLOOKUP(B375,Pricelist!A:D,2,FALSE))</f>
        <v/>
      </c>
      <c r="D375" s="134" t="str">
        <f>IF(ISNA(VLOOKUP(B375,Pricelist!A:D,2,FALSE)),"",VLOOKUP(B375,Pricelist!A:D,4,FALSE))</f>
        <v/>
      </c>
    </row>
    <row r="376" spans="2:4">
      <c r="B376" s="270"/>
      <c r="C376" s="369" t="str">
        <f>IF(ISNA(VLOOKUP(B376,Pricelist!A:D,2,FALSE)),"",VLOOKUP(B376,Pricelist!A:D,2,FALSE))</f>
        <v/>
      </c>
      <c r="D376" s="134" t="str">
        <f>IF(ISNA(VLOOKUP(B376,Pricelist!A:D,2,FALSE)),"",VLOOKUP(B376,Pricelist!A:D,4,FALSE))</f>
        <v/>
      </c>
    </row>
    <row r="377" spans="2:4">
      <c r="B377" s="270"/>
      <c r="C377" s="369" t="str">
        <f>IF(ISNA(VLOOKUP(B377,Pricelist!A:D,2,FALSE)),"",VLOOKUP(B377,Pricelist!A:D,2,FALSE))</f>
        <v/>
      </c>
      <c r="D377" s="134" t="str">
        <f>IF(ISNA(VLOOKUP(B377,Pricelist!A:D,2,FALSE)),"",VLOOKUP(B377,Pricelist!A:D,4,FALSE))</f>
        <v/>
      </c>
    </row>
    <row r="378" spans="2:4">
      <c r="B378" s="270"/>
      <c r="C378" s="369" t="str">
        <f>IF(ISNA(VLOOKUP(B378,Pricelist!A:D,2,FALSE)),"",VLOOKUP(B378,Pricelist!A:D,2,FALSE))</f>
        <v/>
      </c>
      <c r="D378" s="134" t="str">
        <f>IF(ISNA(VLOOKUP(B378,Pricelist!A:D,2,FALSE)),"",VLOOKUP(B378,Pricelist!A:D,4,FALSE))</f>
        <v/>
      </c>
    </row>
    <row r="379" spans="2:4">
      <c r="B379" s="270"/>
      <c r="C379" s="369" t="str">
        <f>IF(ISNA(VLOOKUP(B379,Pricelist!A:D,2,FALSE)),"",VLOOKUP(B379,Pricelist!A:D,2,FALSE))</f>
        <v/>
      </c>
      <c r="D379" s="134" t="str">
        <f>IF(ISNA(VLOOKUP(B379,Pricelist!A:D,2,FALSE)),"",VLOOKUP(B379,Pricelist!A:D,4,FALSE))</f>
        <v/>
      </c>
    </row>
    <row r="380" spans="2:4">
      <c r="B380" s="270"/>
      <c r="C380" s="369" t="str">
        <f>IF(ISNA(VLOOKUP(B380,Pricelist!A:D,2,FALSE)),"",VLOOKUP(B380,Pricelist!A:D,2,FALSE))</f>
        <v/>
      </c>
      <c r="D380" s="134" t="str">
        <f>IF(ISNA(VLOOKUP(B380,Pricelist!A:D,2,FALSE)),"",VLOOKUP(B380,Pricelist!A:D,4,FALSE))</f>
        <v/>
      </c>
    </row>
    <row r="381" spans="2:4">
      <c r="B381" s="270"/>
      <c r="C381" s="369" t="str">
        <f>IF(ISNA(VLOOKUP(B381,Pricelist!A:D,2,FALSE)),"",VLOOKUP(B381,Pricelist!A:D,2,FALSE))</f>
        <v/>
      </c>
      <c r="D381" s="134" t="str">
        <f>IF(ISNA(VLOOKUP(B381,Pricelist!A:D,2,FALSE)),"",VLOOKUP(B381,Pricelist!A:D,4,FALSE))</f>
        <v/>
      </c>
    </row>
    <row r="382" spans="2:4">
      <c r="B382" s="270"/>
      <c r="C382" s="369" t="str">
        <f>IF(ISNA(VLOOKUP(B382,Pricelist!A:D,2,FALSE)),"",VLOOKUP(B382,Pricelist!A:D,2,FALSE))</f>
        <v/>
      </c>
      <c r="D382" s="134" t="str">
        <f>IF(ISNA(VLOOKUP(B382,Pricelist!A:D,2,FALSE)),"",VLOOKUP(B382,Pricelist!A:D,4,FALSE))</f>
        <v/>
      </c>
    </row>
    <row r="383" spans="2:4">
      <c r="B383" s="270"/>
      <c r="C383" s="369" t="str">
        <f>IF(ISNA(VLOOKUP(B383,Pricelist!A:D,2,FALSE)),"",VLOOKUP(B383,Pricelist!A:D,2,FALSE))</f>
        <v/>
      </c>
      <c r="D383" s="134" t="str">
        <f>IF(ISNA(VLOOKUP(B383,Pricelist!A:D,2,FALSE)),"",VLOOKUP(B383,Pricelist!A:D,4,FALSE))</f>
        <v/>
      </c>
    </row>
    <row r="384" spans="2:4">
      <c r="B384" s="270"/>
      <c r="C384" s="369" t="str">
        <f>IF(ISNA(VLOOKUP(B384,Pricelist!A:D,2,FALSE)),"",VLOOKUP(B384,Pricelist!A:D,2,FALSE))</f>
        <v/>
      </c>
      <c r="D384" s="134" t="str">
        <f>IF(ISNA(VLOOKUP(B384,Pricelist!A:D,2,FALSE)),"",VLOOKUP(B384,Pricelist!A:D,4,FALSE))</f>
        <v/>
      </c>
    </row>
    <row r="385" spans="2:4">
      <c r="B385" s="270"/>
      <c r="C385" s="369" t="str">
        <f>IF(ISNA(VLOOKUP(B385,Pricelist!A:D,2,FALSE)),"",VLOOKUP(B385,Pricelist!A:D,2,FALSE))</f>
        <v/>
      </c>
      <c r="D385" s="134" t="str">
        <f>IF(ISNA(VLOOKUP(B385,Pricelist!A:D,2,FALSE)),"",VLOOKUP(B385,Pricelist!A:D,4,FALSE))</f>
        <v/>
      </c>
    </row>
    <row r="386" spans="2:4">
      <c r="B386" s="270"/>
      <c r="C386" s="369" t="str">
        <f>IF(ISNA(VLOOKUP(B386,Pricelist!A:D,2,FALSE)),"",VLOOKUP(B386,Pricelist!A:D,2,FALSE))</f>
        <v/>
      </c>
      <c r="D386" s="134" t="str">
        <f>IF(ISNA(VLOOKUP(B386,Pricelist!A:D,2,FALSE)),"",VLOOKUP(B386,Pricelist!A:D,4,FALSE))</f>
        <v/>
      </c>
    </row>
    <row r="387" spans="2:4">
      <c r="B387" s="270"/>
      <c r="C387" s="369" t="str">
        <f>IF(ISNA(VLOOKUP(B387,Pricelist!A:D,2,FALSE)),"",VLOOKUP(B387,Pricelist!A:D,2,FALSE))</f>
        <v/>
      </c>
      <c r="D387" s="134" t="str">
        <f>IF(ISNA(VLOOKUP(B387,Pricelist!A:D,2,FALSE)),"",VLOOKUP(B387,Pricelist!A:D,4,FALSE))</f>
        <v/>
      </c>
    </row>
    <row r="388" spans="2:4">
      <c r="B388" s="270"/>
      <c r="C388" s="369" t="str">
        <f>IF(ISNA(VLOOKUP(B388,Pricelist!A:D,2,FALSE)),"",VLOOKUP(B388,Pricelist!A:D,2,FALSE))</f>
        <v/>
      </c>
      <c r="D388" s="134" t="str">
        <f>IF(ISNA(VLOOKUP(B388,Pricelist!A:D,2,FALSE)),"",VLOOKUP(B388,Pricelist!A:D,4,FALSE))</f>
        <v/>
      </c>
    </row>
    <row r="389" spans="2:4">
      <c r="B389" s="270"/>
      <c r="C389" s="369" t="str">
        <f>IF(ISNA(VLOOKUP(B389,Pricelist!A:D,2,FALSE)),"",VLOOKUP(B389,Pricelist!A:D,2,FALSE))</f>
        <v/>
      </c>
      <c r="D389" s="134" t="str">
        <f>IF(ISNA(VLOOKUP(B389,Pricelist!A:D,2,FALSE)),"",VLOOKUP(B389,Pricelist!A:D,4,FALSE))</f>
        <v/>
      </c>
    </row>
    <row r="390" spans="2:4">
      <c r="B390" s="270"/>
      <c r="C390" s="369" t="str">
        <f>IF(ISNA(VLOOKUP(B390,Pricelist!A:D,2,FALSE)),"",VLOOKUP(B390,Pricelist!A:D,2,FALSE))</f>
        <v/>
      </c>
      <c r="D390" s="134" t="str">
        <f>IF(ISNA(VLOOKUP(B390,Pricelist!A:D,2,FALSE)),"",VLOOKUP(B390,Pricelist!A:D,4,FALSE))</f>
        <v/>
      </c>
    </row>
    <row r="391" spans="2:4">
      <c r="B391" s="270"/>
      <c r="C391" s="369" t="str">
        <f>IF(ISNA(VLOOKUP(B391,Pricelist!A:D,2,FALSE)),"",VLOOKUP(B391,Pricelist!A:D,2,FALSE))</f>
        <v/>
      </c>
      <c r="D391" s="134" t="str">
        <f>IF(ISNA(VLOOKUP(B391,Pricelist!A:D,2,FALSE)),"",VLOOKUP(B391,Pricelist!A:D,4,FALSE))</f>
        <v/>
      </c>
    </row>
    <row r="392" spans="2:4">
      <c r="B392" s="270"/>
      <c r="C392" s="369" t="str">
        <f>IF(ISNA(VLOOKUP(B392,Pricelist!A:D,2,FALSE)),"",VLOOKUP(B392,Pricelist!A:D,2,FALSE))</f>
        <v/>
      </c>
      <c r="D392" s="134" t="str">
        <f>IF(ISNA(VLOOKUP(B392,Pricelist!A:D,2,FALSE)),"",VLOOKUP(B392,Pricelist!A:D,4,FALSE))</f>
        <v/>
      </c>
    </row>
    <row r="393" spans="2:4">
      <c r="B393" s="270"/>
      <c r="C393" s="369" t="str">
        <f>IF(ISNA(VLOOKUP(B393,Pricelist!A:D,2,FALSE)),"",VLOOKUP(B393,Pricelist!A:D,2,FALSE))</f>
        <v/>
      </c>
      <c r="D393" s="134" t="str">
        <f>IF(ISNA(VLOOKUP(B393,Pricelist!A:D,2,FALSE)),"",VLOOKUP(B393,Pricelist!A:D,4,FALSE))</f>
        <v/>
      </c>
    </row>
    <row r="394" spans="2:4">
      <c r="B394" s="270"/>
      <c r="C394" s="369" t="str">
        <f>IF(ISNA(VLOOKUP(B394,Pricelist!A:D,2,FALSE)),"",VLOOKUP(B394,Pricelist!A:D,2,FALSE))</f>
        <v/>
      </c>
      <c r="D394" s="134" t="str">
        <f>IF(ISNA(VLOOKUP(B394,Pricelist!A:D,2,FALSE)),"",VLOOKUP(B394,Pricelist!A:D,4,FALSE))</f>
        <v/>
      </c>
    </row>
    <row r="395" spans="2:4">
      <c r="B395" s="270"/>
      <c r="C395" s="369" t="str">
        <f>IF(ISNA(VLOOKUP(B395,Pricelist!A:D,2,FALSE)),"",VLOOKUP(B395,Pricelist!A:D,2,FALSE))</f>
        <v/>
      </c>
      <c r="D395" s="134" t="str">
        <f>IF(ISNA(VLOOKUP(B395,Pricelist!A:D,2,FALSE)),"",VLOOKUP(B395,Pricelist!A:D,4,FALSE))</f>
        <v/>
      </c>
    </row>
    <row r="396" spans="2:4">
      <c r="B396" s="270"/>
      <c r="C396" s="369" t="str">
        <f>IF(ISNA(VLOOKUP(B396,Pricelist!A:D,2,FALSE)),"",VLOOKUP(B396,Pricelist!A:D,2,FALSE))</f>
        <v/>
      </c>
      <c r="D396" s="134" t="str">
        <f>IF(ISNA(VLOOKUP(B396,Pricelist!A:D,2,FALSE)),"",VLOOKUP(B396,Pricelist!A:D,4,FALSE))</f>
        <v/>
      </c>
    </row>
    <row r="397" spans="2:4">
      <c r="B397" s="270"/>
      <c r="C397" s="369" t="str">
        <f>IF(ISNA(VLOOKUP(B397,Pricelist!A:D,2,FALSE)),"",VLOOKUP(B397,Pricelist!A:D,2,FALSE))</f>
        <v/>
      </c>
      <c r="D397" s="134" t="str">
        <f>IF(ISNA(VLOOKUP(B397,Pricelist!A:D,2,FALSE)),"",VLOOKUP(B397,Pricelist!A:D,4,FALSE))</f>
        <v/>
      </c>
    </row>
    <row r="398" spans="2:4">
      <c r="B398" s="270"/>
      <c r="C398" s="369" t="str">
        <f>IF(ISNA(VLOOKUP(B398,Pricelist!A:D,2,FALSE)),"",VLOOKUP(B398,Pricelist!A:D,2,FALSE))</f>
        <v/>
      </c>
      <c r="D398" s="134" t="str">
        <f>IF(ISNA(VLOOKUP(B398,Pricelist!A:D,2,FALSE)),"",VLOOKUP(B398,Pricelist!A:D,4,FALSE))</f>
        <v/>
      </c>
    </row>
    <row r="399" spans="2:4">
      <c r="B399" s="270"/>
      <c r="C399" s="369" t="str">
        <f>IF(ISNA(VLOOKUP(B399,Pricelist!A:D,2,FALSE)),"",VLOOKUP(B399,Pricelist!A:D,2,FALSE))</f>
        <v/>
      </c>
      <c r="D399" s="134" t="str">
        <f>IF(ISNA(VLOOKUP(B399,Pricelist!A:D,2,FALSE)),"",VLOOKUP(B399,Pricelist!A:D,4,FALSE))</f>
        <v/>
      </c>
    </row>
    <row r="400" spans="2:4">
      <c r="B400" s="270"/>
      <c r="C400" s="369" t="str">
        <f>IF(ISNA(VLOOKUP(B400,Pricelist!A:D,2,FALSE)),"",VLOOKUP(B400,Pricelist!A:D,2,FALSE))</f>
        <v/>
      </c>
      <c r="D400" s="134" t="str">
        <f>IF(ISNA(VLOOKUP(B400,Pricelist!A:D,2,FALSE)),"",VLOOKUP(B400,Pricelist!A:D,4,FALSE))</f>
        <v/>
      </c>
    </row>
    <row r="401" spans="1:4">
      <c r="B401" s="270"/>
      <c r="C401" s="369" t="str">
        <f>IF(ISNA(VLOOKUP(B401,Pricelist!A:D,2,FALSE)),"",VLOOKUP(B401,Pricelist!A:D,2,FALSE))</f>
        <v/>
      </c>
      <c r="D401" s="134" t="str">
        <f>IF(ISNA(VLOOKUP(B401,Pricelist!A:D,2,FALSE)),"",VLOOKUP(B401,Pricelist!A:D,4,FALSE))</f>
        <v/>
      </c>
    </row>
    <row r="402" spans="1:4">
      <c r="B402" s="270"/>
      <c r="C402" s="369" t="str">
        <f>IF(ISNA(VLOOKUP(B402,Pricelist!A:D,2,FALSE)),"",VLOOKUP(B402,Pricelist!A:D,2,FALSE))</f>
        <v/>
      </c>
      <c r="D402" s="134" t="str">
        <f>IF(ISNA(VLOOKUP(B402,Pricelist!A:D,2,FALSE)),"",VLOOKUP(B402,Pricelist!A:D,4,FALSE))</f>
        <v/>
      </c>
    </row>
    <row r="403" spans="1:4">
      <c r="B403" s="270"/>
      <c r="C403" s="369" t="str">
        <f>IF(ISNA(VLOOKUP(B403,Pricelist!A:D,2,FALSE)),"",VLOOKUP(B403,Pricelist!A:D,2,FALSE))</f>
        <v/>
      </c>
      <c r="D403" s="134" t="str">
        <f>IF(ISNA(VLOOKUP(B403,Pricelist!A:D,2,FALSE)),"",VLOOKUP(B403,Pricelist!A:D,4,FALSE))</f>
        <v/>
      </c>
    </row>
    <row r="404" spans="1:4">
      <c r="B404" s="270"/>
      <c r="C404" s="369" t="str">
        <f>IF(ISNA(VLOOKUP(B404,Pricelist!A:D,2,FALSE)),"",VLOOKUP(B404,Pricelist!A:D,2,FALSE))</f>
        <v/>
      </c>
      <c r="D404" s="134" t="str">
        <f>IF(ISNA(VLOOKUP(B404,Pricelist!A:D,2,FALSE)),"",VLOOKUP(B404,Pricelist!A:D,4,FALSE))</f>
        <v/>
      </c>
    </row>
    <row r="405" spans="1:4">
      <c r="A405" s="133" t="s">
        <v>498</v>
      </c>
      <c r="B405" s="270"/>
      <c r="C405" s="369" t="str">
        <f>IF(ISNA(VLOOKUP(B405,Pricelist!A:D,2,FALSE)),"",VLOOKUP(B405,Pricelist!A:D,2,FALSE))</f>
        <v/>
      </c>
      <c r="D405" s="134" t="str">
        <f>IF(ISNA(VLOOKUP(B405,Pricelist!A:D,2,FALSE)),"",VLOOKUP(B405,Pricelist!A:D,4,FALSE))</f>
        <v/>
      </c>
    </row>
    <row r="406" spans="1:4">
      <c r="A406" s="133">
        <f>COUNTA(B405:B448)</f>
        <v>0</v>
      </c>
      <c r="B406" s="270"/>
      <c r="C406" s="369" t="str">
        <f>IF(ISNA(VLOOKUP(B406,Pricelist!A:D,2,FALSE)),"",VLOOKUP(B406,Pricelist!A:D,2,FALSE))</f>
        <v/>
      </c>
      <c r="D406" s="134" t="str">
        <f>IF(ISNA(VLOOKUP(B406,Pricelist!A:D,2,FALSE)),"",VLOOKUP(B406,Pricelist!A:D,4,FALSE))</f>
        <v/>
      </c>
    </row>
    <row r="407" spans="1:4">
      <c r="B407" s="270"/>
      <c r="C407" s="369" t="str">
        <f>IF(ISNA(VLOOKUP(B407,Pricelist!A:D,2,FALSE)),"",VLOOKUP(B407,Pricelist!A:D,2,FALSE))</f>
        <v/>
      </c>
      <c r="D407" s="134" t="str">
        <f>IF(ISNA(VLOOKUP(B407,Pricelist!A:D,2,FALSE)),"",VLOOKUP(B407,Pricelist!A:D,4,FALSE))</f>
        <v/>
      </c>
    </row>
    <row r="408" spans="1:4">
      <c r="B408" s="270"/>
      <c r="C408" s="369" t="str">
        <f>IF(ISNA(VLOOKUP(B408,Pricelist!A:D,2,FALSE)),"",VLOOKUP(B408,Pricelist!A:D,2,FALSE))</f>
        <v/>
      </c>
      <c r="D408" s="134" t="str">
        <f>IF(ISNA(VLOOKUP(B408,Pricelist!A:D,2,FALSE)),"",VLOOKUP(B408,Pricelist!A:D,4,FALSE))</f>
        <v/>
      </c>
    </row>
    <row r="409" spans="1:4">
      <c r="B409" s="270"/>
      <c r="C409" s="369" t="str">
        <f>IF(ISNA(VLOOKUP(B409,Pricelist!A:D,2,FALSE)),"",VLOOKUP(B409,Pricelist!A:D,2,FALSE))</f>
        <v/>
      </c>
      <c r="D409" s="134" t="str">
        <f>IF(ISNA(VLOOKUP(B409,Pricelist!A:D,2,FALSE)),"",VLOOKUP(B409,Pricelist!A:D,4,FALSE))</f>
        <v/>
      </c>
    </row>
    <row r="410" spans="1:4">
      <c r="B410" s="270"/>
      <c r="C410" s="369" t="str">
        <f>IF(ISNA(VLOOKUP(B410,Pricelist!A:D,2,FALSE)),"",VLOOKUP(B410,Pricelist!A:D,2,FALSE))</f>
        <v/>
      </c>
      <c r="D410" s="134" t="str">
        <f>IF(ISNA(VLOOKUP(B410,Pricelist!A:D,2,FALSE)),"",VLOOKUP(B410,Pricelist!A:D,4,FALSE))</f>
        <v/>
      </c>
    </row>
    <row r="411" spans="1:4">
      <c r="B411" s="270"/>
      <c r="C411" s="369" t="str">
        <f>IF(ISNA(VLOOKUP(B411,Pricelist!A:D,2,FALSE)),"",VLOOKUP(B411,Pricelist!A:D,2,FALSE))</f>
        <v/>
      </c>
      <c r="D411" s="134" t="str">
        <f>IF(ISNA(VLOOKUP(B411,Pricelist!A:D,2,FALSE)),"",VLOOKUP(B411,Pricelist!A:D,4,FALSE))</f>
        <v/>
      </c>
    </row>
    <row r="412" spans="1:4">
      <c r="B412" s="270"/>
      <c r="C412" s="369" t="str">
        <f>IF(ISNA(VLOOKUP(B412,Pricelist!A:D,2,FALSE)),"",VLOOKUP(B412,Pricelist!A:D,2,FALSE))</f>
        <v/>
      </c>
      <c r="D412" s="134" t="str">
        <f>IF(ISNA(VLOOKUP(B412,Pricelist!A:D,2,FALSE)),"",VLOOKUP(B412,Pricelist!A:D,4,FALSE))</f>
        <v/>
      </c>
    </row>
    <row r="413" spans="1:4">
      <c r="B413" s="270"/>
      <c r="C413" s="369" t="str">
        <f>IF(ISNA(VLOOKUP(B413,Pricelist!A:D,2,FALSE)),"",VLOOKUP(B413,Pricelist!A:D,2,FALSE))</f>
        <v/>
      </c>
      <c r="D413" s="134" t="str">
        <f>IF(ISNA(VLOOKUP(B413,Pricelist!A:D,2,FALSE)),"",VLOOKUP(B413,Pricelist!A:D,4,FALSE))</f>
        <v/>
      </c>
    </row>
    <row r="414" spans="1:4">
      <c r="B414" s="270"/>
      <c r="C414" s="369" t="str">
        <f>IF(ISNA(VLOOKUP(B414,Pricelist!A:D,2,FALSE)),"",VLOOKUP(B414,Pricelist!A:D,2,FALSE))</f>
        <v/>
      </c>
      <c r="D414" s="134" t="str">
        <f>IF(ISNA(VLOOKUP(B414,Pricelist!A:D,2,FALSE)),"",VLOOKUP(B414,Pricelist!A:D,4,FALSE))</f>
        <v/>
      </c>
    </row>
    <row r="415" spans="1:4">
      <c r="B415" s="270"/>
      <c r="C415" s="369" t="str">
        <f>IF(ISNA(VLOOKUP(B415,Pricelist!A:D,2,FALSE)),"",VLOOKUP(B415,Pricelist!A:D,2,FALSE))</f>
        <v/>
      </c>
      <c r="D415" s="134" t="str">
        <f>IF(ISNA(VLOOKUP(B415,Pricelist!A:D,2,FALSE)),"",VLOOKUP(B415,Pricelist!A:D,4,FALSE))</f>
        <v/>
      </c>
    </row>
    <row r="416" spans="1:4">
      <c r="B416" s="270"/>
      <c r="C416" s="369" t="str">
        <f>IF(ISNA(VLOOKUP(B416,Pricelist!A:D,2,FALSE)),"",VLOOKUP(B416,Pricelist!A:D,2,FALSE))</f>
        <v/>
      </c>
      <c r="D416" s="134" t="str">
        <f>IF(ISNA(VLOOKUP(B416,Pricelist!A:D,2,FALSE)),"",VLOOKUP(B416,Pricelist!A:D,4,FALSE))</f>
        <v/>
      </c>
    </row>
    <row r="417" spans="2:4">
      <c r="B417" s="270"/>
      <c r="C417" s="369" t="str">
        <f>IF(ISNA(VLOOKUP(B417,Pricelist!A:D,2,FALSE)),"",VLOOKUP(B417,Pricelist!A:D,2,FALSE))</f>
        <v/>
      </c>
      <c r="D417" s="134" t="str">
        <f>IF(ISNA(VLOOKUP(B417,Pricelist!A:D,2,FALSE)),"",VLOOKUP(B417,Pricelist!A:D,4,FALSE))</f>
        <v/>
      </c>
    </row>
    <row r="418" spans="2:4">
      <c r="B418" s="270"/>
      <c r="C418" s="369" t="str">
        <f>IF(ISNA(VLOOKUP(B418,Pricelist!A:D,2,FALSE)),"",VLOOKUP(B418,Pricelist!A:D,2,FALSE))</f>
        <v/>
      </c>
      <c r="D418" s="134" t="str">
        <f>IF(ISNA(VLOOKUP(B418,Pricelist!A:D,2,FALSE)),"",VLOOKUP(B418,Pricelist!A:D,4,FALSE))</f>
        <v/>
      </c>
    </row>
    <row r="419" spans="2:4">
      <c r="B419" s="270"/>
      <c r="C419" s="369" t="str">
        <f>IF(ISNA(VLOOKUP(B419,Pricelist!A:D,2,FALSE)),"",VLOOKUP(B419,Pricelist!A:D,2,FALSE))</f>
        <v/>
      </c>
      <c r="D419" s="134" t="str">
        <f>IF(ISNA(VLOOKUP(B419,Pricelist!A:D,2,FALSE)),"",VLOOKUP(B419,Pricelist!A:D,4,FALSE))</f>
        <v/>
      </c>
    </row>
    <row r="420" spans="2:4">
      <c r="B420" s="270"/>
      <c r="C420" s="369" t="str">
        <f>IF(ISNA(VLOOKUP(B420,Pricelist!A:D,2,FALSE)),"",VLOOKUP(B420,Pricelist!A:D,2,FALSE))</f>
        <v/>
      </c>
      <c r="D420" s="134" t="str">
        <f>IF(ISNA(VLOOKUP(B420,Pricelist!A:D,2,FALSE)),"",VLOOKUP(B420,Pricelist!A:D,4,FALSE))</f>
        <v/>
      </c>
    </row>
    <row r="421" spans="2:4">
      <c r="B421" s="270"/>
      <c r="C421" s="369" t="str">
        <f>IF(ISNA(VLOOKUP(B421,Pricelist!A:D,2,FALSE)),"",VLOOKUP(B421,Pricelist!A:D,2,FALSE))</f>
        <v/>
      </c>
      <c r="D421" s="134" t="str">
        <f>IF(ISNA(VLOOKUP(B421,Pricelist!A:D,2,FALSE)),"",VLOOKUP(B421,Pricelist!A:D,4,FALSE))</f>
        <v/>
      </c>
    </row>
    <row r="422" spans="2:4">
      <c r="B422" s="270"/>
      <c r="C422" s="369" t="str">
        <f>IF(ISNA(VLOOKUP(B422,Pricelist!A:D,2,FALSE)),"",VLOOKUP(B422,Pricelist!A:D,2,FALSE))</f>
        <v/>
      </c>
      <c r="D422" s="134" t="str">
        <f>IF(ISNA(VLOOKUP(B422,Pricelist!A:D,2,FALSE)),"",VLOOKUP(B422,Pricelist!A:D,4,FALSE))</f>
        <v/>
      </c>
    </row>
    <row r="423" spans="2:4">
      <c r="B423" s="270"/>
      <c r="C423" s="369" t="str">
        <f>IF(ISNA(VLOOKUP(B423,Pricelist!A:D,2,FALSE)),"",VLOOKUP(B423,Pricelist!A:D,2,FALSE))</f>
        <v/>
      </c>
      <c r="D423" s="134" t="str">
        <f>IF(ISNA(VLOOKUP(B423,Pricelist!A:D,2,FALSE)),"",VLOOKUP(B423,Pricelist!A:D,4,FALSE))</f>
        <v/>
      </c>
    </row>
    <row r="424" spans="2:4">
      <c r="B424" s="270"/>
      <c r="C424" s="369" t="str">
        <f>IF(ISNA(VLOOKUP(B424,Pricelist!A:D,2,FALSE)),"",VLOOKUP(B424,Pricelist!A:D,2,FALSE))</f>
        <v/>
      </c>
      <c r="D424" s="134" t="str">
        <f>IF(ISNA(VLOOKUP(B424,Pricelist!A:D,2,FALSE)),"",VLOOKUP(B424,Pricelist!A:D,4,FALSE))</f>
        <v/>
      </c>
    </row>
    <row r="425" spans="2:4">
      <c r="B425" s="270"/>
      <c r="C425" s="369" t="str">
        <f>IF(ISNA(VLOOKUP(B425,Pricelist!A:D,2,FALSE)),"",VLOOKUP(B425,Pricelist!A:D,2,FALSE))</f>
        <v/>
      </c>
      <c r="D425" s="134" t="str">
        <f>IF(ISNA(VLOOKUP(B425,Pricelist!A:D,2,FALSE)),"",VLOOKUP(B425,Pricelist!A:D,4,FALSE))</f>
        <v/>
      </c>
    </row>
    <row r="426" spans="2:4">
      <c r="B426" s="270"/>
      <c r="C426" s="369" t="str">
        <f>IF(ISNA(VLOOKUP(B426,Pricelist!A:D,2,FALSE)),"",VLOOKUP(B426,Pricelist!A:D,2,FALSE))</f>
        <v/>
      </c>
      <c r="D426" s="134" t="str">
        <f>IF(ISNA(VLOOKUP(B426,Pricelist!A:D,2,FALSE)),"",VLOOKUP(B426,Pricelist!A:D,4,FALSE))</f>
        <v/>
      </c>
    </row>
    <row r="427" spans="2:4">
      <c r="B427" s="270"/>
      <c r="C427" s="369" t="str">
        <f>IF(ISNA(VLOOKUP(B427,Pricelist!A:D,2,FALSE)),"",VLOOKUP(B427,Pricelist!A:D,2,FALSE))</f>
        <v/>
      </c>
      <c r="D427" s="134" t="str">
        <f>IF(ISNA(VLOOKUP(B427,Pricelist!A:D,2,FALSE)),"",VLOOKUP(B427,Pricelist!A:D,4,FALSE))</f>
        <v/>
      </c>
    </row>
    <row r="428" spans="2:4">
      <c r="B428" s="270"/>
      <c r="C428" s="369" t="str">
        <f>IF(ISNA(VLOOKUP(B428,Pricelist!A:D,2,FALSE)),"",VLOOKUP(B428,Pricelist!A:D,2,FALSE))</f>
        <v/>
      </c>
      <c r="D428" s="134" t="str">
        <f>IF(ISNA(VLOOKUP(B428,Pricelist!A:D,2,FALSE)),"",VLOOKUP(B428,Pricelist!A:D,4,FALSE))</f>
        <v/>
      </c>
    </row>
    <row r="429" spans="2:4">
      <c r="B429" s="270"/>
      <c r="C429" s="369" t="str">
        <f>IF(ISNA(VLOOKUP(B429,Pricelist!A:D,2,FALSE)),"",VLOOKUP(B429,Pricelist!A:D,2,FALSE))</f>
        <v/>
      </c>
      <c r="D429" s="134" t="str">
        <f>IF(ISNA(VLOOKUP(B429,Pricelist!A:D,2,FALSE)),"",VLOOKUP(B429,Pricelist!A:D,4,FALSE))</f>
        <v/>
      </c>
    </row>
    <row r="430" spans="2:4">
      <c r="B430" s="270"/>
      <c r="C430" s="369" t="str">
        <f>IF(ISNA(VLOOKUP(B430,Pricelist!A:D,2,FALSE)),"",VLOOKUP(B430,Pricelist!A:D,2,FALSE))</f>
        <v/>
      </c>
      <c r="D430" s="134" t="str">
        <f>IF(ISNA(VLOOKUP(B430,Pricelist!A:D,2,FALSE)),"",VLOOKUP(B430,Pricelist!A:D,4,FALSE))</f>
        <v/>
      </c>
    </row>
    <row r="431" spans="2:4">
      <c r="B431" s="270"/>
      <c r="C431" s="369" t="str">
        <f>IF(ISNA(VLOOKUP(B431,Pricelist!A:D,2,FALSE)),"",VLOOKUP(B431,Pricelist!A:D,2,FALSE))</f>
        <v/>
      </c>
      <c r="D431" s="134" t="str">
        <f>IF(ISNA(VLOOKUP(B431,Pricelist!A:D,2,FALSE)),"",VLOOKUP(B431,Pricelist!A:D,4,FALSE))</f>
        <v/>
      </c>
    </row>
    <row r="432" spans="2:4">
      <c r="B432" s="270"/>
      <c r="C432" s="369" t="str">
        <f>IF(ISNA(VLOOKUP(B432,Pricelist!A:D,2,FALSE)),"",VLOOKUP(B432,Pricelist!A:D,2,FALSE))</f>
        <v/>
      </c>
      <c r="D432" s="134" t="str">
        <f>IF(ISNA(VLOOKUP(B432,Pricelist!A:D,2,FALSE)),"",VLOOKUP(B432,Pricelist!A:D,4,FALSE))</f>
        <v/>
      </c>
    </row>
    <row r="433" spans="2:4">
      <c r="B433" s="270"/>
      <c r="C433" s="369" t="str">
        <f>IF(ISNA(VLOOKUP(B433,Pricelist!A:D,2,FALSE)),"",VLOOKUP(B433,Pricelist!A:D,2,FALSE))</f>
        <v/>
      </c>
      <c r="D433" s="134" t="str">
        <f>IF(ISNA(VLOOKUP(B433,Pricelist!A:D,2,FALSE)),"",VLOOKUP(B433,Pricelist!A:D,4,FALSE))</f>
        <v/>
      </c>
    </row>
    <row r="434" spans="2:4">
      <c r="B434" s="270"/>
      <c r="C434" s="369" t="str">
        <f>IF(ISNA(VLOOKUP(B434,Pricelist!A:D,2,FALSE)),"",VLOOKUP(B434,Pricelist!A:D,2,FALSE))</f>
        <v/>
      </c>
      <c r="D434" s="134" t="str">
        <f>IF(ISNA(VLOOKUP(B434,Pricelist!A:D,2,FALSE)),"",VLOOKUP(B434,Pricelist!A:D,4,FALSE))</f>
        <v/>
      </c>
    </row>
    <row r="435" spans="2:4">
      <c r="B435" s="270"/>
      <c r="C435" s="369" t="str">
        <f>IF(ISNA(VLOOKUP(B435,Pricelist!A:D,2,FALSE)),"",VLOOKUP(B435,Pricelist!A:D,2,FALSE))</f>
        <v/>
      </c>
      <c r="D435" s="134" t="str">
        <f>IF(ISNA(VLOOKUP(B435,Pricelist!A:D,2,FALSE)),"",VLOOKUP(B435,Pricelist!A:D,4,FALSE))</f>
        <v/>
      </c>
    </row>
    <row r="436" spans="2:4">
      <c r="B436" s="270"/>
      <c r="C436" s="369" t="str">
        <f>IF(ISNA(VLOOKUP(B436,Pricelist!A:D,2,FALSE)),"",VLOOKUP(B436,Pricelist!A:D,2,FALSE))</f>
        <v/>
      </c>
      <c r="D436" s="134" t="str">
        <f>IF(ISNA(VLOOKUP(B436,Pricelist!A:D,2,FALSE)),"",VLOOKUP(B436,Pricelist!A:D,4,FALSE))</f>
        <v/>
      </c>
    </row>
    <row r="437" spans="2:4">
      <c r="B437" s="270"/>
      <c r="C437" s="369" t="str">
        <f>IF(ISNA(VLOOKUP(B437,Pricelist!A:D,2,FALSE)),"",VLOOKUP(B437,Pricelist!A:D,2,FALSE))</f>
        <v/>
      </c>
      <c r="D437" s="134" t="str">
        <f>IF(ISNA(VLOOKUP(B437,Pricelist!A:D,2,FALSE)),"",VLOOKUP(B437,Pricelist!A:D,4,FALSE))</f>
        <v/>
      </c>
    </row>
    <row r="438" spans="2:4">
      <c r="B438" s="270"/>
      <c r="C438" s="369" t="str">
        <f>IF(ISNA(VLOOKUP(B438,Pricelist!A:D,2,FALSE)),"",VLOOKUP(B438,Pricelist!A:D,2,FALSE))</f>
        <v/>
      </c>
      <c r="D438" s="134" t="str">
        <f>IF(ISNA(VLOOKUP(B438,Pricelist!A:D,2,FALSE)),"",VLOOKUP(B438,Pricelist!A:D,4,FALSE))</f>
        <v/>
      </c>
    </row>
    <row r="439" spans="2:4">
      <c r="B439" s="270"/>
      <c r="C439" s="369" t="str">
        <f>IF(ISNA(VLOOKUP(B439,Pricelist!A:D,2,FALSE)),"",VLOOKUP(B439,Pricelist!A:D,2,FALSE))</f>
        <v/>
      </c>
      <c r="D439" s="134" t="str">
        <f>IF(ISNA(VLOOKUP(B439,Pricelist!A:D,2,FALSE)),"",VLOOKUP(B439,Pricelist!A:D,4,FALSE))</f>
        <v/>
      </c>
    </row>
    <row r="440" spans="2:4">
      <c r="B440" s="270"/>
      <c r="C440" s="369" t="str">
        <f>IF(ISNA(VLOOKUP(B440,Pricelist!A:D,2,FALSE)),"",VLOOKUP(B440,Pricelist!A:D,2,FALSE))</f>
        <v/>
      </c>
      <c r="D440" s="134" t="str">
        <f>IF(ISNA(VLOOKUP(B440,Pricelist!A:D,2,FALSE)),"",VLOOKUP(B440,Pricelist!A:D,4,FALSE))</f>
        <v/>
      </c>
    </row>
    <row r="441" spans="2:4">
      <c r="B441" s="270"/>
      <c r="C441" s="369" t="str">
        <f>IF(ISNA(VLOOKUP(B441,Pricelist!A:D,2,FALSE)),"",VLOOKUP(B441,Pricelist!A:D,2,FALSE))</f>
        <v/>
      </c>
      <c r="D441" s="134" t="str">
        <f>IF(ISNA(VLOOKUP(B441,Pricelist!A:D,2,FALSE)),"",VLOOKUP(B441,Pricelist!A:D,4,FALSE))</f>
        <v/>
      </c>
    </row>
    <row r="442" spans="2:4">
      <c r="B442" s="270"/>
      <c r="C442" s="369" t="str">
        <f>IF(ISNA(VLOOKUP(B442,Pricelist!A:D,2,FALSE)),"",VLOOKUP(B442,Pricelist!A:D,2,FALSE))</f>
        <v/>
      </c>
      <c r="D442" s="134" t="str">
        <f>IF(ISNA(VLOOKUP(B442,Pricelist!A:D,2,FALSE)),"",VLOOKUP(B442,Pricelist!A:D,4,FALSE))</f>
        <v/>
      </c>
    </row>
    <row r="443" spans="2:4">
      <c r="B443" s="270"/>
      <c r="C443" s="369" t="str">
        <f>IF(ISNA(VLOOKUP(B443,Pricelist!A:D,2,FALSE)),"",VLOOKUP(B443,Pricelist!A:D,2,FALSE))</f>
        <v/>
      </c>
      <c r="D443" s="134" t="str">
        <f>IF(ISNA(VLOOKUP(B443,Pricelist!A:D,2,FALSE)),"",VLOOKUP(B443,Pricelist!A:D,4,FALSE))</f>
        <v/>
      </c>
    </row>
    <row r="444" spans="2:4">
      <c r="B444" s="270"/>
      <c r="C444" s="369" t="str">
        <f>IF(ISNA(VLOOKUP(B444,Pricelist!A:D,2,FALSE)),"",VLOOKUP(B444,Pricelist!A:D,2,FALSE))</f>
        <v/>
      </c>
      <c r="D444" s="134" t="str">
        <f>IF(ISNA(VLOOKUP(B444,Pricelist!A:D,2,FALSE)),"",VLOOKUP(B444,Pricelist!A:D,4,FALSE))</f>
        <v/>
      </c>
    </row>
    <row r="445" spans="2:4">
      <c r="B445" s="270"/>
      <c r="C445" s="369" t="str">
        <f>IF(ISNA(VLOOKUP(B445,Pricelist!A:D,2,FALSE)),"",VLOOKUP(B445,Pricelist!A:D,2,FALSE))</f>
        <v/>
      </c>
      <c r="D445" s="134" t="str">
        <f>IF(ISNA(VLOOKUP(B445,Pricelist!A:D,2,FALSE)),"",VLOOKUP(B445,Pricelist!A:D,4,FALSE))</f>
        <v/>
      </c>
    </row>
    <row r="446" spans="2:4">
      <c r="B446" s="270"/>
      <c r="C446" s="369" t="str">
        <f>IF(ISNA(VLOOKUP(B446,Pricelist!A:D,2,FALSE)),"",VLOOKUP(B446,Pricelist!A:D,2,FALSE))</f>
        <v/>
      </c>
      <c r="D446" s="134" t="str">
        <f>IF(ISNA(VLOOKUP(B446,Pricelist!A:D,2,FALSE)),"",VLOOKUP(B446,Pricelist!A:D,4,FALSE))</f>
        <v/>
      </c>
    </row>
    <row r="447" spans="2:4">
      <c r="B447" s="270"/>
      <c r="C447" s="369" t="str">
        <f>IF(ISNA(VLOOKUP(B447,Pricelist!A:D,2,FALSE)),"",VLOOKUP(B447,Pricelist!A:D,2,FALSE))</f>
        <v/>
      </c>
      <c r="D447" s="134" t="str">
        <f>IF(ISNA(VLOOKUP(B447,Pricelist!A:D,2,FALSE)),"",VLOOKUP(B447,Pricelist!A:D,4,FALSE))</f>
        <v/>
      </c>
    </row>
    <row r="448" spans="2:4">
      <c r="B448" s="270"/>
      <c r="C448" s="369" t="str">
        <f>IF(ISNA(VLOOKUP(B448,Pricelist!A:D,2,FALSE)),"",VLOOKUP(B448,Pricelist!A:D,2,FALSE))</f>
        <v/>
      </c>
      <c r="D448" s="134" t="str">
        <f>IF(ISNA(VLOOKUP(B448,Pricelist!A:D,2,FALSE)),"",VLOOKUP(B448,Pricelist!A:D,4,FALSE))</f>
        <v/>
      </c>
    </row>
    <row r="449" spans="1:4">
      <c r="B449" s="270"/>
      <c r="C449" s="369" t="str">
        <f>IF(ISNA(VLOOKUP(B449,Pricelist!A:D,2,FALSE)),"",VLOOKUP(B449,Pricelist!A:D,2,FALSE))</f>
        <v/>
      </c>
      <c r="D449" s="134" t="str">
        <f>IF(ISNA(VLOOKUP(B449,Pricelist!A:D,2,FALSE)),"",VLOOKUP(B449,Pricelist!A:D,4,FALSE))</f>
        <v/>
      </c>
    </row>
    <row r="450" spans="1:4">
      <c r="B450" s="270"/>
      <c r="C450" s="369" t="str">
        <f>IF(ISNA(VLOOKUP(B450,Pricelist!A:D,2,FALSE)),"",VLOOKUP(B450,Pricelist!A:D,2,FALSE))</f>
        <v/>
      </c>
      <c r="D450" s="134" t="str">
        <f>IF(ISNA(VLOOKUP(B450,Pricelist!A:D,2,FALSE)),"",VLOOKUP(B450,Pricelist!A:D,4,FALSE))</f>
        <v/>
      </c>
    </row>
    <row r="451" spans="1:4">
      <c r="B451" s="270"/>
      <c r="C451" s="369" t="str">
        <f>IF(ISNA(VLOOKUP(B451,Pricelist!A:D,2,FALSE)),"",VLOOKUP(B451,Pricelist!A:D,2,FALSE))</f>
        <v/>
      </c>
      <c r="D451" s="134" t="str">
        <f>IF(ISNA(VLOOKUP(B451,Pricelist!A:D,2,FALSE)),"",VLOOKUP(B451,Pricelist!A:D,4,FALSE))</f>
        <v/>
      </c>
    </row>
    <row r="452" spans="1:4">
      <c r="B452" s="270"/>
      <c r="C452" s="369" t="str">
        <f>IF(ISNA(VLOOKUP(B452,Pricelist!A:D,2,FALSE)),"",VLOOKUP(B452,Pricelist!A:D,2,FALSE))</f>
        <v/>
      </c>
      <c r="D452" s="134" t="str">
        <f>IF(ISNA(VLOOKUP(B452,Pricelist!A:D,2,FALSE)),"",VLOOKUP(B452,Pricelist!A:D,4,FALSE))</f>
        <v/>
      </c>
    </row>
    <row r="453" spans="1:4">
      <c r="B453" s="270"/>
      <c r="C453" s="369" t="str">
        <f>IF(ISNA(VLOOKUP(B453,Pricelist!A:D,2,FALSE)),"",VLOOKUP(B453,Pricelist!A:D,2,FALSE))</f>
        <v/>
      </c>
      <c r="D453" s="134" t="str">
        <f>IF(ISNA(VLOOKUP(B453,Pricelist!A:D,2,FALSE)),"",VLOOKUP(B453,Pricelist!A:D,4,FALSE))</f>
        <v/>
      </c>
    </row>
    <row r="454" spans="1:4">
      <c r="B454" s="270"/>
      <c r="C454" s="369" t="str">
        <f>IF(ISNA(VLOOKUP(B454,Pricelist!A:D,2,FALSE)),"",VLOOKUP(B454,Pricelist!A:D,2,FALSE))</f>
        <v/>
      </c>
      <c r="D454" s="134" t="str">
        <f>IF(ISNA(VLOOKUP(B454,Pricelist!A:D,2,FALSE)),"",VLOOKUP(B454,Pricelist!A:D,4,FALSE))</f>
        <v/>
      </c>
    </row>
    <row r="455" spans="1:4">
      <c r="B455" s="270"/>
      <c r="C455" s="369" t="str">
        <f>IF(ISNA(VLOOKUP(B455,Pricelist!A:D,2,FALSE)),"",VLOOKUP(B455,Pricelist!A:D,2,FALSE))</f>
        <v/>
      </c>
      <c r="D455" s="134" t="str">
        <f>IF(ISNA(VLOOKUP(B455,Pricelist!A:D,2,FALSE)),"",VLOOKUP(B455,Pricelist!A:D,4,FALSE))</f>
        <v/>
      </c>
    </row>
    <row r="456" spans="1:4">
      <c r="B456" s="270"/>
      <c r="C456" s="369" t="str">
        <f>IF(ISNA(VLOOKUP(B456,Pricelist!A:D,2,FALSE)),"",VLOOKUP(B456,Pricelist!A:D,2,FALSE))</f>
        <v/>
      </c>
      <c r="D456" s="134" t="str">
        <f>IF(ISNA(VLOOKUP(B456,Pricelist!A:D,2,FALSE)),"",VLOOKUP(B456,Pricelist!A:D,4,FALSE))</f>
        <v/>
      </c>
    </row>
    <row r="457" spans="1:4">
      <c r="B457" s="270"/>
      <c r="C457" s="369" t="str">
        <f>IF(ISNA(VLOOKUP(B457,Pricelist!A:D,2,FALSE)),"",VLOOKUP(B457,Pricelist!A:D,2,FALSE))</f>
        <v/>
      </c>
      <c r="D457" s="134" t="str">
        <f>IF(ISNA(VLOOKUP(B457,Pricelist!A:D,2,FALSE)),"",VLOOKUP(B457,Pricelist!A:D,4,FALSE))</f>
        <v/>
      </c>
    </row>
    <row r="458" spans="1:4">
      <c r="B458" s="270"/>
      <c r="C458" s="369" t="str">
        <f>IF(ISNA(VLOOKUP(B458,Pricelist!A:D,2,FALSE)),"",VLOOKUP(B458,Pricelist!A:D,2,FALSE))</f>
        <v/>
      </c>
      <c r="D458" s="134" t="str">
        <f>IF(ISNA(VLOOKUP(B458,Pricelist!A:D,2,FALSE)),"",VLOOKUP(B458,Pricelist!A:D,4,FALSE))</f>
        <v/>
      </c>
    </row>
    <row r="459" spans="1:4">
      <c r="A459" s="133" t="s">
        <v>633</v>
      </c>
      <c r="B459" s="270"/>
      <c r="C459" s="369" t="str">
        <f>IF(ISNA(VLOOKUP(B459,Pricelist!A:D,2,FALSE)),"",VLOOKUP(B459,Pricelist!A:D,2,FALSE))</f>
        <v/>
      </c>
      <c r="D459" s="134" t="str">
        <f>IF(ISNA(VLOOKUP(B459,Pricelist!A:D,2,FALSE)),"",VLOOKUP(B459,Pricelist!A:D,4,FALSE))</f>
        <v/>
      </c>
    </row>
    <row r="460" spans="1:4">
      <c r="A460" s="133">
        <f>COUNTA(B449:B512)</f>
        <v>0</v>
      </c>
      <c r="B460" s="270"/>
      <c r="C460" s="369" t="str">
        <f>IF(ISNA(VLOOKUP(B460,Pricelist!A:D,2,FALSE)),"",VLOOKUP(B460,Pricelist!A:D,2,FALSE))</f>
        <v/>
      </c>
      <c r="D460" s="134" t="str">
        <f>IF(ISNA(VLOOKUP(B460,Pricelist!A:D,2,FALSE)),"",VLOOKUP(B460,Pricelist!A:D,4,FALSE))</f>
        <v/>
      </c>
    </row>
    <row r="461" spans="1:4">
      <c r="B461" s="270"/>
      <c r="C461" s="369" t="str">
        <f>IF(ISNA(VLOOKUP(B461,Pricelist!A:D,2,FALSE)),"",VLOOKUP(B461,Pricelist!A:D,2,FALSE))</f>
        <v/>
      </c>
      <c r="D461" s="134" t="str">
        <f>IF(ISNA(VLOOKUP(B461,Pricelist!A:D,2,FALSE)),"",VLOOKUP(B461,Pricelist!A:D,4,FALSE))</f>
        <v/>
      </c>
    </row>
    <row r="462" spans="1:4">
      <c r="B462" s="270"/>
      <c r="C462" s="369" t="str">
        <f>IF(ISNA(VLOOKUP(B462,Pricelist!A:D,2,FALSE)),"",VLOOKUP(B462,Pricelist!A:D,2,FALSE))</f>
        <v/>
      </c>
      <c r="D462" s="134" t="str">
        <f>IF(ISNA(VLOOKUP(B462,Pricelist!A:D,2,FALSE)),"",VLOOKUP(B462,Pricelist!A:D,4,FALSE))</f>
        <v/>
      </c>
    </row>
    <row r="463" spans="1:4">
      <c r="B463" s="270"/>
      <c r="C463" s="369" t="str">
        <f>IF(ISNA(VLOOKUP(B463,Pricelist!A:D,2,FALSE)),"",VLOOKUP(B463,Pricelist!A:D,2,FALSE))</f>
        <v/>
      </c>
      <c r="D463" s="134" t="str">
        <f>IF(ISNA(VLOOKUP(B463,Pricelist!A:D,2,FALSE)),"",VLOOKUP(B463,Pricelist!A:D,4,FALSE))</f>
        <v/>
      </c>
    </row>
    <row r="464" spans="1:4">
      <c r="B464" s="270"/>
      <c r="C464" s="369" t="str">
        <f>IF(ISNA(VLOOKUP(B464,Pricelist!A:D,2,FALSE)),"",VLOOKUP(B464,Pricelist!A:D,2,FALSE))</f>
        <v/>
      </c>
      <c r="D464" s="134" t="str">
        <f>IF(ISNA(VLOOKUP(B464,Pricelist!A:D,2,FALSE)),"",VLOOKUP(B464,Pricelist!A:D,4,FALSE))</f>
        <v/>
      </c>
    </row>
    <row r="465" spans="2:4">
      <c r="B465" s="270"/>
      <c r="C465" s="369" t="str">
        <f>IF(ISNA(VLOOKUP(B465,Pricelist!A:D,2,FALSE)),"",VLOOKUP(B465,Pricelist!A:D,2,FALSE))</f>
        <v/>
      </c>
      <c r="D465" s="134" t="str">
        <f>IF(ISNA(VLOOKUP(B465,Pricelist!A:D,2,FALSE)),"",VLOOKUP(B465,Pricelist!A:D,4,FALSE))</f>
        <v/>
      </c>
    </row>
    <row r="466" spans="2:4">
      <c r="B466" s="270"/>
      <c r="C466" s="369" t="str">
        <f>IF(ISNA(VLOOKUP(B466,Pricelist!A:D,2,FALSE)),"",VLOOKUP(B466,Pricelist!A:D,2,FALSE))</f>
        <v/>
      </c>
      <c r="D466" s="134" t="str">
        <f>IF(ISNA(VLOOKUP(B466,Pricelist!A:D,2,FALSE)),"",VLOOKUP(B466,Pricelist!A:D,4,FALSE))</f>
        <v/>
      </c>
    </row>
    <row r="467" spans="2:4">
      <c r="B467" s="270"/>
      <c r="C467" s="369" t="str">
        <f>IF(ISNA(VLOOKUP(B467,Pricelist!A:D,2,FALSE)),"",VLOOKUP(B467,Pricelist!A:D,2,FALSE))</f>
        <v/>
      </c>
      <c r="D467" s="134" t="str">
        <f>IF(ISNA(VLOOKUP(B467,Pricelist!A:D,2,FALSE)),"",VLOOKUP(B467,Pricelist!A:D,4,FALSE))</f>
        <v/>
      </c>
    </row>
    <row r="468" spans="2:4">
      <c r="B468" s="270"/>
      <c r="C468" s="369" t="str">
        <f>IF(ISNA(VLOOKUP(B468,Pricelist!A:D,2,FALSE)),"",VLOOKUP(B468,Pricelist!A:D,2,FALSE))</f>
        <v/>
      </c>
      <c r="D468" s="134" t="str">
        <f>IF(ISNA(VLOOKUP(B468,Pricelist!A:D,2,FALSE)),"",VLOOKUP(B468,Pricelist!A:D,4,FALSE))</f>
        <v/>
      </c>
    </row>
    <row r="469" spans="2:4">
      <c r="B469" s="270"/>
      <c r="C469" s="369" t="str">
        <f>IF(ISNA(VLOOKUP(B469,Pricelist!A:D,2,FALSE)),"",VLOOKUP(B469,Pricelist!A:D,2,FALSE))</f>
        <v/>
      </c>
      <c r="D469" s="134" t="str">
        <f>IF(ISNA(VLOOKUP(B469,Pricelist!A:D,2,FALSE)),"",VLOOKUP(B469,Pricelist!A:D,4,FALSE))</f>
        <v/>
      </c>
    </row>
    <row r="470" spans="2:4">
      <c r="B470" s="270"/>
      <c r="C470" s="369" t="str">
        <f>IF(ISNA(VLOOKUP(B470,Pricelist!A:D,2,FALSE)),"",VLOOKUP(B470,Pricelist!A:D,2,FALSE))</f>
        <v/>
      </c>
      <c r="D470" s="134" t="str">
        <f>IF(ISNA(VLOOKUP(B470,Pricelist!A:D,2,FALSE)),"",VLOOKUP(B470,Pricelist!A:D,4,FALSE))</f>
        <v/>
      </c>
    </row>
    <row r="471" spans="2:4">
      <c r="B471" s="270"/>
      <c r="C471" s="369" t="str">
        <f>IF(ISNA(VLOOKUP(B471,Pricelist!A:D,2,FALSE)),"",VLOOKUP(B471,Pricelist!A:D,2,FALSE))</f>
        <v/>
      </c>
      <c r="D471" s="134" t="str">
        <f>IF(ISNA(VLOOKUP(B471,Pricelist!A:D,2,FALSE)),"",VLOOKUP(B471,Pricelist!A:D,4,FALSE))</f>
        <v/>
      </c>
    </row>
    <row r="472" spans="2:4">
      <c r="B472" s="270"/>
      <c r="C472" s="369" t="str">
        <f>IF(ISNA(VLOOKUP(B472,Pricelist!A:D,2,FALSE)),"",VLOOKUP(B472,Pricelist!A:D,2,FALSE))</f>
        <v/>
      </c>
      <c r="D472" s="134" t="str">
        <f>IF(ISNA(VLOOKUP(B472,Pricelist!A:D,2,FALSE)),"",VLOOKUP(B472,Pricelist!A:D,4,FALSE))</f>
        <v/>
      </c>
    </row>
    <row r="473" spans="2:4">
      <c r="B473" s="270"/>
      <c r="C473" s="369" t="str">
        <f>IF(ISNA(VLOOKUP(B473,Pricelist!A:D,2,FALSE)),"",VLOOKUP(B473,Pricelist!A:D,2,FALSE))</f>
        <v/>
      </c>
      <c r="D473" s="134" t="str">
        <f>IF(ISNA(VLOOKUP(B473,Pricelist!A:D,2,FALSE)),"",VLOOKUP(B473,Pricelist!A:D,4,FALSE))</f>
        <v/>
      </c>
    </row>
    <row r="474" spans="2:4">
      <c r="B474" s="270"/>
      <c r="C474" s="369" t="str">
        <f>IF(ISNA(VLOOKUP(B474,Pricelist!A:D,2,FALSE)),"",VLOOKUP(B474,Pricelist!A:D,2,FALSE))</f>
        <v/>
      </c>
      <c r="D474" s="134" t="str">
        <f>IF(ISNA(VLOOKUP(B474,Pricelist!A:D,2,FALSE)),"",VLOOKUP(B474,Pricelist!A:D,4,FALSE))</f>
        <v/>
      </c>
    </row>
    <row r="475" spans="2:4">
      <c r="B475" s="270"/>
      <c r="C475" s="369" t="str">
        <f>IF(ISNA(VLOOKUP(B475,Pricelist!A:D,2,FALSE)),"",VLOOKUP(B475,Pricelist!A:D,2,FALSE))</f>
        <v/>
      </c>
      <c r="D475" s="134" t="str">
        <f>IF(ISNA(VLOOKUP(B475,Pricelist!A:D,2,FALSE)),"",VLOOKUP(B475,Pricelist!A:D,4,FALSE))</f>
        <v/>
      </c>
    </row>
    <row r="476" spans="2:4">
      <c r="B476" s="270"/>
      <c r="C476" s="369" t="str">
        <f>IF(ISNA(VLOOKUP(B476,Pricelist!A:D,2,FALSE)),"",VLOOKUP(B476,Pricelist!A:D,2,FALSE))</f>
        <v/>
      </c>
      <c r="D476" s="134" t="str">
        <f>IF(ISNA(VLOOKUP(B476,Pricelist!A:D,2,FALSE)),"",VLOOKUP(B476,Pricelist!A:D,4,FALSE))</f>
        <v/>
      </c>
    </row>
    <row r="477" spans="2:4">
      <c r="B477" s="270"/>
      <c r="C477" s="369" t="str">
        <f>IF(ISNA(VLOOKUP(B477,Pricelist!A:D,2,FALSE)),"",VLOOKUP(B477,Pricelist!A:D,2,FALSE))</f>
        <v/>
      </c>
      <c r="D477" s="134" t="str">
        <f>IF(ISNA(VLOOKUP(B477,Pricelist!A:D,2,FALSE)),"",VLOOKUP(B477,Pricelist!A:D,4,FALSE))</f>
        <v/>
      </c>
    </row>
    <row r="478" spans="2:4">
      <c r="B478" s="270"/>
      <c r="C478" s="369" t="str">
        <f>IF(ISNA(VLOOKUP(B478,Pricelist!A:D,2,FALSE)),"",VLOOKUP(B478,Pricelist!A:D,2,FALSE))</f>
        <v/>
      </c>
      <c r="D478" s="134" t="str">
        <f>IF(ISNA(VLOOKUP(B478,Pricelist!A:D,2,FALSE)),"",VLOOKUP(B478,Pricelist!A:D,4,FALSE))</f>
        <v/>
      </c>
    </row>
    <row r="479" spans="2:4">
      <c r="B479" s="270"/>
      <c r="C479" s="369" t="str">
        <f>IF(ISNA(VLOOKUP(B479,Pricelist!A:D,2,FALSE)),"",VLOOKUP(B479,Pricelist!A:D,2,FALSE))</f>
        <v/>
      </c>
      <c r="D479" s="134" t="str">
        <f>IF(ISNA(VLOOKUP(B479,Pricelist!A:D,2,FALSE)),"",VLOOKUP(B479,Pricelist!A:D,4,FALSE))</f>
        <v/>
      </c>
    </row>
    <row r="480" spans="2:4">
      <c r="B480" s="270"/>
      <c r="C480" s="369" t="str">
        <f>IF(ISNA(VLOOKUP(B480,Pricelist!A:D,2,FALSE)),"",VLOOKUP(B480,Pricelist!A:D,2,FALSE))</f>
        <v/>
      </c>
      <c r="D480" s="134" t="str">
        <f>IF(ISNA(VLOOKUP(B480,Pricelist!A:D,2,FALSE)),"",VLOOKUP(B480,Pricelist!A:D,4,FALSE))</f>
        <v/>
      </c>
    </row>
    <row r="481" spans="2:4">
      <c r="B481" s="270"/>
      <c r="C481" s="369" t="str">
        <f>IF(ISNA(VLOOKUP(B481,Pricelist!A:D,2,FALSE)),"",VLOOKUP(B481,Pricelist!A:D,2,FALSE))</f>
        <v/>
      </c>
      <c r="D481" s="134" t="str">
        <f>IF(ISNA(VLOOKUP(B481,Pricelist!A:D,2,FALSE)),"",VLOOKUP(B481,Pricelist!A:D,4,FALSE))</f>
        <v/>
      </c>
    </row>
    <row r="482" spans="2:4">
      <c r="B482" s="270"/>
      <c r="C482" s="369" t="str">
        <f>IF(ISNA(VLOOKUP(B482,Pricelist!A:D,2,FALSE)),"",VLOOKUP(B482,Pricelist!A:D,2,FALSE))</f>
        <v/>
      </c>
      <c r="D482" s="134" t="str">
        <f>IF(ISNA(VLOOKUP(B482,Pricelist!A:D,2,FALSE)),"",VLOOKUP(B482,Pricelist!A:D,4,FALSE))</f>
        <v/>
      </c>
    </row>
    <row r="483" spans="2:4">
      <c r="B483" s="270"/>
      <c r="C483" s="369" t="str">
        <f>IF(ISNA(VLOOKUP(B483,Pricelist!A:D,2,FALSE)),"",VLOOKUP(B483,Pricelist!A:D,2,FALSE))</f>
        <v/>
      </c>
      <c r="D483" s="134" t="str">
        <f>IF(ISNA(VLOOKUP(B483,Pricelist!A:D,2,FALSE)),"",VLOOKUP(B483,Pricelist!A:D,4,FALSE))</f>
        <v/>
      </c>
    </row>
    <row r="484" spans="2:4">
      <c r="B484" s="270"/>
      <c r="C484" s="369" t="str">
        <f>IF(ISNA(VLOOKUP(B484,Pricelist!A:D,2,FALSE)),"",VLOOKUP(B484,Pricelist!A:D,2,FALSE))</f>
        <v/>
      </c>
      <c r="D484" s="134" t="str">
        <f>IF(ISNA(VLOOKUP(B484,Pricelist!A:D,2,FALSE)),"",VLOOKUP(B484,Pricelist!A:D,4,FALSE))</f>
        <v/>
      </c>
    </row>
    <row r="485" spans="2:4">
      <c r="B485" s="270"/>
      <c r="C485" s="369" t="str">
        <f>IF(ISNA(VLOOKUP(B485,Pricelist!A:D,2,FALSE)),"",VLOOKUP(B485,Pricelist!A:D,2,FALSE))</f>
        <v/>
      </c>
      <c r="D485" s="134" t="str">
        <f>IF(ISNA(VLOOKUP(B485,Pricelist!A:D,2,FALSE)),"",VLOOKUP(B485,Pricelist!A:D,4,FALSE))</f>
        <v/>
      </c>
    </row>
    <row r="486" spans="2:4">
      <c r="B486" s="270"/>
      <c r="C486" s="369" t="str">
        <f>IF(ISNA(VLOOKUP(B486,Pricelist!A:D,2,FALSE)),"",VLOOKUP(B486,Pricelist!A:D,2,FALSE))</f>
        <v/>
      </c>
      <c r="D486" s="134" t="str">
        <f>IF(ISNA(VLOOKUP(B486,Pricelist!A:D,2,FALSE)),"",VLOOKUP(B486,Pricelist!A:D,4,FALSE))</f>
        <v/>
      </c>
    </row>
    <row r="487" spans="2:4">
      <c r="B487" s="270"/>
      <c r="C487" s="369" t="str">
        <f>IF(ISNA(VLOOKUP(B487,Pricelist!A:D,2,FALSE)),"",VLOOKUP(B487,Pricelist!A:D,2,FALSE))</f>
        <v/>
      </c>
      <c r="D487" s="134" t="str">
        <f>IF(ISNA(VLOOKUP(B487,Pricelist!A:D,2,FALSE)),"",VLOOKUP(B487,Pricelist!A:D,4,FALSE))</f>
        <v/>
      </c>
    </row>
    <row r="488" spans="2:4">
      <c r="B488" s="270"/>
      <c r="C488" s="369" t="str">
        <f>IF(ISNA(VLOOKUP(B488,Pricelist!A:D,2,FALSE)),"",VLOOKUP(B488,Pricelist!A:D,2,FALSE))</f>
        <v/>
      </c>
      <c r="D488" s="134" t="str">
        <f>IF(ISNA(VLOOKUP(B488,Pricelist!A:D,2,FALSE)),"",VLOOKUP(B488,Pricelist!A:D,4,FALSE))</f>
        <v/>
      </c>
    </row>
    <row r="489" spans="2:4">
      <c r="B489" s="270"/>
      <c r="C489" s="369" t="str">
        <f>IF(ISNA(VLOOKUP(B489,Pricelist!A:D,2,FALSE)),"",VLOOKUP(B489,Pricelist!A:D,2,FALSE))</f>
        <v/>
      </c>
      <c r="D489" s="134" t="str">
        <f>IF(ISNA(VLOOKUP(B489,Pricelist!A:D,2,FALSE)),"",VLOOKUP(B489,Pricelist!A:D,4,FALSE))</f>
        <v/>
      </c>
    </row>
    <row r="490" spans="2:4">
      <c r="B490" s="270"/>
      <c r="C490" s="369" t="str">
        <f>IF(ISNA(VLOOKUP(B490,Pricelist!A:D,2,FALSE)),"",VLOOKUP(B490,Pricelist!A:D,2,FALSE))</f>
        <v/>
      </c>
      <c r="D490" s="134" t="str">
        <f>IF(ISNA(VLOOKUP(B490,Pricelist!A:D,2,FALSE)),"",VLOOKUP(B490,Pricelist!A:D,4,FALSE))</f>
        <v/>
      </c>
    </row>
    <row r="491" spans="2:4">
      <c r="B491" s="270"/>
      <c r="C491" s="369" t="str">
        <f>IF(ISNA(VLOOKUP(B491,Pricelist!A:D,2,FALSE)),"",VLOOKUP(B491,Pricelist!A:D,2,FALSE))</f>
        <v/>
      </c>
      <c r="D491" s="134" t="str">
        <f>IF(ISNA(VLOOKUP(B491,Pricelist!A:D,2,FALSE)),"",VLOOKUP(B491,Pricelist!A:D,4,FALSE))</f>
        <v/>
      </c>
    </row>
    <row r="492" spans="2:4">
      <c r="B492" s="270"/>
      <c r="C492" s="369" t="str">
        <f>IF(ISNA(VLOOKUP(B492,Pricelist!A:D,2,FALSE)),"",VLOOKUP(B492,Pricelist!A:D,2,FALSE))</f>
        <v/>
      </c>
      <c r="D492" s="134" t="str">
        <f>IF(ISNA(VLOOKUP(B492,Pricelist!A:D,2,FALSE)),"",VLOOKUP(B492,Pricelist!A:D,4,FALSE))</f>
        <v/>
      </c>
    </row>
    <row r="493" spans="2:4">
      <c r="B493" s="270"/>
      <c r="C493" s="369" t="str">
        <f>IF(ISNA(VLOOKUP(B493,Pricelist!A:D,2,FALSE)),"",VLOOKUP(B493,Pricelist!A:D,2,FALSE))</f>
        <v/>
      </c>
      <c r="D493" s="134" t="str">
        <f>IF(ISNA(VLOOKUP(B493,Pricelist!A:D,2,FALSE)),"",VLOOKUP(B493,Pricelist!A:D,4,FALSE))</f>
        <v/>
      </c>
    </row>
    <row r="494" spans="2:4">
      <c r="B494" s="270"/>
      <c r="C494" s="369" t="str">
        <f>IF(ISNA(VLOOKUP(B494,Pricelist!A:D,2,FALSE)),"",VLOOKUP(B494,Pricelist!A:D,2,FALSE))</f>
        <v/>
      </c>
      <c r="D494" s="134" t="str">
        <f>IF(ISNA(VLOOKUP(B494,Pricelist!A:D,2,FALSE)),"",VLOOKUP(B494,Pricelist!A:D,4,FALSE))</f>
        <v/>
      </c>
    </row>
    <row r="495" spans="2:4">
      <c r="B495" s="270"/>
      <c r="C495" s="369" t="str">
        <f>IF(ISNA(VLOOKUP(B495,Pricelist!A:D,2,FALSE)),"",VLOOKUP(B495,Pricelist!A:D,2,FALSE))</f>
        <v/>
      </c>
      <c r="D495" s="134" t="str">
        <f>IF(ISNA(VLOOKUP(B495,Pricelist!A:D,2,FALSE)),"",VLOOKUP(B495,Pricelist!A:D,4,FALSE))</f>
        <v/>
      </c>
    </row>
    <row r="496" spans="2:4">
      <c r="B496" s="270"/>
      <c r="C496" s="369" t="str">
        <f>IF(ISNA(VLOOKUP(B496,Pricelist!A:D,2,FALSE)),"",VLOOKUP(B496,Pricelist!A:D,2,FALSE))</f>
        <v/>
      </c>
      <c r="D496" s="134" t="str">
        <f>IF(ISNA(VLOOKUP(B496,Pricelist!A:D,2,FALSE)),"",VLOOKUP(B496,Pricelist!A:D,4,FALSE))</f>
        <v/>
      </c>
    </row>
    <row r="497" spans="1:4">
      <c r="B497" s="270"/>
      <c r="C497" s="369" t="str">
        <f>IF(ISNA(VLOOKUP(B497,Pricelist!A:D,2,FALSE)),"",VLOOKUP(B497,Pricelist!A:D,2,FALSE))</f>
        <v/>
      </c>
      <c r="D497" s="134" t="str">
        <f>IF(ISNA(VLOOKUP(B497,Pricelist!A:D,2,FALSE)),"",VLOOKUP(B497,Pricelist!A:D,4,FALSE))</f>
        <v/>
      </c>
    </row>
    <row r="498" spans="1:4">
      <c r="B498" s="270"/>
      <c r="C498" s="369" t="str">
        <f>IF(ISNA(VLOOKUP(B498,Pricelist!A:D,2,FALSE)),"",VLOOKUP(B498,Pricelist!A:D,2,FALSE))</f>
        <v/>
      </c>
      <c r="D498" s="134" t="str">
        <f>IF(ISNA(VLOOKUP(B498,Pricelist!A:D,2,FALSE)),"",VLOOKUP(B498,Pricelist!A:D,4,FALSE))</f>
        <v/>
      </c>
    </row>
    <row r="499" spans="1:4">
      <c r="B499" s="270"/>
      <c r="C499" s="369" t="str">
        <f>IF(ISNA(VLOOKUP(B499,Pricelist!A:D,2,FALSE)),"",VLOOKUP(B499,Pricelist!A:D,2,FALSE))</f>
        <v/>
      </c>
      <c r="D499" s="134" t="str">
        <f>IF(ISNA(VLOOKUP(B499,Pricelist!A:D,2,FALSE)),"",VLOOKUP(B499,Pricelist!A:D,4,FALSE))</f>
        <v/>
      </c>
    </row>
    <row r="500" spans="1:4">
      <c r="B500" s="270"/>
      <c r="C500" s="369" t="str">
        <f>IF(ISNA(VLOOKUP(B500,Pricelist!A:D,2,FALSE)),"",VLOOKUP(B500,Pricelist!A:D,2,FALSE))</f>
        <v/>
      </c>
      <c r="D500" s="134" t="str">
        <f>IF(ISNA(VLOOKUP(B500,Pricelist!A:D,2,FALSE)),"",VLOOKUP(B500,Pricelist!A:D,4,FALSE))</f>
        <v/>
      </c>
    </row>
    <row r="501" spans="1:4">
      <c r="B501" s="270"/>
      <c r="C501" s="369" t="str">
        <f>IF(ISNA(VLOOKUP(B501,Pricelist!A:D,2,FALSE)),"",VLOOKUP(B501,Pricelist!A:D,2,FALSE))</f>
        <v/>
      </c>
      <c r="D501" s="134" t="str">
        <f>IF(ISNA(VLOOKUP(B501,Pricelist!A:D,2,FALSE)),"",VLOOKUP(B501,Pricelist!A:D,4,FALSE))</f>
        <v/>
      </c>
    </row>
    <row r="502" spans="1:4">
      <c r="B502" s="270"/>
      <c r="C502" s="369" t="str">
        <f>IF(ISNA(VLOOKUP(B502,Pricelist!A:D,2,FALSE)),"",VLOOKUP(B502,Pricelist!A:D,2,FALSE))</f>
        <v/>
      </c>
      <c r="D502" s="134" t="str">
        <f>IF(ISNA(VLOOKUP(B502,Pricelist!A:D,2,FALSE)),"",VLOOKUP(B502,Pricelist!A:D,4,FALSE))</f>
        <v/>
      </c>
    </row>
    <row r="503" spans="1:4">
      <c r="B503" s="270"/>
      <c r="C503" s="369" t="str">
        <f>IF(ISNA(VLOOKUP(B503,Pricelist!A:D,2,FALSE)),"",VLOOKUP(B503,Pricelist!A:D,2,FALSE))</f>
        <v/>
      </c>
      <c r="D503" s="134" t="str">
        <f>IF(ISNA(VLOOKUP(B503,Pricelist!A:D,2,FALSE)),"",VLOOKUP(B503,Pricelist!A:D,4,FALSE))</f>
        <v/>
      </c>
    </row>
    <row r="504" spans="1:4">
      <c r="B504" s="270"/>
      <c r="C504" s="369" t="str">
        <f>IF(ISNA(VLOOKUP(B504,Pricelist!A:D,2,FALSE)),"",VLOOKUP(B504,Pricelist!A:D,2,FALSE))</f>
        <v/>
      </c>
      <c r="D504" s="134" t="str">
        <f>IF(ISNA(VLOOKUP(B504,Pricelist!A:D,2,FALSE)),"",VLOOKUP(B504,Pricelist!A:D,4,FALSE))</f>
        <v/>
      </c>
    </row>
    <row r="505" spans="1:4">
      <c r="B505" s="270"/>
      <c r="C505" s="369" t="str">
        <f>IF(ISNA(VLOOKUP(B505,Pricelist!A:D,2,FALSE)),"",VLOOKUP(B505,Pricelist!A:D,2,FALSE))</f>
        <v/>
      </c>
      <c r="D505" s="134" t="str">
        <f>IF(ISNA(VLOOKUP(B505,Pricelist!A:D,2,FALSE)),"",VLOOKUP(B505,Pricelist!A:D,4,FALSE))</f>
        <v/>
      </c>
    </row>
    <row r="506" spans="1:4">
      <c r="B506" s="270"/>
      <c r="C506" s="369" t="str">
        <f>IF(ISNA(VLOOKUP(B506,Pricelist!A:D,2,FALSE)),"",VLOOKUP(B506,Pricelist!A:D,2,FALSE))</f>
        <v/>
      </c>
      <c r="D506" s="134" t="str">
        <f>IF(ISNA(VLOOKUP(B506,Pricelist!A:D,2,FALSE)),"",VLOOKUP(B506,Pricelist!A:D,4,FALSE))</f>
        <v/>
      </c>
    </row>
    <row r="507" spans="1:4">
      <c r="B507" s="270"/>
      <c r="C507" s="369" t="str">
        <f>IF(ISNA(VLOOKUP(B507,Pricelist!A:D,2,FALSE)),"",VLOOKUP(B507,Pricelist!A:D,2,FALSE))</f>
        <v/>
      </c>
      <c r="D507" s="134" t="str">
        <f>IF(ISNA(VLOOKUP(B507,Pricelist!A:D,2,FALSE)),"",VLOOKUP(B507,Pricelist!A:D,4,FALSE))</f>
        <v/>
      </c>
    </row>
    <row r="508" spans="1:4">
      <c r="B508" s="270"/>
      <c r="C508" s="369" t="str">
        <f>IF(ISNA(VLOOKUP(B508,Pricelist!A:D,2,FALSE)),"",VLOOKUP(B508,Pricelist!A:D,2,FALSE))</f>
        <v/>
      </c>
      <c r="D508" s="134" t="str">
        <f>IF(ISNA(VLOOKUP(B508,Pricelist!A:D,2,FALSE)),"",VLOOKUP(B508,Pricelist!A:D,4,FALSE))</f>
        <v/>
      </c>
    </row>
    <row r="509" spans="1:4">
      <c r="B509" s="270"/>
      <c r="C509" s="369" t="str">
        <f>IF(ISNA(VLOOKUP(B509,Pricelist!A:D,2,FALSE)),"",VLOOKUP(B509,Pricelist!A:D,2,FALSE))</f>
        <v/>
      </c>
      <c r="D509" s="134" t="str">
        <f>IF(ISNA(VLOOKUP(B509,Pricelist!A:D,2,FALSE)),"",VLOOKUP(B509,Pricelist!A:D,4,FALSE))</f>
        <v/>
      </c>
    </row>
    <row r="510" spans="1:4">
      <c r="B510" s="270"/>
      <c r="C510" s="369" t="str">
        <f>IF(ISNA(VLOOKUP(B510,Pricelist!A:D,2,FALSE)),"",VLOOKUP(B510,Pricelist!A:D,2,FALSE))</f>
        <v/>
      </c>
      <c r="D510" s="134" t="str">
        <f>IF(ISNA(VLOOKUP(B510,Pricelist!A:D,2,FALSE)),"",VLOOKUP(B510,Pricelist!A:D,4,FALSE))</f>
        <v/>
      </c>
    </row>
    <row r="511" spans="1:4">
      <c r="A511" s="133" t="s">
        <v>1086</v>
      </c>
      <c r="B511" s="270"/>
      <c r="C511" s="369" t="str">
        <f>IF(ISNA(VLOOKUP(B511,Pricelist!A:D,2,FALSE)),"",VLOOKUP(B511,Pricelist!A:D,2,FALSE))</f>
        <v/>
      </c>
      <c r="D511" s="134" t="str">
        <f>IF(ISNA(VLOOKUP(B511,Pricelist!A:D,2,FALSE)),"",VLOOKUP(B511,Pricelist!A:D,4,FALSE))</f>
        <v/>
      </c>
    </row>
    <row r="512" spans="1:4">
      <c r="B512" s="270"/>
      <c r="C512" s="369" t="str">
        <f>IF(ISNA(VLOOKUP(B512,Pricelist!A:D,2,FALSE)),"",VLOOKUP(B512,Pricelist!A:D,2,FALSE))</f>
        <v/>
      </c>
      <c r="D512" s="134" t="str">
        <f>IF(ISNA(VLOOKUP(B512,Pricelist!A:D,2,FALSE)),"",VLOOKUP(B512,Pricelist!A:D,4,FALSE))</f>
        <v/>
      </c>
    </row>
    <row r="513" spans="2:4">
      <c r="B513" s="270"/>
      <c r="C513" s="369" t="str">
        <f>IF(ISNA(VLOOKUP(B513,Pricelist!A:D,2,FALSE)),"",VLOOKUP(B513,Pricelist!A:D,2,FALSE))</f>
        <v/>
      </c>
      <c r="D513" s="134" t="str">
        <f>IF(ISNA(VLOOKUP(B513,Pricelist!A:D,2,FALSE)),"",VLOOKUP(B513,Pricelist!A:D,4,FALSE))</f>
        <v/>
      </c>
    </row>
    <row r="514" spans="2:4">
      <c r="B514" s="270"/>
      <c r="C514" s="369" t="str">
        <f>IF(ISNA(VLOOKUP(B514,Pricelist!A:D,2,FALSE)),"",VLOOKUP(B514,Pricelist!A:D,2,FALSE))</f>
        <v/>
      </c>
      <c r="D514" s="134" t="str">
        <f>IF(ISNA(VLOOKUP(B514,Pricelist!A:D,2,FALSE)),"",VLOOKUP(B514,Pricelist!A:D,4,FALSE))</f>
        <v/>
      </c>
    </row>
    <row r="515" spans="2:4">
      <c r="B515" s="270"/>
      <c r="C515" s="369" t="str">
        <f>IF(ISNA(VLOOKUP(B515,Pricelist!A:D,2,FALSE)),"",VLOOKUP(B515,Pricelist!A:D,2,FALSE))</f>
        <v/>
      </c>
      <c r="D515" s="134" t="str">
        <f>IF(ISNA(VLOOKUP(B515,Pricelist!A:D,2,FALSE)),"",VLOOKUP(B515,Pricelist!A:D,4,FALSE))</f>
        <v/>
      </c>
    </row>
    <row r="516" spans="2:4">
      <c r="B516" s="270"/>
      <c r="C516" s="369" t="str">
        <f>IF(ISNA(VLOOKUP(B516,Pricelist!A:D,2,FALSE)),"",VLOOKUP(B516,Pricelist!A:D,2,FALSE))</f>
        <v/>
      </c>
      <c r="D516" s="134" t="str">
        <f>IF(ISNA(VLOOKUP(B516,Pricelist!A:D,2,FALSE)),"",VLOOKUP(B516,Pricelist!A:D,4,FALSE))</f>
        <v/>
      </c>
    </row>
    <row r="517" spans="2:4">
      <c r="B517" s="270"/>
      <c r="C517" s="369" t="str">
        <f>IF(ISNA(VLOOKUP(B517,Pricelist!A:D,2,FALSE)),"",VLOOKUP(B517,Pricelist!A:D,2,FALSE))</f>
        <v/>
      </c>
      <c r="D517" s="134" t="str">
        <f>IF(ISNA(VLOOKUP(B517,Pricelist!A:D,2,FALSE)),"",VLOOKUP(B517,Pricelist!A:D,4,FALSE))</f>
        <v/>
      </c>
    </row>
    <row r="518" spans="2:4">
      <c r="B518" s="270"/>
      <c r="C518" s="369" t="str">
        <f>IF(ISNA(VLOOKUP(B518,Pricelist!A:D,2,FALSE)),"",VLOOKUP(B518,Pricelist!A:D,2,FALSE))</f>
        <v/>
      </c>
      <c r="D518" s="134" t="str">
        <f>IF(ISNA(VLOOKUP(B518,Pricelist!A:D,2,FALSE)),"",VLOOKUP(B518,Pricelist!A:D,4,FALSE))</f>
        <v/>
      </c>
    </row>
    <row r="519" spans="2:4">
      <c r="B519" s="270"/>
      <c r="C519" s="369" t="str">
        <f>IF(ISNA(VLOOKUP(B519,Pricelist!A:D,2,FALSE)),"",VLOOKUP(B519,Pricelist!A:D,2,FALSE))</f>
        <v/>
      </c>
      <c r="D519" s="134" t="str">
        <f>IF(ISNA(VLOOKUP(B519,Pricelist!A:D,2,FALSE)),"",VLOOKUP(B519,Pricelist!A:D,4,FALSE))</f>
        <v/>
      </c>
    </row>
    <row r="520" spans="2:4">
      <c r="B520" s="270"/>
      <c r="C520" s="369" t="str">
        <f>IF(ISNA(VLOOKUP(B520,Pricelist!A:D,2,FALSE)),"",VLOOKUP(B520,Pricelist!A:D,2,FALSE))</f>
        <v/>
      </c>
      <c r="D520" s="134" t="str">
        <f>IF(ISNA(VLOOKUP(B520,Pricelist!A:D,2,FALSE)),"",VLOOKUP(B520,Pricelist!A:D,4,FALSE))</f>
        <v/>
      </c>
    </row>
    <row r="521" spans="2:4">
      <c r="B521" s="270"/>
      <c r="C521" s="369" t="str">
        <f>IF(ISNA(VLOOKUP(B521,Pricelist!A:D,2,FALSE)),"",VLOOKUP(B521,Pricelist!A:D,2,FALSE))</f>
        <v/>
      </c>
      <c r="D521" s="134" t="str">
        <f>IF(ISNA(VLOOKUP(B521,Pricelist!A:D,2,FALSE)),"",VLOOKUP(B521,Pricelist!A:D,4,FALSE))</f>
        <v/>
      </c>
    </row>
    <row r="522" spans="2:4">
      <c r="B522" s="270"/>
      <c r="C522" s="369" t="str">
        <f>IF(ISNA(VLOOKUP(B522,Pricelist!A:D,2,FALSE)),"",VLOOKUP(B522,Pricelist!A:D,2,FALSE))</f>
        <v/>
      </c>
      <c r="D522" s="134" t="str">
        <f>IF(ISNA(VLOOKUP(B522,Pricelist!A:D,2,FALSE)),"",VLOOKUP(B522,Pricelist!A:D,4,FALSE))</f>
        <v/>
      </c>
    </row>
    <row r="523" spans="2:4">
      <c r="B523" s="270"/>
      <c r="C523" s="369" t="str">
        <f>IF(ISNA(VLOOKUP(B523,Pricelist!A:D,2,FALSE)),"",VLOOKUP(B523,Pricelist!A:D,2,FALSE))</f>
        <v/>
      </c>
      <c r="D523" s="134" t="str">
        <f>IF(ISNA(VLOOKUP(B523,Pricelist!A:D,2,FALSE)),"",VLOOKUP(B523,Pricelist!A:D,4,FALSE))</f>
        <v/>
      </c>
    </row>
    <row r="524" spans="2:4">
      <c r="B524" s="270"/>
      <c r="C524" s="369" t="str">
        <f>IF(ISNA(VLOOKUP(B524,Pricelist!A:D,2,FALSE)),"",VLOOKUP(B524,Pricelist!A:D,2,FALSE))</f>
        <v/>
      </c>
      <c r="D524" s="134" t="str">
        <f>IF(ISNA(VLOOKUP(B524,Pricelist!A:D,2,FALSE)),"",VLOOKUP(B524,Pricelist!A:D,4,FALSE))</f>
        <v/>
      </c>
    </row>
    <row r="525" spans="2:4">
      <c r="B525" s="270"/>
      <c r="C525" s="369" t="str">
        <f>IF(ISNA(VLOOKUP(B525,Pricelist!A:D,2,FALSE)),"",VLOOKUP(B525,Pricelist!A:D,2,FALSE))</f>
        <v/>
      </c>
      <c r="D525" s="134" t="str">
        <f>IF(ISNA(VLOOKUP(B525,Pricelist!A:D,2,FALSE)),"",VLOOKUP(B525,Pricelist!A:D,4,FALSE))</f>
        <v/>
      </c>
    </row>
    <row r="526" spans="2:4">
      <c r="B526" s="270"/>
      <c r="C526" s="369" t="str">
        <f>IF(ISNA(VLOOKUP(B526,Pricelist!A:D,2,FALSE)),"",VLOOKUP(B526,Pricelist!A:D,2,FALSE))</f>
        <v/>
      </c>
      <c r="D526" s="134" t="str">
        <f>IF(ISNA(VLOOKUP(B526,Pricelist!A:D,2,FALSE)),"",VLOOKUP(B526,Pricelist!A:D,4,FALSE))</f>
        <v/>
      </c>
    </row>
    <row r="527" spans="2:4">
      <c r="B527" s="270"/>
      <c r="C527" s="369" t="str">
        <f>IF(ISNA(VLOOKUP(B527,Pricelist!A:D,2,FALSE)),"",VLOOKUP(B527,Pricelist!A:D,2,FALSE))</f>
        <v/>
      </c>
      <c r="D527" s="134" t="str">
        <f>IF(ISNA(VLOOKUP(B527,Pricelist!A:D,2,FALSE)),"",VLOOKUP(B527,Pricelist!A:D,4,FALSE))</f>
        <v/>
      </c>
    </row>
    <row r="528" spans="2:4">
      <c r="B528" s="270"/>
      <c r="C528" s="369" t="str">
        <f>IF(ISNA(VLOOKUP(B528,Pricelist!A:D,2,FALSE)),"",VLOOKUP(B528,Pricelist!A:D,2,FALSE))</f>
        <v/>
      </c>
      <c r="D528" s="134" t="str">
        <f>IF(ISNA(VLOOKUP(B528,Pricelist!A:D,2,FALSE)),"",VLOOKUP(B528,Pricelist!A:D,4,FALSE))</f>
        <v/>
      </c>
    </row>
    <row r="529" spans="2:4">
      <c r="B529" s="270"/>
      <c r="C529" s="369" t="str">
        <f>IF(ISNA(VLOOKUP(B529,Pricelist!A:D,2,FALSE)),"",VLOOKUP(B529,Pricelist!A:D,2,FALSE))</f>
        <v/>
      </c>
      <c r="D529" s="134" t="str">
        <f>IF(ISNA(VLOOKUP(B529,Pricelist!A:D,2,FALSE)),"",VLOOKUP(B529,Pricelist!A:D,4,FALSE))</f>
        <v/>
      </c>
    </row>
    <row r="530" spans="2:4">
      <c r="B530" s="270"/>
      <c r="C530" s="369" t="str">
        <f>IF(ISNA(VLOOKUP(B530,Pricelist!A:D,2,FALSE)),"",VLOOKUP(B530,Pricelist!A:D,2,FALSE))</f>
        <v/>
      </c>
      <c r="D530" s="134" t="str">
        <f>IF(ISNA(VLOOKUP(B530,Pricelist!A:D,2,FALSE)),"",VLOOKUP(B530,Pricelist!A:D,4,FALSE))</f>
        <v/>
      </c>
    </row>
    <row r="531" spans="2:4">
      <c r="B531" s="270"/>
      <c r="C531" s="369" t="str">
        <f>IF(ISNA(VLOOKUP(B531,Pricelist!A:D,2,FALSE)),"",VLOOKUP(B531,Pricelist!A:D,2,FALSE))</f>
        <v/>
      </c>
      <c r="D531" s="134" t="str">
        <f>IF(ISNA(VLOOKUP(B531,Pricelist!A:D,2,FALSE)),"",VLOOKUP(B531,Pricelist!A:D,4,FALSE))</f>
        <v/>
      </c>
    </row>
    <row r="532" spans="2:4">
      <c r="B532" s="270"/>
      <c r="C532" s="369" t="str">
        <f>IF(ISNA(VLOOKUP(B532,Pricelist!A:D,2,FALSE)),"",VLOOKUP(B532,Pricelist!A:D,2,FALSE))</f>
        <v/>
      </c>
      <c r="D532" s="134" t="str">
        <f>IF(ISNA(VLOOKUP(B532,Pricelist!A:D,2,FALSE)),"",VLOOKUP(B532,Pricelist!A:D,4,FALSE))</f>
        <v/>
      </c>
    </row>
    <row r="533" spans="2:4">
      <c r="B533" s="270"/>
      <c r="C533" s="369" t="str">
        <f>IF(ISNA(VLOOKUP(B533,Pricelist!A:D,2,FALSE)),"",VLOOKUP(B533,Pricelist!A:D,2,FALSE))</f>
        <v/>
      </c>
      <c r="D533" s="134" t="str">
        <f>IF(ISNA(VLOOKUP(B533,Pricelist!A:D,2,FALSE)),"",VLOOKUP(B533,Pricelist!A:D,4,FALSE))</f>
        <v/>
      </c>
    </row>
    <row r="534" spans="2:4">
      <c r="B534" s="270"/>
      <c r="C534" s="369" t="str">
        <f>IF(ISNA(VLOOKUP(B534,Pricelist!A:D,2,FALSE)),"",VLOOKUP(B534,Pricelist!A:D,2,FALSE))</f>
        <v/>
      </c>
      <c r="D534" s="134" t="str">
        <f>IF(ISNA(VLOOKUP(B534,Pricelist!A:D,2,FALSE)),"",VLOOKUP(B534,Pricelist!A:D,4,FALSE))</f>
        <v/>
      </c>
    </row>
    <row r="535" spans="2:4">
      <c r="B535" s="270"/>
      <c r="C535" s="369" t="str">
        <f>IF(ISNA(VLOOKUP(B535,Pricelist!A:D,2,FALSE)),"",VLOOKUP(B535,Pricelist!A:D,2,FALSE))</f>
        <v/>
      </c>
      <c r="D535" s="134" t="str">
        <f>IF(ISNA(VLOOKUP(B535,Pricelist!A:D,2,FALSE)),"",VLOOKUP(B535,Pricelist!A:D,4,FALSE))</f>
        <v/>
      </c>
    </row>
    <row r="536" spans="2:4">
      <c r="B536" s="270"/>
      <c r="C536" s="369" t="str">
        <f>IF(ISNA(VLOOKUP(B536,Pricelist!A:D,2,FALSE)),"",VLOOKUP(B536,Pricelist!A:D,2,FALSE))</f>
        <v/>
      </c>
      <c r="D536" s="134" t="str">
        <f>IF(ISNA(VLOOKUP(B536,Pricelist!A:D,2,FALSE)),"",VLOOKUP(B536,Pricelist!A:D,4,FALSE))</f>
        <v/>
      </c>
    </row>
    <row r="537" spans="2:4">
      <c r="B537" s="270"/>
      <c r="C537" s="369" t="str">
        <f>IF(ISNA(VLOOKUP(B537,Pricelist!A:D,2,FALSE)),"",VLOOKUP(B537,Pricelist!A:D,2,FALSE))</f>
        <v/>
      </c>
      <c r="D537" s="134" t="str">
        <f>IF(ISNA(VLOOKUP(B537,Pricelist!A:D,2,FALSE)),"",VLOOKUP(B537,Pricelist!A:D,4,FALSE))</f>
        <v/>
      </c>
    </row>
    <row r="538" spans="2:4">
      <c r="B538" s="270"/>
      <c r="C538" s="369" t="str">
        <f>IF(ISNA(VLOOKUP(B538,Pricelist!A:D,2,FALSE)),"",VLOOKUP(B538,Pricelist!A:D,2,FALSE))</f>
        <v/>
      </c>
      <c r="D538" s="134" t="str">
        <f>IF(ISNA(VLOOKUP(B538,Pricelist!A:D,2,FALSE)),"",VLOOKUP(B538,Pricelist!A:D,4,FALSE))</f>
        <v/>
      </c>
    </row>
    <row r="539" spans="2:4">
      <c r="B539" s="270"/>
      <c r="C539" s="369" t="str">
        <f>IF(ISNA(VLOOKUP(B539,Pricelist!A:D,2,FALSE)),"",VLOOKUP(B539,Pricelist!A:D,2,FALSE))</f>
        <v/>
      </c>
      <c r="D539" s="134" t="str">
        <f>IF(ISNA(VLOOKUP(B539,Pricelist!A:D,2,FALSE)),"",VLOOKUP(B539,Pricelist!A:D,4,FALSE))</f>
        <v/>
      </c>
    </row>
    <row r="540" spans="2:4">
      <c r="B540" s="270"/>
      <c r="C540" s="369" t="str">
        <f>IF(ISNA(VLOOKUP(B540,Pricelist!A:D,2,FALSE)),"",VLOOKUP(B540,Pricelist!A:D,2,FALSE))</f>
        <v/>
      </c>
      <c r="D540" s="134" t="str">
        <f>IF(ISNA(VLOOKUP(B540,Pricelist!A:D,2,FALSE)),"",VLOOKUP(B540,Pricelist!A:D,4,FALSE))</f>
        <v/>
      </c>
    </row>
    <row r="541" spans="2:4">
      <c r="B541" s="270"/>
      <c r="C541" s="369" t="str">
        <f>IF(ISNA(VLOOKUP(B541,Pricelist!A:D,2,FALSE)),"",VLOOKUP(B541,Pricelist!A:D,2,FALSE))</f>
        <v/>
      </c>
      <c r="D541" s="134" t="str">
        <f>IF(ISNA(VLOOKUP(B541,Pricelist!A:D,2,FALSE)),"",VLOOKUP(B541,Pricelist!A:D,4,FALSE))</f>
        <v/>
      </c>
    </row>
    <row r="542" spans="2:4">
      <c r="B542" s="270"/>
      <c r="C542" s="369" t="str">
        <f>IF(ISNA(VLOOKUP(B542,Pricelist!A:D,2,FALSE)),"",VLOOKUP(B542,Pricelist!A:D,2,FALSE))</f>
        <v/>
      </c>
      <c r="D542" s="134" t="str">
        <f>IF(ISNA(VLOOKUP(B542,Pricelist!A:D,2,FALSE)),"",VLOOKUP(B542,Pricelist!A:D,4,FALSE))</f>
        <v/>
      </c>
    </row>
    <row r="543" spans="2:4">
      <c r="B543" s="270"/>
      <c r="C543" s="369" t="str">
        <f>IF(ISNA(VLOOKUP(B543,Pricelist!A:D,2,FALSE)),"",VLOOKUP(B543,Pricelist!A:D,2,FALSE))</f>
        <v/>
      </c>
      <c r="D543" s="134" t="str">
        <f>IF(ISNA(VLOOKUP(B543,Pricelist!A:D,2,FALSE)),"",VLOOKUP(B543,Pricelist!A:D,4,FALSE))</f>
        <v/>
      </c>
    </row>
    <row r="544" spans="2:4">
      <c r="B544" s="270"/>
      <c r="C544" s="369" t="str">
        <f>IF(ISNA(VLOOKUP(B544,Pricelist!A:D,2,FALSE)),"",VLOOKUP(B544,Pricelist!A:D,2,FALSE))</f>
        <v/>
      </c>
      <c r="D544" s="134" t="str">
        <f>IF(ISNA(VLOOKUP(B544,Pricelist!A:D,2,FALSE)),"",VLOOKUP(B544,Pricelist!A:D,4,FALSE))</f>
        <v/>
      </c>
    </row>
    <row r="545" spans="2:4">
      <c r="B545" s="270"/>
      <c r="C545" s="369" t="str">
        <f>IF(ISNA(VLOOKUP(B545,Pricelist!A:D,2,FALSE)),"",VLOOKUP(B545,Pricelist!A:D,2,FALSE))</f>
        <v/>
      </c>
      <c r="D545" s="134" t="str">
        <f>IF(ISNA(VLOOKUP(B545,Pricelist!A:D,2,FALSE)),"",VLOOKUP(B545,Pricelist!A:D,4,FALSE))</f>
        <v/>
      </c>
    </row>
    <row r="546" spans="2:4">
      <c r="B546" s="270"/>
      <c r="C546" s="369" t="str">
        <f>IF(ISNA(VLOOKUP(B546,Pricelist!A:D,2,FALSE)),"",VLOOKUP(B546,Pricelist!A:D,2,FALSE))</f>
        <v/>
      </c>
      <c r="D546" s="134" t="str">
        <f>IF(ISNA(VLOOKUP(B546,Pricelist!A:D,2,FALSE)),"",VLOOKUP(B546,Pricelist!A:D,4,FALSE))</f>
        <v/>
      </c>
    </row>
    <row r="547" spans="2:4">
      <c r="B547" s="270"/>
      <c r="C547" s="369" t="str">
        <f>IF(ISNA(VLOOKUP(B547,Pricelist!A:D,2,FALSE)),"",VLOOKUP(B547,Pricelist!A:D,2,FALSE))</f>
        <v/>
      </c>
      <c r="D547" s="134" t="str">
        <f>IF(ISNA(VLOOKUP(B547,Pricelist!A:D,2,FALSE)),"",VLOOKUP(B547,Pricelist!A:D,4,FALSE))</f>
        <v/>
      </c>
    </row>
    <row r="548" spans="2:4">
      <c r="B548" s="270"/>
      <c r="C548" s="369" t="str">
        <f>IF(ISNA(VLOOKUP(B548,Pricelist!A:D,2,FALSE)),"",VLOOKUP(B548,Pricelist!A:D,2,FALSE))</f>
        <v/>
      </c>
      <c r="D548" s="134" t="str">
        <f>IF(ISNA(VLOOKUP(B548,Pricelist!A:D,2,FALSE)),"",VLOOKUP(B548,Pricelist!A:D,4,FALSE))</f>
        <v/>
      </c>
    </row>
    <row r="549" spans="2:4">
      <c r="B549" s="270"/>
      <c r="C549" s="369" t="str">
        <f>IF(ISNA(VLOOKUP(B549,Pricelist!A:D,2,FALSE)),"",VLOOKUP(B549,Pricelist!A:D,2,FALSE))</f>
        <v/>
      </c>
      <c r="D549" s="134" t="str">
        <f>IF(ISNA(VLOOKUP(B549,Pricelist!A:D,2,FALSE)),"",VLOOKUP(B549,Pricelist!A:D,4,FALSE))</f>
        <v/>
      </c>
    </row>
    <row r="550" spans="2:4">
      <c r="B550" s="270"/>
      <c r="C550" s="369" t="str">
        <f>IF(ISNA(VLOOKUP(B550,Pricelist!A:D,2,FALSE)),"",VLOOKUP(B550,Pricelist!A:D,2,FALSE))</f>
        <v/>
      </c>
      <c r="D550" s="134" t="str">
        <f>IF(ISNA(VLOOKUP(B550,Pricelist!A:D,2,FALSE)),"",VLOOKUP(B550,Pricelist!A:D,4,FALSE))</f>
        <v/>
      </c>
    </row>
    <row r="551" spans="2:4">
      <c r="B551" s="270"/>
      <c r="C551" s="369" t="str">
        <f>IF(ISNA(VLOOKUP(B551,Pricelist!A:D,2,FALSE)),"",VLOOKUP(B551,Pricelist!A:D,2,FALSE))</f>
        <v/>
      </c>
      <c r="D551" s="134" t="str">
        <f>IF(ISNA(VLOOKUP(B551,Pricelist!A:D,2,FALSE)),"",VLOOKUP(B551,Pricelist!A:D,4,FALSE))</f>
        <v/>
      </c>
    </row>
    <row r="552" spans="2:4">
      <c r="B552" s="270"/>
      <c r="C552" s="369" t="str">
        <f>IF(ISNA(VLOOKUP(B552,Pricelist!A:D,2,FALSE)),"",VLOOKUP(B552,Pricelist!A:D,2,FALSE))</f>
        <v/>
      </c>
      <c r="D552" s="134" t="str">
        <f>IF(ISNA(VLOOKUP(B552,Pricelist!A:D,2,FALSE)),"",VLOOKUP(B552,Pricelist!A:D,4,FALSE))</f>
        <v/>
      </c>
    </row>
    <row r="553" spans="2:4">
      <c r="B553" s="270"/>
      <c r="C553" s="369" t="str">
        <f>IF(ISNA(VLOOKUP(B553,Pricelist!A:D,2,FALSE)),"",VLOOKUP(B553,Pricelist!A:D,2,FALSE))</f>
        <v/>
      </c>
      <c r="D553" s="134" t="str">
        <f>IF(ISNA(VLOOKUP(B553,Pricelist!A:D,2,FALSE)),"",VLOOKUP(B553,Pricelist!A:D,4,FALSE))</f>
        <v/>
      </c>
    </row>
    <row r="554" spans="2:4">
      <c r="B554" s="270"/>
      <c r="C554" s="369" t="str">
        <f>IF(ISNA(VLOOKUP(B554,Pricelist!A:D,2,FALSE)),"",VLOOKUP(B554,Pricelist!A:D,2,FALSE))</f>
        <v/>
      </c>
      <c r="D554" s="134" t="str">
        <f>IF(ISNA(VLOOKUP(B554,Pricelist!A:D,2,FALSE)),"",VLOOKUP(B554,Pricelist!A:D,4,FALSE))</f>
        <v/>
      </c>
    </row>
    <row r="555" spans="2:4">
      <c r="B555" s="270"/>
      <c r="C555" s="369" t="str">
        <f>IF(ISNA(VLOOKUP(B555,Pricelist!A:D,2,FALSE)),"",VLOOKUP(B555,Pricelist!A:D,2,FALSE))</f>
        <v/>
      </c>
      <c r="D555" s="134" t="str">
        <f>IF(ISNA(VLOOKUP(B555,Pricelist!A:D,2,FALSE)),"",VLOOKUP(B555,Pricelist!A:D,4,FALSE))</f>
        <v/>
      </c>
    </row>
    <row r="556" spans="2:4">
      <c r="B556" s="270"/>
      <c r="C556" s="369" t="str">
        <f>IF(ISNA(VLOOKUP(B556,Pricelist!A:D,2,FALSE)),"",VLOOKUP(B556,Pricelist!A:D,2,FALSE))</f>
        <v/>
      </c>
      <c r="D556" s="134" t="str">
        <f>IF(ISNA(VLOOKUP(B556,Pricelist!A:D,2,FALSE)),"",VLOOKUP(B556,Pricelist!A:D,4,FALSE))</f>
        <v/>
      </c>
    </row>
    <row r="557" spans="2:4">
      <c r="B557" s="270"/>
      <c r="C557" s="369" t="str">
        <f>IF(ISNA(VLOOKUP(B557,Pricelist!A:D,2,FALSE)),"",VLOOKUP(B557,Pricelist!A:D,2,FALSE))</f>
        <v/>
      </c>
      <c r="D557" s="134" t="str">
        <f>IF(ISNA(VLOOKUP(B557,Pricelist!A:D,2,FALSE)),"",VLOOKUP(B557,Pricelist!A:D,4,FALSE))</f>
        <v/>
      </c>
    </row>
    <row r="558" spans="2:4">
      <c r="B558" s="270"/>
      <c r="C558" s="369" t="str">
        <f>IF(ISNA(VLOOKUP(B558,Pricelist!A:D,2,FALSE)),"",VLOOKUP(B558,Pricelist!A:D,2,FALSE))</f>
        <v/>
      </c>
      <c r="D558" s="134" t="str">
        <f>IF(ISNA(VLOOKUP(B558,Pricelist!A:D,2,FALSE)),"",VLOOKUP(B558,Pricelist!A:D,4,FALSE))</f>
        <v/>
      </c>
    </row>
    <row r="559" spans="2:4">
      <c r="B559" s="270"/>
      <c r="C559" s="369" t="str">
        <f>IF(ISNA(VLOOKUP(B559,Pricelist!A:D,2,FALSE)),"",VLOOKUP(B559,Pricelist!A:D,2,FALSE))</f>
        <v/>
      </c>
      <c r="D559" s="134" t="str">
        <f>IF(ISNA(VLOOKUP(B559,Pricelist!A:D,2,FALSE)),"",VLOOKUP(B559,Pricelist!A:D,4,FALSE))</f>
        <v/>
      </c>
    </row>
    <row r="560" spans="2:4">
      <c r="B560" s="270"/>
      <c r="C560" s="369" t="str">
        <f>IF(ISNA(VLOOKUP(B560,Pricelist!A:D,2,FALSE)),"",VLOOKUP(B560,Pricelist!A:D,2,FALSE))</f>
        <v/>
      </c>
      <c r="D560" s="134" t="str">
        <f>IF(ISNA(VLOOKUP(B560,Pricelist!A:D,2,FALSE)),"",VLOOKUP(B560,Pricelist!A:D,4,FALSE))</f>
        <v/>
      </c>
    </row>
    <row r="561" spans="2:4">
      <c r="B561" s="270"/>
      <c r="C561" s="369" t="str">
        <f>IF(ISNA(VLOOKUP(B561,Pricelist!A:D,2,FALSE)),"",VLOOKUP(B561,Pricelist!A:D,2,FALSE))</f>
        <v/>
      </c>
      <c r="D561" s="134" t="str">
        <f>IF(ISNA(VLOOKUP(B561,Pricelist!A:D,2,FALSE)),"",VLOOKUP(B561,Pricelist!A:D,4,FALSE))</f>
        <v/>
      </c>
    </row>
    <row r="562" spans="2:4">
      <c r="B562" s="270"/>
      <c r="C562" s="369" t="str">
        <f>IF(ISNA(VLOOKUP(B562,Pricelist!A:D,2,FALSE)),"",VLOOKUP(B562,Pricelist!A:D,2,FALSE))</f>
        <v/>
      </c>
      <c r="D562" s="134" t="str">
        <f>IF(ISNA(VLOOKUP(B562,Pricelist!A:D,2,FALSE)),"",VLOOKUP(B562,Pricelist!A:D,4,FALSE))</f>
        <v/>
      </c>
    </row>
    <row r="563" spans="2:4">
      <c r="B563" s="270"/>
      <c r="C563" s="369" t="str">
        <f>IF(ISNA(VLOOKUP(B563,Pricelist!A:D,2,FALSE)),"",VLOOKUP(B563,Pricelist!A:D,2,FALSE))</f>
        <v/>
      </c>
      <c r="D563" s="134" t="str">
        <f>IF(ISNA(VLOOKUP(B563,Pricelist!A:D,2,FALSE)),"",VLOOKUP(B563,Pricelist!A:D,4,FALSE))</f>
        <v/>
      </c>
    </row>
    <row r="564" spans="2:4">
      <c r="B564" s="270"/>
      <c r="C564" s="369" t="str">
        <f>IF(ISNA(VLOOKUP(B564,Pricelist!A:D,2,FALSE)),"",VLOOKUP(B564,Pricelist!A:D,2,FALSE))</f>
        <v/>
      </c>
      <c r="D564" s="134" t="str">
        <f>IF(ISNA(VLOOKUP(B564,Pricelist!A:D,2,FALSE)),"",VLOOKUP(B564,Pricelist!A:D,4,FALSE))</f>
        <v/>
      </c>
    </row>
    <row r="565" spans="2:4">
      <c r="B565" s="270"/>
      <c r="C565" s="369" t="str">
        <f>IF(ISNA(VLOOKUP(B565,Pricelist!A:D,2,FALSE)),"",VLOOKUP(B565,Pricelist!A:D,2,FALSE))</f>
        <v/>
      </c>
      <c r="D565" s="134" t="str">
        <f>IF(ISNA(VLOOKUP(B565,Pricelist!A:D,2,FALSE)),"",VLOOKUP(B565,Pricelist!A:D,4,FALSE))</f>
        <v/>
      </c>
    </row>
    <row r="566" spans="2:4">
      <c r="B566" s="270"/>
      <c r="C566" s="369" t="str">
        <f>IF(ISNA(VLOOKUP(B566,Pricelist!A:D,2,FALSE)),"",VLOOKUP(B566,Pricelist!A:D,2,FALSE))</f>
        <v/>
      </c>
      <c r="D566" s="134" t="str">
        <f>IF(ISNA(VLOOKUP(B566,Pricelist!A:D,2,FALSE)),"",VLOOKUP(B566,Pricelist!A:D,4,FALSE))</f>
        <v/>
      </c>
    </row>
    <row r="567" spans="2:4">
      <c r="B567" s="270"/>
      <c r="C567" s="369" t="str">
        <f>IF(ISNA(VLOOKUP(B567,Pricelist!A:D,2,FALSE)),"",VLOOKUP(B567,Pricelist!A:D,2,FALSE))</f>
        <v/>
      </c>
      <c r="D567" s="134" t="str">
        <f>IF(ISNA(VLOOKUP(B567,Pricelist!A:D,2,FALSE)),"",VLOOKUP(B567,Pricelist!A:D,4,FALSE))</f>
        <v/>
      </c>
    </row>
    <row r="568" spans="2:4">
      <c r="B568" s="270"/>
      <c r="C568" s="369" t="str">
        <f>IF(ISNA(VLOOKUP(B568,Pricelist!A:D,2,FALSE)),"",VLOOKUP(B568,Pricelist!A:D,2,FALSE))</f>
        <v/>
      </c>
      <c r="D568" s="134" t="str">
        <f>IF(ISNA(VLOOKUP(B568,Pricelist!A:D,2,FALSE)),"",VLOOKUP(B568,Pricelist!A:D,4,FALSE))</f>
        <v/>
      </c>
    </row>
    <row r="569" spans="2:4">
      <c r="B569" s="270"/>
      <c r="C569" s="369" t="str">
        <f>IF(ISNA(VLOOKUP(B569,Pricelist!A:D,2,FALSE)),"",VLOOKUP(B569,Pricelist!A:D,2,FALSE))</f>
        <v/>
      </c>
      <c r="D569" s="134" t="str">
        <f>IF(ISNA(VLOOKUP(B569,Pricelist!A:D,2,FALSE)),"",VLOOKUP(B569,Pricelist!A:D,4,FALSE))</f>
        <v/>
      </c>
    </row>
    <row r="570" spans="2:4">
      <c r="B570" s="270"/>
      <c r="C570" s="369" t="str">
        <f>IF(ISNA(VLOOKUP(B570,Pricelist!A:D,2,FALSE)),"",VLOOKUP(B570,Pricelist!A:D,2,FALSE))</f>
        <v/>
      </c>
      <c r="D570" s="134" t="str">
        <f>IF(ISNA(VLOOKUP(B570,Pricelist!A:D,2,FALSE)),"",VLOOKUP(B570,Pricelist!A:D,4,FALSE))</f>
        <v/>
      </c>
    </row>
    <row r="571" spans="2:4">
      <c r="B571" s="270"/>
      <c r="C571" s="369" t="str">
        <f>IF(ISNA(VLOOKUP(B571,Pricelist!A:D,2,FALSE)),"",VLOOKUP(B571,Pricelist!A:D,2,FALSE))</f>
        <v/>
      </c>
      <c r="D571" s="134" t="str">
        <f>IF(ISNA(VLOOKUP(B571,Pricelist!A:D,2,FALSE)),"",VLOOKUP(B571,Pricelist!A:D,4,FALSE))</f>
        <v/>
      </c>
    </row>
    <row r="572" spans="2:4">
      <c r="B572" s="270"/>
      <c r="C572" s="369" t="str">
        <f>IF(ISNA(VLOOKUP(B572,Pricelist!A:D,2,FALSE)),"",VLOOKUP(B572,Pricelist!A:D,2,FALSE))</f>
        <v/>
      </c>
      <c r="D572" s="134" t="str">
        <f>IF(ISNA(VLOOKUP(B572,Pricelist!A:D,2,FALSE)),"",VLOOKUP(B572,Pricelist!A:D,4,FALSE))</f>
        <v/>
      </c>
    </row>
    <row r="573" spans="2:4">
      <c r="B573" s="270"/>
      <c r="C573" s="369" t="str">
        <f>IF(ISNA(VLOOKUP(B573,Pricelist!A:D,2,FALSE)),"",VLOOKUP(B573,Pricelist!A:D,2,FALSE))</f>
        <v/>
      </c>
      <c r="D573" s="134" t="str">
        <f>IF(ISNA(VLOOKUP(B573,Pricelist!A:D,2,FALSE)),"",VLOOKUP(B573,Pricelist!A:D,4,FALSE))</f>
        <v/>
      </c>
    </row>
    <row r="574" spans="2:4">
      <c r="B574" s="270"/>
      <c r="C574" s="369" t="str">
        <f>IF(ISNA(VLOOKUP(B574,Pricelist!A:D,2,FALSE)),"",VLOOKUP(B574,Pricelist!A:D,2,FALSE))</f>
        <v/>
      </c>
      <c r="D574" s="134" t="str">
        <f>IF(ISNA(VLOOKUP(B574,Pricelist!A:D,2,FALSE)),"",VLOOKUP(B574,Pricelist!A:D,4,FALSE))</f>
        <v/>
      </c>
    </row>
    <row r="575" spans="2:4">
      <c r="B575" s="270"/>
      <c r="C575" s="369" t="str">
        <f>IF(ISNA(VLOOKUP(B575,Pricelist!A:D,2,FALSE)),"",VLOOKUP(B575,Pricelist!A:D,2,FALSE))</f>
        <v/>
      </c>
      <c r="D575" s="134" t="str">
        <f>IF(ISNA(VLOOKUP(B575,Pricelist!A:D,2,FALSE)),"",VLOOKUP(B575,Pricelist!A:D,4,FALSE))</f>
        <v/>
      </c>
    </row>
    <row r="576" spans="2:4">
      <c r="B576" s="270"/>
      <c r="C576" s="369" t="str">
        <f>IF(ISNA(VLOOKUP(B576,Pricelist!A:D,2,FALSE)),"",VLOOKUP(B576,Pricelist!A:D,2,FALSE))</f>
        <v/>
      </c>
      <c r="D576" s="134" t="str">
        <f>IF(ISNA(VLOOKUP(B576,Pricelist!A:D,2,FALSE)),"",VLOOKUP(B576,Pricelist!A:D,4,FALSE))</f>
        <v/>
      </c>
    </row>
    <row r="577" spans="2:4">
      <c r="B577" s="270"/>
      <c r="C577" s="369" t="str">
        <f>IF(ISNA(VLOOKUP(B577,Pricelist!A:D,2,FALSE)),"",VLOOKUP(B577,Pricelist!A:D,2,FALSE))</f>
        <v/>
      </c>
      <c r="D577" s="134" t="str">
        <f>IF(ISNA(VLOOKUP(B577,Pricelist!A:D,2,FALSE)),"",VLOOKUP(B577,Pricelist!A:D,4,FALSE))</f>
        <v/>
      </c>
    </row>
    <row r="578" spans="2:4">
      <c r="B578" s="270"/>
      <c r="C578" s="369" t="str">
        <f>IF(ISNA(VLOOKUP(B578,Pricelist!A:D,2,FALSE)),"",VLOOKUP(B578,Pricelist!A:D,2,FALSE))</f>
        <v/>
      </c>
      <c r="D578" s="134" t="str">
        <f>IF(ISNA(VLOOKUP(B578,Pricelist!A:D,2,FALSE)),"",VLOOKUP(B578,Pricelist!A:D,4,FALSE))</f>
        <v/>
      </c>
    </row>
    <row r="579" spans="2:4">
      <c r="B579" s="270"/>
      <c r="C579" s="369" t="str">
        <f>IF(ISNA(VLOOKUP(B579,Pricelist!A:D,2,FALSE)),"",VLOOKUP(B579,Pricelist!A:D,2,FALSE))</f>
        <v/>
      </c>
      <c r="D579" s="134" t="str">
        <f>IF(ISNA(VLOOKUP(B579,Pricelist!A:D,2,FALSE)),"",VLOOKUP(B579,Pricelist!A:D,4,FALSE))</f>
        <v/>
      </c>
    </row>
    <row r="580" spans="2:4">
      <c r="B580" s="270"/>
      <c r="C580" s="369" t="str">
        <f>IF(ISNA(VLOOKUP(B580,Pricelist!A:D,2,FALSE)),"",VLOOKUP(B580,Pricelist!A:D,2,FALSE))</f>
        <v/>
      </c>
      <c r="D580" s="134" t="str">
        <f>IF(ISNA(VLOOKUP(B580,Pricelist!A:D,2,FALSE)),"",VLOOKUP(B580,Pricelist!A:D,4,FALSE))</f>
        <v/>
      </c>
    </row>
    <row r="581" spans="2:4">
      <c r="B581" s="270"/>
      <c r="C581" s="369" t="str">
        <f>IF(ISNA(VLOOKUP(B581,Pricelist!A:D,2,FALSE)),"",VLOOKUP(B581,Pricelist!A:D,2,FALSE))</f>
        <v/>
      </c>
      <c r="D581" s="134" t="str">
        <f>IF(ISNA(VLOOKUP(B581,Pricelist!A:D,2,FALSE)),"",VLOOKUP(B581,Pricelist!A:D,4,FALSE))</f>
        <v/>
      </c>
    </row>
    <row r="582" spans="2:4">
      <c r="B582" s="270"/>
      <c r="C582" s="369" t="str">
        <f>IF(ISNA(VLOOKUP(B582,Pricelist!A:D,2,FALSE)),"",VLOOKUP(B582,Pricelist!A:D,2,FALSE))</f>
        <v/>
      </c>
      <c r="D582" s="134" t="str">
        <f>IF(ISNA(VLOOKUP(B582,Pricelist!A:D,2,FALSE)),"",VLOOKUP(B582,Pricelist!A:D,4,FALSE))</f>
        <v/>
      </c>
    </row>
    <row r="583" spans="2:4">
      <c r="B583" s="270"/>
      <c r="C583" s="369" t="str">
        <f>IF(ISNA(VLOOKUP(B583,Pricelist!A:D,2,FALSE)),"",VLOOKUP(B583,Pricelist!A:D,2,FALSE))</f>
        <v/>
      </c>
      <c r="D583" s="134" t="str">
        <f>IF(ISNA(VLOOKUP(B583,Pricelist!A:D,2,FALSE)),"",VLOOKUP(B583,Pricelist!A:D,4,FALSE))</f>
        <v/>
      </c>
    </row>
    <row r="584" spans="2:4">
      <c r="B584" s="270"/>
      <c r="C584" s="369" t="str">
        <f>IF(ISNA(VLOOKUP(B584,Pricelist!A:D,2,FALSE)),"",VLOOKUP(B584,Pricelist!A:D,2,FALSE))</f>
        <v/>
      </c>
      <c r="D584" s="134" t="str">
        <f>IF(ISNA(VLOOKUP(B584,Pricelist!A:D,2,FALSE)),"",VLOOKUP(B584,Pricelist!A:D,4,FALSE))</f>
        <v/>
      </c>
    </row>
    <row r="585" spans="2:4">
      <c r="B585" s="270"/>
      <c r="C585" s="369" t="str">
        <f>IF(ISNA(VLOOKUP(B585,Pricelist!A:D,2,FALSE)),"",VLOOKUP(B585,Pricelist!A:D,2,FALSE))</f>
        <v/>
      </c>
      <c r="D585" s="134" t="str">
        <f>IF(ISNA(VLOOKUP(B585,Pricelist!A:D,2,FALSE)),"",VLOOKUP(B585,Pricelist!A:D,4,FALSE))</f>
        <v/>
      </c>
    </row>
    <row r="586" spans="2:4">
      <c r="B586" s="270"/>
      <c r="C586" s="369" t="str">
        <f>IF(ISNA(VLOOKUP(B586,Pricelist!A:D,2,FALSE)),"",VLOOKUP(B586,Pricelist!A:D,2,FALSE))</f>
        <v/>
      </c>
      <c r="D586" s="134" t="str">
        <f>IF(ISNA(VLOOKUP(B586,Pricelist!A:D,2,FALSE)),"",VLOOKUP(B586,Pricelist!A:D,4,FALSE))</f>
        <v/>
      </c>
    </row>
    <row r="587" spans="2:4">
      <c r="B587" s="270"/>
      <c r="C587" s="369" t="str">
        <f>IF(ISNA(VLOOKUP(B587,Pricelist!A:D,2,FALSE)),"",VLOOKUP(B587,Pricelist!A:D,2,FALSE))</f>
        <v/>
      </c>
      <c r="D587" s="134" t="str">
        <f>IF(ISNA(VLOOKUP(B587,Pricelist!A:D,2,FALSE)),"",VLOOKUP(B587,Pricelist!A:D,4,FALSE))</f>
        <v/>
      </c>
    </row>
    <row r="588" spans="2:4">
      <c r="B588" s="270"/>
      <c r="C588" s="369" t="str">
        <f>IF(ISNA(VLOOKUP(B588,Pricelist!A:D,2,FALSE)),"",VLOOKUP(B588,Pricelist!A:D,2,FALSE))</f>
        <v/>
      </c>
      <c r="D588" s="134" t="str">
        <f>IF(ISNA(VLOOKUP(B588,Pricelist!A:D,2,FALSE)),"",VLOOKUP(B588,Pricelist!A:D,4,FALSE))</f>
        <v/>
      </c>
    </row>
    <row r="589" spans="2:4">
      <c r="B589" s="270"/>
      <c r="C589" s="369" t="str">
        <f>IF(ISNA(VLOOKUP(B589,Pricelist!A:D,2,FALSE)),"",VLOOKUP(B589,Pricelist!A:D,2,FALSE))</f>
        <v/>
      </c>
      <c r="D589" s="134" t="str">
        <f>IF(ISNA(VLOOKUP(B589,Pricelist!A:D,2,FALSE)),"",VLOOKUP(B589,Pricelist!A:D,4,FALSE))</f>
        <v/>
      </c>
    </row>
    <row r="590" spans="2:4">
      <c r="B590" s="270"/>
      <c r="C590" s="369" t="str">
        <f>IF(ISNA(VLOOKUP(B590,Pricelist!A:D,2,FALSE)),"",VLOOKUP(B590,Pricelist!A:D,2,FALSE))</f>
        <v/>
      </c>
      <c r="D590" s="134" t="str">
        <f>IF(ISNA(VLOOKUP(B590,Pricelist!A:D,2,FALSE)),"",VLOOKUP(B590,Pricelist!A:D,4,FALSE))</f>
        <v/>
      </c>
    </row>
    <row r="591" spans="2:4">
      <c r="B591" s="270"/>
      <c r="C591" s="369" t="str">
        <f>IF(ISNA(VLOOKUP(B591,Pricelist!A:D,2,FALSE)),"",VLOOKUP(B591,Pricelist!A:D,2,FALSE))</f>
        <v/>
      </c>
      <c r="D591" s="134" t="str">
        <f>IF(ISNA(VLOOKUP(B591,Pricelist!A:D,2,FALSE)),"",VLOOKUP(B591,Pricelist!A:D,4,FALSE))</f>
        <v/>
      </c>
    </row>
    <row r="592" spans="2:4">
      <c r="B592" s="270"/>
      <c r="C592" s="369" t="str">
        <f>IF(ISNA(VLOOKUP(B592,Pricelist!A:D,2,FALSE)),"",VLOOKUP(B592,Pricelist!A:D,2,FALSE))</f>
        <v/>
      </c>
      <c r="D592" s="134" t="str">
        <f>IF(ISNA(VLOOKUP(B592,Pricelist!A:D,2,FALSE)),"",VLOOKUP(B592,Pricelist!A:D,4,FALSE))</f>
        <v/>
      </c>
    </row>
    <row r="593" spans="2:4">
      <c r="B593" s="270"/>
      <c r="C593" s="369" t="str">
        <f>IF(ISNA(VLOOKUP(B593,Pricelist!A:D,2,FALSE)),"",VLOOKUP(B593,Pricelist!A:D,2,FALSE))</f>
        <v/>
      </c>
      <c r="D593" s="134" t="str">
        <f>IF(ISNA(VLOOKUP(B593,Pricelist!A:D,2,FALSE)),"",VLOOKUP(B593,Pricelist!A:D,4,FALSE))</f>
        <v/>
      </c>
    </row>
    <row r="594" spans="2:4">
      <c r="B594" s="270"/>
      <c r="C594" s="369" t="str">
        <f>IF(ISNA(VLOOKUP(B594,Pricelist!A:D,2,FALSE)),"",VLOOKUP(B594,Pricelist!A:D,2,FALSE))</f>
        <v/>
      </c>
      <c r="D594" s="134" t="str">
        <f>IF(ISNA(VLOOKUP(B594,Pricelist!A:D,2,FALSE)),"",VLOOKUP(B594,Pricelist!A:D,4,FALSE))</f>
        <v/>
      </c>
    </row>
    <row r="595" spans="2:4">
      <c r="B595" s="270"/>
      <c r="C595" s="369" t="str">
        <f>IF(ISNA(VLOOKUP(B595,Pricelist!A:D,2,FALSE)),"",VLOOKUP(B595,Pricelist!A:D,2,FALSE))</f>
        <v/>
      </c>
      <c r="D595" s="134" t="str">
        <f>IF(ISNA(VLOOKUP(B595,Pricelist!A:D,2,FALSE)),"",VLOOKUP(B595,Pricelist!A:D,4,FALSE))</f>
        <v/>
      </c>
    </row>
    <row r="596" spans="2:4">
      <c r="B596" s="270"/>
      <c r="C596" s="369" t="str">
        <f>IF(ISNA(VLOOKUP(B596,Pricelist!A:D,2,FALSE)),"",VLOOKUP(B596,Pricelist!A:D,2,FALSE))</f>
        <v/>
      </c>
      <c r="D596" s="134" t="str">
        <f>IF(ISNA(VLOOKUP(B596,Pricelist!A:D,2,FALSE)),"",VLOOKUP(B596,Pricelist!A:D,4,FALSE))</f>
        <v/>
      </c>
    </row>
    <row r="597" spans="2:4">
      <c r="B597" s="270"/>
      <c r="C597" s="369" t="str">
        <f>IF(ISNA(VLOOKUP(B597,Pricelist!A:D,2,FALSE)),"",VLOOKUP(B597,Pricelist!A:D,2,FALSE))</f>
        <v/>
      </c>
      <c r="D597" s="134" t="str">
        <f>IF(ISNA(VLOOKUP(B597,Pricelist!A:D,2,FALSE)),"",VLOOKUP(B597,Pricelist!A:D,4,FALSE))</f>
        <v/>
      </c>
    </row>
    <row r="598" spans="2:4">
      <c r="B598" s="270"/>
      <c r="C598" s="369" t="str">
        <f>IF(ISNA(VLOOKUP(B598,Pricelist!A:D,2,FALSE)),"",VLOOKUP(B598,Pricelist!A:D,2,FALSE))</f>
        <v/>
      </c>
      <c r="D598" s="134" t="str">
        <f>IF(ISNA(VLOOKUP(B598,Pricelist!A:D,2,FALSE)),"",VLOOKUP(B598,Pricelist!A:D,4,FALSE))</f>
        <v/>
      </c>
    </row>
    <row r="599" spans="2:4">
      <c r="B599" s="270"/>
      <c r="C599" s="369" t="str">
        <f>IF(ISNA(VLOOKUP(B599,Pricelist!A:D,2,FALSE)),"",VLOOKUP(B599,Pricelist!A:D,2,FALSE))</f>
        <v/>
      </c>
      <c r="D599" s="134" t="str">
        <f>IF(ISNA(VLOOKUP(B599,Pricelist!A:D,2,FALSE)),"",VLOOKUP(B599,Pricelist!A:D,4,FALSE))</f>
        <v/>
      </c>
    </row>
    <row r="600" spans="2:4">
      <c r="B600" s="270"/>
      <c r="C600" s="369" t="str">
        <f>IF(ISNA(VLOOKUP(B600,Pricelist!A:D,2,FALSE)),"",VLOOKUP(B600,Pricelist!A:D,2,FALSE))</f>
        <v/>
      </c>
      <c r="D600" s="134" t="str">
        <f>IF(ISNA(VLOOKUP(B600,Pricelist!A:D,2,FALSE)),"",VLOOKUP(B600,Pricelist!A:D,4,FALSE))</f>
        <v/>
      </c>
    </row>
    <row r="601" spans="2:4">
      <c r="B601" s="270"/>
      <c r="C601" s="369" t="str">
        <f>IF(ISNA(VLOOKUP(B601,Pricelist!A:D,2,FALSE)),"",VLOOKUP(B601,Pricelist!A:D,2,FALSE))</f>
        <v/>
      </c>
      <c r="D601" s="134" t="str">
        <f>IF(ISNA(VLOOKUP(B601,Pricelist!A:D,2,FALSE)),"",VLOOKUP(B601,Pricelist!A:D,4,FALSE))</f>
        <v/>
      </c>
    </row>
    <row r="602" spans="2:4">
      <c r="B602" s="270"/>
      <c r="C602" s="369" t="str">
        <f>IF(ISNA(VLOOKUP(B602,Pricelist!A:D,2,FALSE)),"",VLOOKUP(B602,Pricelist!A:D,2,FALSE))</f>
        <v/>
      </c>
      <c r="D602" s="134" t="str">
        <f>IF(ISNA(VLOOKUP(B602,Pricelist!A:D,2,FALSE)),"",VLOOKUP(B602,Pricelist!A:D,4,FALSE))</f>
        <v/>
      </c>
    </row>
    <row r="603" spans="2:4">
      <c r="B603" s="270"/>
      <c r="C603" s="369" t="str">
        <f>IF(ISNA(VLOOKUP(B603,Pricelist!A:D,2,FALSE)),"",VLOOKUP(B603,Pricelist!A:D,2,FALSE))</f>
        <v/>
      </c>
      <c r="D603" s="134" t="str">
        <f>IF(ISNA(VLOOKUP(B603,Pricelist!A:D,2,FALSE)),"",VLOOKUP(B603,Pricelist!A:D,4,FALSE))</f>
        <v/>
      </c>
    </row>
    <row r="604" spans="2:4">
      <c r="B604" s="270"/>
      <c r="C604" s="369" t="str">
        <f>IF(ISNA(VLOOKUP(B604,Pricelist!A:D,2,FALSE)),"",VLOOKUP(B604,Pricelist!A:D,2,FALSE))</f>
        <v/>
      </c>
      <c r="D604" s="134" t="str">
        <f>IF(ISNA(VLOOKUP(B604,Pricelist!A:D,2,FALSE)),"",VLOOKUP(B604,Pricelist!A:D,4,FALSE))</f>
        <v/>
      </c>
    </row>
    <row r="605" spans="2:4">
      <c r="B605" s="270"/>
      <c r="C605" s="369" t="str">
        <f>IF(ISNA(VLOOKUP(B605,Pricelist!A:D,2,FALSE)),"",VLOOKUP(B605,Pricelist!A:D,2,FALSE))</f>
        <v/>
      </c>
      <c r="D605" s="134" t="str">
        <f>IF(ISNA(VLOOKUP(B605,Pricelist!A:D,2,FALSE)),"",VLOOKUP(B605,Pricelist!A:D,4,FALSE))</f>
        <v/>
      </c>
    </row>
    <row r="606" spans="2:4">
      <c r="B606" s="270"/>
      <c r="C606" s="369" t="str">
        <f>IF(ISNA(VLOOKUP(B606,Pricelist!A:D,2,FALSE)),"",VLOOKUP(B606,Pricelist!A:D,2,FALSE))</f>
        <v/>
      </c>
      <c r="D606" s="134" t="str">
        <f>IF(ISNA(VLOOKUP(B606,Pricelist!A:D,2,FALSE)),"",VLOOKUP(B606,Pricelist!A:D,4,FALSE))</f>
        <v/>
      </c>
    </row>
    <row r="607" spans="2:4">
      <c r="B607" s="270"/>
      <c r="C607" s="369" t="str">
        <f>IF(ISNA(VLOOKUP(B607,Pricelist!A:D,2,FALSE)),"",VLOOKUP(B607,Pricelist!A:D,2,FALSE))</f>
        <v/>
      </c>
      <c r="D607" s="134" t="str">
        <f>IF(ISNA(VLOOKUP(B607,Pricelist!A:D,2,FALSE)),"",VLOOKUP(B607,Pricelist!A:D,4,FALSE))</f>
        <v/>
      </c>
    </row>
    <row r="608" spans="2:4">
      <c r="B608" s="270"/>
      <c r="C608" s="369" t="str">
        <f>IF(ISNA(VLOOKUP(B608,Pricelist!A:D,2,FALSE)),"",VLOOKUP(B608,Pricelist!A:D,2,FALSE))</f>
        <v/>
      </c>
      <c r="D608" s="134" t="str">
        <f>IF(ISNA(VLOOKUP(B608,Pricelist!A:D,2,FALSE)),"",VLOOKUP(B608,Pricelist!A:D,4,FALSE))</f>
        <v/>
      </c>
    </row>
    <row r="609" spans="2:4">
      <c r="B609" s="270"/>
      <c r="C609" s="369" t="str">
        <f>IF(ISNA(VLOOKUP(B609,Pricelist!A:D,2,FALSE)),"",VLOOKUP(B609,Pricelist!A:D,2,FALSE))</f>
        <v/>
      </c>
      <c r="D609" s="134" t="str">
        <f>IF(ISNA(VLOOKUP(B609,Pricelist!A:D,2,FALSE)),"",VLOOKUP(B609,Pricelist!A:D,4,FALSE))</f>
        <v/>
      </c>
    </row>
    <row r="610" spans="2:4">
      <c r="B610" s="270"/>
      <c r="C610" s="369" t="str">
        <f>IF(ISNA(VLOOKUP(B610,Pricelist!A:D,2,FALSE)),"",VLOOKUP(B610,Pricelist!A:D,2,FALSE))</f>
        <v/>
      </c>
      <c r="D610" s="134" t="str">
        <f>IF(ISNA(VLOOKUP(B610,Pricelist!A:D,2,FALSE)),"",VLOOKUP(B610,Pricelist!A:D,4,FALSE))</f>
        <v/>
      </c>
    </row>
    <row r="611" spans="2:4">
      <c r="B611" s="270"/>
      <c r="C611" s="369" t="str">
        <f>IF(ISNA(VLOOKUP(B611,Pricelist!A:D,2,FALSE)),"",VLOOKUP(B611,Pricelist!A:D,2,FALSE))</f>
        <v/>
      </c>
      <c r="D611" s="134" t="str">
        <f>IF(ISNA(VLOOKUP(B611,Pricelist!A:D,2,FALSE)),"",VLOOKUP(B611,Pricelist!A:D,4,FALSE))</f>
        <v/>
      </c>
    </row>
    <row r="612" spans="2:4">
      <c r="B612" s="270"/>
      <c r="C612" s="369" t="str">
        <f>IF(ISNA(VLOOKUP(B612,Pricelist!A:D,2,FALSE)),"",VLOOKUP(B612,Pricelist!A:D,2,FALSE))</f>
        <v/>
      </c>
      <c r="D612" s="134" t="str">
        <f>IF(ISNA(VLOOKUP(B612,Pricelist!A:D,2,FALSE)),"",VLOOKUP(B612,Pricelist!A:D,4,FALSE))</f>
        <v/>
      </c>
    </row>
    <row r="613" spans="2:4">
      <c r="B613" s="270"/>
      <c r="C613" s="369" t="str">
        <f>IF(ISNA(VLOOKUP(B613,Pricelist!A:D,2,FALSE)),"",VLOOKUP(B613,Pricelist!A:D,2,FALSE))</f>
        <v/>
      </c>
      <c r="D613" s="134" t="str">
        <f>IF(ISNA(VLOOKUP(B613,Pricelist!A:D,2,FALSE)),"",VLOOKUP(B613,Pricelist!A:D,4,FALSE))</f>
        <v/>
      </c>
    </row>
    <row r="614" spans="2:4">
      <c r="B614" s="270"/>
      <c r="C614" s="369" t="str">
        <f>IF(ISNA(VLOOKUP(B614,Pricelist!A:D,2,FALSE)),"",VLOOKUP(B614,Pricelist!A:D,2,FALSE))</f>
        <v/>
      </c>
      <c r="D614" s="134" t="str">
        <f>IF(ISNA(VLOOKUP(B614,Pricelist!A:D,2,FALSE)),"",VLOOKUP(B614,Pricelist!A:D,4,FALSE))</f>
        <v/>
      </c>
    </row>
    <row r="615" spans="2:4">
      <c r="B615" s="270"/>
      <c r="C615" s="369" t="str">
        <f>IF(ISNA(VLOOKUP(B615,Pricelist!A:D,2,FALSE)),"",VLOOKUP(B615,Pricelist!A:D,2,FALSE))</f>
        <v/>
      </c>
      <c r="D615" s="134" t="str">
        <f>IF(ISNA(VLOOKUP(B615,Pricelist!A:D,2,FALSE)),"",VLOOKUP(B615,Pricelist!A:D,4,FALSE))</f>
        <v/>
      </c>
    </row>
    <row r="616" spans="2:4">
      <c r="B616" s="270"/>
      <c r="C616" s="369" t="str">
        <f>IF(ISNA(VLOOKUP(B616,Pricelist!A:D,2,FALSE)),"",VLOOKUP(B616,Pricelist!A:D,2,FALSE))</f>
        <v/>
      </c>
      <c r="D616" s="134" t="str">
        <f>IF(ISNA(VLOOKUP(B616,Pricelist!A:D,2,FALSE)),"",VLOOKUP(B616,Pricelist!A:D,4,FALSE))</f>
        <v/>
      </c>
    </row>
    <row r="617" spans="2:4">
      <c r="B617" s="270"/>
      <c r="C617" s="369" t="str">
        <f>IF(ISNA(VLOOKUP(B617,Pricelist!A:D,2,FALSE)),"",VLOOKUP(B617,Pricelist!A:D,2,FALSE))</f>
        <v/>
      </c>
      <c r="D617" s="134" t="str">
        <f>IF(ISNA(VLOOKUP(B617,Pricelist!A:D,2,FALSE)),"",VLOOKUP(B617,Pricelist!A:D,4,FALSE))</f>
        <v/>
      </c>
    </row>
    <row r="618" spans="2:4">
      <c r="B618" s="270"/>
      <c r="C618" s="369" t="str">
        <f>IF(ISNA(VLOOKUP(B618,Pricelist!A:D,2,FALSE)),"",VLOOKUP(B618,Pricelist!A:D,2,FALSE))</f>
        <v/>
      </c>
      <c r="D618" s="134" t="str">
        <f>IF(ISNA(VLOOKUP(B618,Pricelist!A:D,2,FALSE)),"",VLOOKUP(B618,Pricelist!A:D,4,FALSE))</f>
        <v/>
      </c>
    </row>
    <row r="619" spans="2:4">
      <c r="B619" s="270"/>
      <c r="C619" s="369" t="str">
        <f>IF(ISNA(VLOOKUP(B619,Pricelist!A:D,2,FALSE)),"",VLOOKUP(B619,Pricelist!A:D,2,FALSE))</f>
        <v/>
      </c>
      <c r="D619" s="134" t="str">
        <f>IF(ISNA(VLOOKUP(B619,Pricelist!A:D,2,FALSE)),"",VLOOKUP(B619,Pricelist!A:D,4,FALSE))</f>
        <v/>
      </c>
    </row>
    <row r="620" spans="2:4">
      <c r="B620" s="270"/>
      <c r="C620" s="369" t="str">
        <f>IF(ISNA(VLOOKUP(B620,Pricelist!A:D,2,FALSE)),"",VLOOKUP(B620,Pricelist!A:D,2,FALSE))</f>
        <v/>
      </c>
      <c r="D620" s="134" t="str">
        <f>IF(ISNA(VLOOKUP(B620,Pricelist!A:D,2,FALSE)),"",VLOOKUP(B620,Pricelist!A:D,4,FALSE))</f>
        <v/>
      </c>
    </row>
    <row r="621" spans="2:4">
      <c r="B621" s="270"/>
      <c r="C621" s="369" t="str">
        <f>IF(ISNA(VLOOKUP(B621,Pricelist!A:D,2,FALSE)),"",VLOOKUP(B621,Pricelist!A:D,2,FALSE))</f>
        <v/>
      </c>
      <c r="D621" s="134" t="str">
        <f>IF(ISNA(VLOOKUP(B621,Pricelist!A:D,2,FALSE)),"",VLOOKUP(B621,Pricelist!A:D,4,FALSE))</f>
        <v/>
      </c>
    </row>
    <row r="622" spans="2:4">
      <c r="B622" s="270"/>
      <c r="C622" s="369" t="str">
        <f>IF(ISNA(VLOOKUP(B622,Pricelist!A:D,2,FALSE)),"",VLOOKUP(B622,Pricelist!A:D,2,FALSE))</f>
        <v/>
      </c>
      <c r="D622" s="134" t="str">
        <f>IF(ISNA(VLOOKUP(B622,Pricelist!A:D,2,FALSE)),"",VLOOKUP(B622,Pricelist!A:D,4,FALSE))</f>
        <v/>
      </c>
    </row>
    <row r="623" spans="2:4">
      <c r="B623" s="270"/>
      <c r="C623" s="369" t="str">
        <f>IF(ISNA(VLOOKUP(B623,Pricelist!A:D,2,FALSE)),"",VLOOKUP(B623,Pricelist!A:D,2,FALSE))</f>
        <v/>
      </c>
      <c r="D623" s="134" t="str">
        <f>IF(ISNA(VLOOKUP(B623,Pricelist!A:D,2,FALSE)),"",VLOOKUP(B623,Pricelist!A:D,4,FALSE))</f>
        <v/>
      </c>
    </row>
    <row r="624" spans="2:4">
      <c r="B624" s="270"/>
      <c r="C624" s="369" t="str">
        <f>IF(ISNA(VLOOKUP(B624,Pricelist!A:D,2,FALSE)),"",VLOOKUP(B624,Pricelist!A:D,2,FALSE))</f>
        <v/>
      </c>
      <c r="D624" s="134" t="str">
        <f>IF(ISNA(VLOOKUP(B624,Pricelist!A:D,2,FALSE)),"",VLOOKUP(B624,Pricelist!A:D,4,FALSE))</f>
        <v/>
      </c>
    </row>
    <row r="625" spans="2:4">
      <c r="B625" s="270"/>
      <c r="C625" s="369" t="str">
        <f>IF(ISNA(VLOOKUP(B625,Pricelist!A:D,2,FALSE)),"",VLOOKUP(B625,Pricelist!A:D,2,FALSE))</f>
        <v/>
      </c>
      <c r="D625" s="134" t="str">
        <f>IF(ISNA(VLOOKUP(B625,Pricelist!A:D,2,FALSE)),"",VLOOKUP(B625,Pricelist!A:D,4,FALSE))</f>
        <v/>
      </c>
    </row>
    <row r="626" spans="2:4">
      <c r="B626" s="270"/>
      <c r="C626" s="369" t="str">
        <f>IF(ISNA(VLOOKUP(B626,Pricelist!A:D,2,FALSE)),"",VLOOKUP(B626,Pricelist!A:D,2,FALSE))</f>
        <v/>
      </c>
      <c r="D626" s="134" t="str">
        <f>IF(ISNA(VLOOKUP(B626,Pricelist!A:D,2,FALSE)),"",VLOOKUP(B626,Pricelist!A:D,4,FALSE))</f>
        <v/>
      </c>
    </row>
    <row r="627" spans="2:4">
      <c r="B627" s="270"/>
      <c r="C627" s="369" t="str">
        <f>IF(ISNA(VLOOKUP(B627,Pricelist!A:D,2,FALSE)),"",VLOOKUP(B627,Pricelist!A:D,2,FALSE))</f>
        <v/>
      </c>
      <c r="D627" s="134" t="str">
        <f>IF(ISNA(VLOOKUP(B627,Pricelist!A:D,2,FALSE)),"",VLOOKUP(B627,Pricelist!A:D,4,FALSE))</f>
        <v/>
      </c>
    </row>
    <row r="628" spans="2:4">
      <c r="B628" s="270"/>
      <c r="C628" s="369" t="str">
        <f>IF(ISNA(VLOOKUP(B628,Pricelist!A:D,2,FALSE)),"",VLOOKUP(B628,Pricelist!A:D,2,FALSE))</f>
        <v/>
      </c>
      <c r="D628" s="134" t="str">
        <f>IF(ISNA(VLOOKUP(B628,Pricelist!A:D,2,FALSE)),"",VLOOKUP(B628,Pricelist!A:D,4,FALSE))</f>
        <v/>
      </c>
    </row>
    <row r="629" spans="2:4">
      <c r="B629" s="270"/>
      <c r="C629" s="369" t="str">
        <f>IF(ISNA(VLOOKUP(B629,Pricelist!A:D,2,FALSE)),"",VLOOKUP(B629,Pricelist!A:D,2,FALSE))</f>
        <v/>
      </c>
      <c r="D629" s="134" t="str">
        <f>IF(ISNA(VLOOKUP(B629,Pricelist!A:D,2,FALSE)),"",VLOOKUP(B629,Pricelist!A:D,4,FALSE))</f>
        <v/>
      </c>
    </row>
    <row r="630" spans="2:4">
      <c r="B630" s="270"/>
      <c r="C630" s="369" t="str">
        <f>IF(ISNA(VLOOKUP(B630,Pricelist!A:D,2,FALSE)),"",VLOOKUP(B630,Pricelist!A:D,2,FALSE))</f>
        <v/>
      </c>
      <c r="D630" s="134" t="str">
        <f>IF(ISNA(VLOOKUP(B630,Pricelist!A:D,2,FALSE)),"",VLOOKUP(B630,Pricelist!A:D,4,FALSE))</f>
        <v/>
      </c>
    </row>
    <row r="631" spans="2:4">
      <c r="B631" s="270"/>
      <c r="C631" s="369" t="str">
        <f>IF(ISNA(VLOOKUP(B631,Pricelist!A:D,2,FALSE)),"",VLOOKUP(B631,Pricelist!A:D,2,FALSE))</f>
        <v/>
      </c>
      <c r="D631" s="134" t="str">
        <f>IF(ISNA(VLOOKUP(B631,Pricelist!A:D,2,FALSE)),"",VLOOKUP(B631,Pricelist!A:D,4,FALSE))</f>
        <v/>
      </c>
    </row>
    <row r="632" spans="2:4">
      <c r="B632" s="270"/>
      <c r="C632" s="369" t="str">
        <f>IF(ISNA(VLOOKUP(B632,Pricelist!A:D,2,FALSE)),"",VLOOKUP(B632,Pricelist!A:D,2,FALSE))</f>
        <v/>
      </c>
      <c r="D632" s="134" t="str">
        <f>IF(ISNA(VLOOKUP(B632,Pricelist!A:D,2,FALSE)),"",VLOOKUP(B632,Pricelist!A:D,4,FALSE))</f>
        <v/>
      </c>
    </row>
    <row r="633" spans="2:4">
      <c r="B633" s="270"/>
      <c r="C633" s="369" t="str">
        <f>IF(ISNA(VLOOKUP(B633,Pricelist!A:D,2,FALSE)),"",VLOOKUP(B633,Pricelist!A:D,2,FALSE))</f>
        <v/>
      </c>
      <c r="D633" s="134" t="str">
        <f>IF(ISNA(VLOOKUP(B633,Pricelist!A:D,2,FALSE)),"",VLOOKUP(B633,Pricelist!A:D,4,FALSE))</f>
        <v/>
      </c>
    </row>
    <row r="634" spans="2:4">
      <c r="B634" s="270"/>
      <c r="C634" s="369" t="str">
        <f>IF(ISNA(VLOOKUP(B634,Pricelist!A:D,2,FALSE)),"",VLOOKUP(B634,Pricelist!A:D,2,FALSE))</f>
        <v/>
      </c>
      <c r="D634" s="134" t="str">
        <f>IF(ISNA(VLOOKUP(B634,Pricelist!A:D,2,FALSE)),"",VLOOKUP(B634,Pricelist!A:D,4,FALSE))</f>
        <v/>
      </c>
    </row>
    <row r="635" spans="2:4">
      <c r="B635" s="270"/>
      <c r="C635" s="369" t="str">
        <f>IF(ISNA(VLOOKUP(B635,Pricelist!A:D,2,FALSE)),"",VLOOKUP(B635,Pricelist!A:D,2,FALSE))</f>
        <v/>
      </c>
      <c r="D635" s="134" t="str">
        <f>IF(ISNA(VLOOKUP(B635,Pricelist!A:D,2,FALSE)),"",VLOOKUP(B635,Pricelist!A:D,4,FALSE))</f>
        <v/>
      </c>
    </row>
    <row r="636" spans="2:4">
      <c r="B636" s="270"/>
      <c r="C636" s="369" t="str">
        <f>IF(ISNA(VLOOKUP(B636,Pricelist!A:D,2,FALSE)),"",VLOOKUP(B636,Pricelist!A:D,2,FALSE))</f>
        <v/>
      </c>
      <c r="D636" s="134" t="str">
        <f>IF(ISNA(VLOOKUP(B636,Pricelist!A:D,2,FALSE)),"",VLOOKUP(B636,Pricelist!A:D,4,FALSE))</f>
        <v/>
      </c>
    </row>
    <row r="637" spans="2:4">
      <c r="B637" s="270"/>
      <c r="C637" s="369" t="str">
        <f>IF(ISNA(VLOOKUP(B637,Pricelist!A:D,2,FALSE)),"",VLOOKUP(B637,Pricelist!A:D,2,FALSE))</f>
        <v/>
      </c>
      <c r="D637" s="134" t="str">
        <f>IF(ISNA(VLOOKUP(B637,Pricelist!A:D,2,FALSE)),"",VLOOKUP(B637,Pricelist!A:D,4,FALSE))</f>
        <v/>
      </c>
    </row>
    <row r="638" spans="2:4">
      <c r="B638" s="270"/>
      <c r="C638" s="369" t="str">
        <f>IF(ISNA(VLOOKUP(B638,Pricelist!A:D,2,FALSE)),"",VLOOKUP(B638,Pricelist!A:D,2,FALSE))</f>
        <v/>
      </c>
      <c r="D638" s="134" t="str">
        <f>IF(ISNA(VLOOKUP(B638,Pricelist!A:D,2,FALSE)),"",VLOOKUP(B638,Pricelist!A:D,4,FALSE))</f>
        <v/>
      </c>
    </row>
    <row r="639" spans="2:4">
      <c r="B639" s="270"/>
      <c r="C639" s="369" t="str">
        <f>IF(ISNA(VLOOKUP(B639,Pricelist!A:D,2,FALSE)),"",VLOOKUP(B639,Pricelist!A:D,2,FALSE))</f>
        <v/>
      </c>
      <c r="D639" s="134" t="str">
        <f>IF(ISNA(VLOOKUP(B639,Pricelist!A:D,2,FALSE)),"",VLOOKUP(B639,Pricelist!A:D,4,FALSE))</f>
        <v/>
      </c>
    </row>
    <row r="640" spans="2:4">
      <c r="B640" s="270"/>
      <c r="C640" s="369" t="str">
        <f>IF(ISNA(VLOOKUP(B640,Pricelist!A:D,2,FALSE)),"",VLOOKUP(B640,Pricelist!A:D,2,FALSE))</f>
        <v/>
      </c>
      <c r="D640" s="134" t="str">
        <f>IF(ISNA(VLOOKUP(B640,Pricelist!A:D,2,FALSE)),"",VLOOKUP(B640,Pricelist!A:D,4,FALSE))</f>
        <v/>
      </c>
    </row>
    <row r="641" spans="2:4">
      <c r="B641" s="270"/>
      <c r="C641" s="369" t="str">
        <f>IF(ISNA(VLOOKUP(B641,Pricelist!A:D,2,FALSE)),"",VLOOKUP(B641,Pricelist!A:D,2,FALSE))</f>
        <v/>
      </c>
      <c r="D641" s="134" t="str">
        <f>IF(ISNA(VLOOKUP(B641,Pricelist!A:D,2,FALSE)),"",VLOOKUP(B641,Pricelist!A:D,4,FALSE))</f>
        <v/>
      </c>
    </row>
    <row r="642" spans="2:4">
      <c r="B642" s="270"/>
      <c r="C642" s="369" t="str">
        <f>IF(ISNA(VLOOKUP(B642,Pricelist!A:D,2,FALSE)),"",VLOOKUP(B642,Pricelist!A:D,2,FALSE))</f>
        <v/>
      </c>
      <c r="D642" s="134" t="str">
        <f>IF(ISNA(VLOOKUP(B642,Pricelist!A:D,2,FALSE)),"",VLOOKUP(B642,Pricelist!A:D,4,FALSE))</f>
        <v/>
      </c>
    </row>
    <row r="643" spans="2:4">
      <c r="B643" s="270"/>
      <c r="C643" s="369" t="str">
        <f>IF(ISNA(VLOOKUP(B643,Pricelist!A:D,2,FALSE)),"",VLOOKUP(B643,Pricelist!A:D,2,FALSE))</f>
        <v/>
      </c>
      <c r="D643" s="134" t="str">
        <f>IF(ISNA(VLOOKUP(B643,Pricelist!A:D,2,FALSE)),"",VLOOKUP(B643,Pricelist!A:D,4,FALSE))</f>
        <v/>
      </c>
    </row>
    <row r="644" spans="2:4">
      <c r="B644" s="270"/>
      <c r="C644" s="369" t="str">
        <f>IF(ISNA(VLOOKUP(B644,Pricelist!A:D,2,FALSE)),"",VLOOKUP(B644,Pricelist!A:D,2,FALSE))</f>
        <v/>
      </c>
      <c r="D644" s="134" t="str">
        <f>IF(ISNA(VLOOKUP(B644,Pricelist!A:D,2,FALSE)),"",VLOOKUP(B644,Pricelist!A:D,4,FALSE))</f>
        <v/>
      </c>
    </row>
    <row r="645" spans="2:4">
      <c r="B645" s="270"/>
      <c r="C645" s="369" t="str">
        <f>IF(ISNA(VLOOKUP(B645,Pricelist!A:D,2,FALSE)),"",VLOOKUP(B645,Pricelist!A:D,2,FALSE))</f>
        <v/>
      </c>
      <c r="D645" s="134" t="str">
        <f>IF(ISNA(VLOOKUP(B645,Pricelist!A:D,2,FALSE)),"",VLOOKUP(B645,Pricelist!A:D,4,FALSE))</f>
        <v/>
      </c>
    </row>
    <row r="646" spans="2:4">
      <c r="B646" s="270"/>
      <c r="C646" s="369" t="str">
        <f>IF(ISNA(VLOOKUP(B646,Pricelist!A:D,2,FALSE)),"",VLOOKUP(B646,Pricelist!A:D,2,FALSE))</f>
        <v/>
      </c>
      <c r="D646" s="134" t="str">
        <f>IF(ISNA(VLOOKUP(B646,Pricelist!A:D,2,FALSE)),"",VLOOKUP(B646,Pricelist!A:D,4,FALSE))</f>
        <v/>
      </c>
    </row>
    <row r="647" spans="2:4">
      <c r="B647" s="270"/>
      <c r="C647" s="369" t="str">
        <f>IF(ISNA(VLOOKUP(B647,Pricelist!A:D,2,FALSE)),"",VLOOKUP(B647,Pricelist!A:D,2,FALSE))</f>
        <v/>
      </c>
      <c r="D647" s="134" t="str">
        <f>IF(ISNA(VLOOKUP(B647,Pricelist!A:D,2,FALSE)),"",VLOOKUP(B647,Pricelist!A:D,4,FALSE))</f>
        <v/>
      </c>
    </row>
    <row r="648" spans="2:4">
      <c r="B648" s="270"/>
      <c r="C648" s="369" t="str">
        <f>IF(ISNA(VLOOKUP(B648,Pricelist!A:D,2,FALSE)),"",VLOOKUP(B648,Pricelist!A:D,2,FALSE))</f>
        <v/>
      </c>
      <c r="D648" s="134" t="str">
        <f>IF(ISNA(VLOOKUP(B648,Pricelist!A:D,2,FALSE)),"",VLOOKUP(B648,Pricelist!A:D,4,FALSE))</f>
        <v/>
      </c>
    </row>
    <row r="649" spans="2:4">
      <c r="B649" s="270"/>
      <c r="C649" s="369" t="str">
        <f>IF(ISNA(VLOOKUP(B649,Pricelist!A:D,2,FALSE)),"",VLOOKUP(B649,Pricelist!A:D,2,FALSE))</f>
        <v/>
      </c>
      <c r="D649" s="134" t="str">
        <f>IF(ISNA(VLOOKUP(B649,Pricelist!A:D,2,FALSE)),"",VLOOKUP(B649,Pricelist!A:D,4,FALSE))</f>
        <v/>
      </c>
    </row>
    <row r="650" spans="2:4">
      <c r="B650" s="270"/>
      <c r="C650" s="369" t="str">
        <f>IF(ISNA(VLOOKUP(B650,Pricelist!A:D,2,FALSE)),"",VLOOKUP(B650,Pricelist!A:D,2,FALSE))</f>
        <v/>
      </c>
      <c r="D650" s="134" t="str">
        <f>IF(ISNA(VLOOKUP(B650,Pricelist!A:D,2,FALSE)),"",VLOOKUP(B650,Pricelist!A:D,4,FALSE))</f>
        <v/>
      </c>
    </row>
    <row r="651" spans="2:4">
      <c r="B651" s="270"/>
      <c r="C651" s="369" t="str">
        <f>IF(ISNA(VLOOKUP(B651,Pricelist!A:D,2,FALSE)),"",VLOOKUP(B651,Pricelist!A:D,2,FALSE))</f>
        <v/>
      </c>
      <c r="D651" s="134" t="str">
        <f>IF(ISNA(VLOOKUP(B651,Pricelist!A:D,2,FALSE)),"",VLOOKUP(B651,Pricelist!A:D,4,FALSE))</f>
        <v/>
      </c>
    </row>
    <row r="652" spans="2:4">
      <c r="B652" s="270"/>
      <c r="C652" s="369" t="str">
        <f>IF(ISNA(VLOOKUP(B652,Pricelist!A:D,2,FALSE)),"",VLOOKUP(B652,Pricelist!A:D,2,FALSE))</f>
        <v/>
      </c>
      <c r="D652" s="134" t="str">
        <f>IF(ISNA(VLOOKUP(B652,Pricelist!A:D,2,FALSE)),"",VLOOKUP(B652,Pricelist!A:D,4,FALSE))</f>
        <v/>
      </c>
    </row>
    <row r="653" spans="2:4">
      <c r="B653" s="270"/>
      <c r="C653" s="369" t="str">
        <f>IF(ISNA(VLOOKUP(B653,Pricelist!A:D,2,FALSE)),"",VLOOKUP(B653,Pricelist!A:D,2,FALSE))</f>
        <v/>
      </c>
      <c r="D653" s="134" t="str">
        <f>IF(ISNA(VLOOKUP(B653,Pricelist!A:D,2,FALSE)),"",VLOOKUP(B653,Pricelist!A:D,4,FALSE))</f>
        <v/>
      </c>
    </row>
    <row r="654" spans="2:4">
      <c r="B654" s="270"/>
      <c r="C654" s="369" t="str">
        <f>IF(ISNA(VLOOKUP(B654,Pricelist!A:D,2,FALSE)),"",VLOOKUP(B654,Pricelist!A:D,2,FALSE))</f>
        <v/>
      </c>
      <c r="D654" s="134" t="str">
        <f>IF(ISNA(VLOOKUP(B654,Pricelist!A:D,2,FALSE)),"",VLOOKUP(B654,Pricelist!A:D,4,FALSE))</f>
        <v/>
      </c>
    </row>
    <row r="655" spans="2:4">
      <c r="B655" s="270"/>
      <c r="C655" s="369" t="str">
        <f>IF(ISNA(VLOOKUP(B655,Pricelist!A:D,2,FALSE)),"",VLOOKUP(B655,Pricelist!A:D,2,FALSE))</f>
        <v/>
      </c>
      <c r="D655" s="134" t="str">
        <f>IF(ISNA(VLOOKUP(B655,Pricelist!A:D,2,FALSE)),"",VLOOKUP(B655,Pricelist!A:D,4,FALSE))</f>
        <v/>
      </c>
    </row>
    <row r="656" spans="2:4">
      <c r="B656" s="270"/>
      <c r="C656" s="369" t="str">
        <f>IF(ISNA(VLOOKUP(B656,Pricelist!A:D,2,FALSE)),"",VLOOKUP(B656,Pricelist!A:D,2,FALSE))</f>
        <v/>
      </c>
      <c r="D656" s="134" t="str">
        <f>IF(ISNA(VLOOKUP(B656,Pricelist!A:D,2,FALSE)),"",VLOOKUP(B656,Pricelist!A:D,4,FALSE))</f>
        <v/>
      </c>
    </row>
    <row r="657" spans="2:4">
      <c r="B657" s="270"/>
      <c r="C657" s="369" t="str">
        <f>IF(ISNA(VLOOKUP(B657,Pricelist!A:D,2,FALSE)),"",VLOOKUP(B657,Pricelist!A:D,2,FALSE))</f>
        <v/>
      </c>
      <c r="D657" s="134" t="str">
        <f>IF(ISNA(VLOOKUP(B657,Pricelist!A:D,2,FALSE)),"",VLOOKUP(B657,Pricelist!A:D,4,FALSE))</f>
        <v/>
      </c>
    </row>
    <row r="658" spans="2:4">
      <c r="B658" s="270"/>
      <c r="C658" s="369" t="str">
        <f>IF(ISNA(VLOOKUP(B658,Pricelist!A:D,2,FALSE)),"",VLOOKUP(B658,Pricelist!A:D,2,FALSE))</f>
        <v/>
      </c>
      <c r="D658" s="134" t="str">
        <f>IF(ISNA(VLOOKUP(B658,Pricelist!A:D,2,FALSE)),"",VLOOKUP(B658,Pricelist!A:D,4,FALSE))</f>
        <v/>
      </c>
    </row>
    <row r="659" spans="2:4">
      <c r="B659" s="270"/>
      <c r="C659" s="369" t="str">
        <f>IF(ISNA(VLOOKUP(B659,Pricelist!A:D,2,FALSE)),"",VLOOKUP(B659,Pricelist!A:D,2,FALSE))</f>
        <v/>
      </c>
      <c r="D659" s="134" t="str">
        <f>IF(ISNA(VLOOKUP(B659,Pricelist!A:D,2,FALSE)),"",VLOOKUP(B659,Pricelist!A:D,4,FALSE))</f>
        <v/>
      </c>
    </row>
    <row r="660" spans="2:4">
      <c r="B660" s="270"/>
      <c r="C660" s="369" t="str">
        <f>IF(ISNA(VLOOKUP(B660,Pricelist!A:D,2,FALSE)),"",VLOOKUP(B660,Pricelist!A:D,2,FALSE))</f>
        <v/>
      </c>
      <c r="D660" s="134" t="str">
        <f>IF(ISNA(VLOOKUP(B660,Pricelist!A:D,2,FALSE)),"",VLOOKUP(B660,Pricelist!A:D,4,FALSE))</f>
        <v/>
      </c>
    </row>
    <row r="661" spans="2:4">
      <c r="B661" s="270"/>
      <c r="C661" s="369" t="str">
        <f>IF(ISNA(VLOOKUP(B661,Pricelist!A:D,2,FALSE)),"",VLOOKUP(B661,Pricelist!A:D,2,FALSE))</f>
        <v/>
      </c>
      <c r="D661" s="134" t="str">
        <f>IF(ISNA(VLOOKUP(B661,Pricelist!A:D,2,FALSE)),"",VLOOKUP(B661,Pricelist!A:D,4,FALSE))</f>
        <v/>
      </c>
    </row>
    <row r="662" spans="2:4">
      <c r="B662" s="270"/>
      <c r="C662" s="369" t="str">
        <f>IF(ISNA(VLOOKUP(B662,Pricelist!A:D,2,FALSE)),"",VLOOKUP(B662,Pricelist!A:D,2,FALSE))</f>
        <v/>
      </c>
      <c r="D662" s="134" t="str">
        <f>IF(ISNA(VLOOKUP(B662,Pricelist!A:D,2,FALSE)),"",VLOOKUP(B662,Pricelist!A:D,4,FALSE))</f>
        <v/>
      </c>
    </row>
    <row r="663" spans="2:4">
      <c r="B663" s="270"/>
      <c r="C663" s="369" t="str">
        <f>IF(ISNA(VLOOKUP(B663,Pricelist!A:D,2,FALSE)),"",VLOOKUP(B663,Pricelist!A:D,2,FALSE))</f>
        <v/>
      </c>
      <c r="D663" s="134" t="str">
        <f>IF(ISNA(VLOOKUP(B663,Pricelist!A:D,2,FALSE)),"",VLOOKUP(B663,Pricelist!A:D,4,FALSE))</f>
        <v/>
      </c>
    </row>
    <row r="664" spans="2:4">
      <c r="B664" s="270"/>
      <c r="C664" s="369" t="str">
        <f>IF(ISNA(VLOOKUP(B664,Pricelist!A:D,2,FALSE)),"",VLOOKUP(B664,Pricelist!A:D,2,FALSE))</f>
        <v/>
      </c>
      <c r="D664" s="134" t="str">
        <f>IF(ISNA(VLOOKUP(B664,Pricelist!A:D,2,FALSE)),"",VLOOKUP(B664,Pricelist!A:D,4,FALSE))</f>
        <v/>
      </c>
    </row>
    <row r="665" spans="2:4">
      <c r="B665" s="270"/>
      <c r="C665" s="369" t="str">
        <f>IF(ISNA(VLOOKUP(B665,Pricelist!A:D,2,FALSE)),"",VLOOKUP(B665,Pricelist!A:D,2,FALSE))</f>
        <v/>
      </c>
      <c r="D665" s="134" t="str">
        <f>IF(ISNA(VLOOKUP(B665,Pricelist!A:D,2,FALSE)),"",VLOOKUP(B665,Pricelist!A:D,4,FALSE))</f>
        <v/>
      </c>
    </row>
    <row r="666" spans="2:4">
      <c r="B666" s="270"/>
      <c r="C666" s="369" t="str">
        <f>IF(ISNA(VLOOKUP(B666,Pricelist!A:D,2,FALSE)),"",VLOOKUP(B666,Pricelist!A:D,2,FALSE))</f>
        <v/>
      </c>
      <c r="D666" s="134" t="str">
        <f>IF(ISNA(VLOOKUP(B666,Pricelist!A:D,2,FALSE)),"",VLOOKUP(B666,Pricelist!A:D,4,FALSE))</f>
        <v/>
      </c>
    </row>
    <row r="667" spans="2:4">
      <c r="B667" s="270"/>
      <c r="C667" s="369" t="str">
        <f>IF(ISNA(VLOOKUP(B667,Pricelist!A:D,2,FALSE)),"",VLOOKUP(B667,Pricelist!A:D,2,FALSE))</f>
        <v/>
      </c>
      <c r="D667" s="134" t="str">
        <f>IF(ISNA(VLOOKUP(B667,Pricelist!A:D,2,FALSE)),"",VLOOKUP(B667,Pricelist!A:D,4,FALSE))</f>
        <v/>
      </c>
    </row>
    <row r="668" spans="2:4">
      <c r="B668" s="270"/>
      <c r="C668" s="369" t="str">
        <f>IF(ISNA(VLOOKUP(B668,Pricelist!A:D,2,FALSE)),"",VLOOKUP(B668,Pricelist!A:D,2,FALSE))</f>
        <v/>
      </c>
      <c r="D668" s="134" t="str">
        <f>IF(ISNA(VLOOKUP(B668,Pricelist!A:D,2,FALSE)),"",VLOOKUP(B668,Pricelist!A:D,4,FALSE))</f>
        <v/>
      </c>
    </row>
    <row r="669" spans="2:4">
      <c r="B669" s="270"/>
      <c r="C669" s="369" t="str">
        <f>IF(ISNA(VLOOKUP(B669,Pricelist!A:D,2,FALSE)),"",VLOOKUP(B669,Pricelist!A:D,2,FALSE))</f>
        <v/>
      </c>
      <c r="D669" s="134" t="str">
        <f>IF(ISNA(VLOOKUP(B669,Pricelist!A:D,2,FALSE)),"",VLOOKUP(B669,Pricelist!A:D,4,FALSE))</f>
        <v/>
      </c>
    </row>
    <row r="670" spans="2:4">
      <c r="B670" s="270"/>
      <c r="C670" s="369" t="str">
        <f>IF(ISNA(VLOOKUP(B670,Pricelist!A:D,2,FALSE)),"",VLOOKUP(B670,Pricelist!A:D,2,FALSE))</f>
        <v/>
      </c>
      <c r="D670" s="134" t="str">
        <f>IF(ISNA(VLOOKUP(B670,Pricelist!A:D,2,FALSE)),"",VLOOKUP(B670,Pricelist!A:D,4,FALSE))</f>
        <v/>
      </c>
    </row>
    <row r="671" spans="2:4">
      <c r="B671" s="270"/>
      <c r="C671" s="369" t="str">
        <f>IF(ISNA(VLOOKUP(B671,Pricelist!A:D,2,FALSE)),"",VLOOKUP(B671,Pricelist!A:D,2,FALSE))</f>
        <v/>
      </c>
      <c r="D671" s="134" t="str">
        <f>IF(ISNA(VLOOKUP(B671,Pricelist!A:D,2,FALSE)),"",VLOOKUP(B671,Pricelist!A:D,4,FALSE))</f>
        <v/>
      </c>
    </row>
    <row r="672" spans="2:4">
      <c r="B672" s="270"/>
      <c r="C672" s="369" t="str">
        <f>IF(ISNA(VLOOKUP(B672,Pricelist!A:D,2,FALSE)),"",VLOOKUP(B672,Pricelist!A:D,2,FALSE))</f>
        <v/>
      </c>
      <c r="D672" s="134" t="str">
        <f>IF(ISNA(VLOOKUP(B672,Pricelist!A:D,2,FALSE)),"",VLOOKUP(B672,Pricelist!A:D,4,FALSE))</f>
        <v/>
      </c>
    </row>
    <row r="673" spans="2:4">
      <c r="B673" s="270"/>
      <c r="C673" s="369" t="str">
        <f>IF(ISNA(VLOOKUP(B673,Pricelist!A:D,2,FALSE)),"",VLOOKUP(B673,Pricelist!A:D,2,FALSE))</f>
        <v/>
      </c>
      <c r="D673" s="134" t="str">
        <f>IF(ISNA(VLOOKUP(B673,Pricelist!A:D,2,FALSE)),"",VLOOKUP(B673,Pricelist!A:D,4,FALSE))</f>
        <v/>
      </c>
    </row>
    <row r="674" spans="2:4">
      <c r="B674" s="270"/>
      <c r="C674" s="369" t="str">
        <f>IF(ISNA(VLOOKUP(B674,Pricelist!A:D,2,FALSE)),"",VLOOKUP(B674,Pricelist!A:D,2,FALSE))</f>
        <v/>
      </c>
      <c r="D674" s="134" t="str">
        <f>IF(ISNA(VLOOKUP(B674,Pricelist!A:D,2,FALSE)),"",VLOOKUP(B674,Pricelist!A:D,4,FALSE))</f>
        <v/>
      </c>
    </row>
    <row r="675" spans="2:4">
      <c r="B675" s="270"/>
      <c r="C675" s="369" t="str">
        <f>IF(ISNA(VLOOKUP(B675,Pricelist!A:D,2,FALSE)),"",VLOOKUP(B675,Pricelist!A:D,2,FALSE))</f>
        <v/>
      </c>
      <c r="D675" s="134" t="str">
        <f>IF(ISNA(VLOOKUP(B675,Pricelist!A:D,2,FALSE)),"",VLOOKUP(B675,Pricelist!A:D,4,FALSE))</f>
        <v/>
      </c>
    </row>
    <row r="676" spans="2:4">
      <c r="B676" s="270"/>
      <c r="C676" s="369" t="str">
        <f>IF(ISNA(VLOOKUP(B676,Pricelist!A:D,2,FALSE)),"",VLOOKUP(B676,Pricelist!A:D,2,FALSE))</f>
        <v/>
      </c>
      <c r="D676" s="134" t="str">
        <f>IF(ISNA(VLOOKUP(B676,Pricelist!A:D,2,FALSE)),"",VLOOKUP(B676,Pricelist!A:D,4,FALSE))</f>
        <v/>
      </c>
    </row>
    <row r="677" spans="2:4">
      <c r="B677" s="270"/>
      <c r="C677" s="369" t="str">
        <f>IF(ISNA(VLOOKUP(B677,Pricelist!A:D,2,FALSE)),"",VLOOKUP(B677,Pricelist!A:D,2,FALSE))</f>
        <v/>
      </c>
      <c r="D677" s="134" t="str">
        <f>IF(ISNA(VLOOKUP(B677,Pricelist!A:D,2,FALSE)),"",VLOOKUP(B677,Pricelist!A:D,4,FALSE))</f>
        <v/>
      </c>
    </row>
    <row r="678" spans="2:4">
      <c r="B678" s="270"/>
      <c r="C678" s="369" t="str">
        <f>IF(ISNA(VLOOKUP(B678,Pricelist!A:D,2,FALSE)),"",VLOOKUP(B678,Pricelist!A:D,2,FALSE))</f>
        <v/>
      </c>
      <c r="D678" s="134" t="str">
        <f>IF(ISNA(VLOOKUP(B678,Pricelist!A:D,2,FALSE)),"",VLOOKUP(B678,Pricelist!A:D,4,FALSE))</f>
        <v/>
      </c>
    </row>
    <row r="679" spans="2:4">
      <c r="B679" s="270"/>
      <c r="C679" s="369" t="str">
        <f>IF(ISNA(VLOOKUP(B679,Pricelist!A:D,2,FALSE)),"",VLOOKUP(B679,Pricelist!A:D,2,FALSE))</f>
        <v/>
      </c>
      <c r="D679" s="134" t="str">
        <f>IF(ISNA(VLOOKUP(B679,Pricelist!A:D,2,FALSE)),"",VLOOKUP(B679,Pricelist!A:D,4,FALSE))</f>
        <v/>
      </c>
    </row>
    <row r="680" spans="2:4">
      <c r="B680" s="270"/>
      <c r="C680" s="369" t="str">
        <f>IF(ISNA(VLOOKUP(B680,Pricelist!A:D,2,FALSE)),"",VLOOKUP(B680,Pricelist!A:D,2,FALSE))</f>
        <v/>
      </c>
      <c r="D680" s="134" t="str">
        <f>IF(ISNA(VLOOKUP(B680,Pricelist!A:D,2,FALSE)),"",VLOOKUP(B680,Pricelist!A:D,4,FALSE))</f>
        <v/>
      </c>
    </row>
    <row r="681" spans="2:4">
      <c r="B681" s="270"/>
      <c r="C681" s="369" t="str">
        <f>IF(ISNA(VLOOKUP(B681,Pricelist!A:D,2,FALSE)),"",VLOOKUP(B681,Pricelist!A:D,2,FALSE))</f>
        <v/>
      </c>
      <c r="D681" s="134" t="str">
        <f>IF(ISNA(VLOOKUP(B681,Pricelist!A:D,2,FALSE)),"",VLOOKUP(B681,Pricelist!A:D,4,FALSE))</f>
        <v/>
      </c>
    </row>
    <row r="682" spans="2:4">
      <c r="B682" s="270"/>
      <c r="C682" s="369" t="str">
        <f>IF(ISNA(VLOOKUP(B682,Pricelist!A:D,2,FALSE)),"",VLOOKUP(B682,Pricelist!A:D,2,FALSE))</f>
        <v/>
      </c>
      <c r="D682" s="134" t="str">
        <f>IF(ISNA(VLOOKUP(B682,Pricelist!A:D,2,FALSE)),"",VLOOKUP(B682,Pricelist!A:D,4,FALSE))</f>
        <v/>
      </c>
    </row>
    <row r="683" spans="2:4">
      <c r="B683" s="270"/>
      <c r="C683" s="369" t="str">
        <f>IF(ISNA(VLOOKUP(B683,Pricelist!A:D,2,FALSE)),"",VLOOKUP(B683,Pricelist!A:D,2,FALSE))</f>
        <v/>
      </c>
      <c r="D683" s="134" t="str">
        <f>IF(ISNA(VLOOKUP(B683,Pricelist!A:D,2,FALSE)),"",VLOOKUP(B683,Pricelist!A:D,4,FALSE))</f>
        <v/>
      </c>
    </row>
    <row r="684" spans="2:4">
      <c r="B684" s="270"/>
      <c r="C684" s="369" t="str">
        <f>IF(ISNA(VLOOKUP(B684,Pricelist!A:D,2,FALSE)),"",VLOOKUP(B684,Pricelist!A:D,2,FALSE))</f>
        <v/>
      </c>
      <c r="D684" s="134" t="str">
        <f>IF(ISNA(VLOOKUP(B684,Pricelist!A:D,2,FALSE)),"",VLOOKUP(B684,Pricelist!A:D,4,FALSE))</f>
        <v/>
      </c>
    </row>
    <row r="685" spans="2:4">
      <c r="B685" s="270"/>
      <c r="C685" s="369" t="str">
        <f>IF(ISNA(VLOOKUP(B685,Pricelist!A:D,2,FALSE)),"",VLOOKUP(B685,Pricelist!A:D,2,FALSE))</f>
        <v/>
      </c>
      <c r="D685" s="134" t="str">
        <f>IF(ISNA(VLOOKUP(B685,Pricelist!A:D,2,FALSE)),"",VLOOKUP(B685,Pricelist!A:D,4,FALSE))</f>
        <v/>
      </c>
    </row>
    <row r="686" spans="2:4">
      <c r="B686" s="270"/>
      <c r="C686" s="369" t="str">
        <f>IF(ISNA(VLOOKUP(B686,Pricelist!A:D,2,FALSE)),"",VLOOKUP(B686,Pricelist!A:D,2,FALSE))</f>
        <v/>
      </c>
      <c r="D686" s="134" t="str">
        <f>IF(ISNA(VLOOKUP(B686,Pricelist!A:D,2,FALSE)),"",VLOOKUP(B686,Pricelist!A:D,4,FALSE))</f>
        <v/>
      </c>
    </row>
    <row r="687" spans="2:4">
      <c r="B687" s="270"/>
      <c r="C687" s="369" t="str">
        <f>IF(ISNA(VLOOKUP(B687,Pricelist!A:D,2,FALSE)),"",VLOOKUP(B687,Pricelist!A:D,2,FALSE))</f>
        <v/>
      </c>
      <c r="D687" s="134" t="str">
        <f>IF(ISNA(VLOOKUP(B687,Pricelist!A:D,2,FALSE)),"",VLOOKUP(B687,Pricelist!A:D,4,FALSE))</f>
        <v/>
      </c>
    </row>
    <row r="688" spans="2:4">
      <c r="B688" s="270"/>
      <c r="C688" s="369" t="str">
        <f>IF(ISNA(VLOOKUP(B688,Pricelist!A:D,2,FALSE)),"",VLOOKUP(B688,Pricelist!A:D,2,FALSE))</f>
        <v/>
      </c>
      <c r="D688" s="134" t="str">
        <f>IF(ISNA(VLOOKUP(B688,Pricelist!A:D,2,FALSE)),"",VLOOKUP(B688,Pricelist!A:D,4,FALSE))</f>
        <v/>
      </c>
    </row>
    <row r="689" spans="2:4">
      <c r="B689" s="270"/>
      <c r="C689" s="369" t="str">
        <f>IF(ISNA(VLOOKUP(B689,Pricelist!A:D,2,FALSE)),"",VLOOKUP(B689,Pricelist!A:D,2,FALSE))</f>
        <v/>
      </c>
      <c r="D689" s="134" t="str">
        <f>IF(ISNA(VLOOKUP(B689,Pricelist!A:D,2,FALSE)),"",VLOOKUP(B689,Pricelist!A:D,4,FALSE))</f>
        <v/>
      </c>
    </row>
    <row r="690" spans="2:4">
      <c r="B690" s="270"/>
      <c r="C690" s="369" t="str">
        <f>IF(ISNA(VLOOKUP(B690,Pricelist!A:D,2,FALSE)),"",VLOOKUP(B690,Pricelist!A:D,2,FALSE))</f>
        <v/>
      </c>
      <c r="D690" s="134" t="str">
        <f>IF(ISNA(VLOOKUP(B690,Pricelist!A:D,2,FALSE)),"",VLOOKUP(B690,Pricelist!A:D,4,FALSE))</f>
        <v/>
      </c>
    </row>
    <row r="691" spans="2:4">
      <c r="B691" s="270"/>
      <c r="C691" s="369" t="str">
        <f>IF(ISNA(VLOOKUP(B691,Pricelist!A:D,2,FALSE)),"",VLOOKUP(B691,Pricelist!A:D,2,FALSE))</f>
        <v/>
      </c>
      <c r="D691" s="134" t="str">
        <f>IF(ISNA(VLOOKUP(B691,Pricelist!A:D,2,FALSE)),"",VLOOKUP(B691,Pricelist!A:D,4,FALSE))</f>
        <v/>
      </c>
    </row>
    <row r="692" spans="2:4">
      <c r="B692" s="270"/>
      <c r="C692" s="369" t="str">
        <f>IF(ISNA(VLOOKUP(B692,Pricelist!A:D,2,FALSE)),"",VLOOKUP(B692,Pricelist!A:D,2,FALSE))</f>
        <v/>
      </c>
      <c r="D692" s="134" t="str">
        <f>IF(ISNA(VLOOKUP(B692,Pricelist!A:D,2,FALSE)),"",VLOOKUP(B692,Pricelist!A:D,4,FALSE))</f>
        <v/>
      </c>
    </row>
    <row r="693" spans="2:4">
      <c r="B693" s="270"/>
      <c r="C693" s="369" t="str">
        <f>IF(ISNA(VLOOKUP(B693,Pricelist!A:D,2,FALSE)),"",VLOOKUP(B693,Pricelist!A:D,2,FALSE))</f>
        <v/>
      </c>
      <c r="D693" s="134" t="str">
        <f>IF(ISNA(VLOOKUP(B693,Pricelist!A:D,2,FALSE)),"",VLOOKUP(B693,Pricelist!A:D,4,FALSE))</f>
        <v/>
      </c>
    </row>
    <row r="694" spans="2:4">
      <c r="B694" s="270"/>
      <c r="C694" s="369" t="str">
        <f>IF(ISNA(VLOOKUP(B694,Pricelist!A:D,2,FALSE)),"",VLOOKUP(B694,Pricelist!A:D,2,FALSE))</f>
        <v/>
      </c>
      <c r="D694" s="134" t="str">
        <f>IF(ISNA(VLOOKUP(B694,Pricelist!A:D,2,FALSE)),"",VLOOKUP(B694,Pricelist!A:D,4,FALSE))</f>
        <v/>
      </c>
    </row>
    <row r="695" spans="2:4">
      <c r="B695" s="270"/>
      <c r="C695" s="369" t="str">
        <f>IF(ISNA(VLOOKUP(B695,Pricelist!A:D,2,FALSE)),"",VLOOKUP(B695,Pricelist!A:D,2,FALSE))</f>
        <v/>
      </c>
      <c r="D695" s="134" t="str">
        <f>IF(ISNA(VLOOKUP(B695,Pricelist!A:D,2,FALSE)),"",VLOOKUP(B695,Pricelist!A:D,4,FALSE))</f>
        <v/>
      </c>
    </row>
    <row r="696" spans="2:4">
      <c r="B696" s="270"/>
      <c r="C696" s="369" t="str">
        <f>IF(ISNA(VLOOKUP(B696,Pricelist!A:D,2,FALSE)),"",VLOOKUP(B696,Pricelist!A:D,2,FALSE))</f>
        <v/>
      </c>
      <c r="D696" s="134" t="str">
        <f>IF(ISNA(VLOOKUP(B696,Pricelist!A:D,2,FALSE)),"",VLOOKUP(B696,Pricelist!A:D,4,FALSE))</f>
        <v/>
      </c>
    </row>
    <row r="697" spans="2:4">
      <c r="B697" s="270"/>
      <c r="C697" s="369" t="str">
        <f>IF(ISNA(VLOOKUP(B697,Pricelist!A:D,2,FALSE)),"",VLOOKUP(B697,Pricelist!A:D,2,FALSE))</f>
        <v/>
      </c>
      <c r="D697" s="134" t="str">
        <f>IF(ISNA(VLOOKUP(B697,Pricelist!A:D,2,FALSE)),"",VLOOKUP(B697,Pricelist!A:D,4,FALSE))</f>
        <v/>
      </c>
    </row>
    <row r="698" spans="2:4">
      <c r="B698" s="270"/>
      <c r="C698" s="369" t="str">
        <f>IF(ISNA(VLOOKUP(B698,Pricelist!A:D,2,FALSE)),"",VLOOKUP(B698,Pricelist!A:D,2,FALSE))</f>
        <v/>
      </c>
      <c r="D698" s="134" t="str">
        <f>IF(ISNA(VLOOKUP(B698,Pricelist!A:D,2,FALSE)),"",VLOOKUP(B698,Pricelist!A:D,4,FALSE))</f>
        <v/>
      </c>
    </row>
    <row r="699" spans="2:4">
      <c r="B699" s="270"/>
      <c r="C699" s="369" t="str">
        <f>IF(ISNA(VLOOKUP(B699,Pricelist!A:D,2,FALSE)),"",VLOOKUP(B699,Pricelist!A:D,2,FALSE))</f>
        <v/>
      </c>
      <c r="D699" s="134" t="str">
        <f>IF(ISNA(VLOOKUP(B699,Pricelist!A:D,2,FALSE)),"",VLOOKUP(B699,Pricelist!A:D,4,FALSE))</f>
        <v/>
      </c>
    </row>
    <row r="700" spans="2:4">
      <c r="B700" s="270"/>
      <c r="C700" s="369" t="str">
        <f>IF(ISNA(VLOOKUP(B700,Pricelist!A:D,2,FALSE)),"",VLOOKUP(B700,Pricelist!A:D,2,FALSE))</f>
        <v/>
      </c>
      <c r="D700" s="134" t="str">
        <f>IF(ISNA(VLOOKUP(B700,Pricelist!A:D,2,FALSE)),"",VLOOKUP(B700,Pricelist!A:D,4,FALSE))</f>
        <v/>
      </c>
    </row>
    <row r="701" spans="2:4">
      <c r="B701" s="270"/>
      <c r="C701" s="369" t="str">
        <f>IF(ISNA(VLOOKUP(B701,Pricelist!A:D,2,FALSE)),"",VLOOKUP(B701,Pricelist!A:D,2,FALSE))</f>
        <v/>
      </c>
      <c r="D701" s="134" t="str">
        <f>IF(ISNA(VLOOKUP(B701,Pricelist!A:D,2,FALSE)),"",VLOOKUP(B701,Pricelist!A:D,4,FALSE))</f>
        <v/>
      </c>
    </row>
    <row r="702" spans="2:4">
      <c r="B702" s="270"/>
      <c r="C702" s="369" t="str">
        <f>IF(ISNA(VLOOKUP(B702,Pricelist!A:D,2,FALSE)),"",VLOOKUP(B702,Pricelist!A:D,2,FALSE))</f>
        <v/>
      </c>
      <c r="D702" s="134" t="str">
        <f>IF(ISNA(VLOOKUP(B702,Pricelist!A:D,2,FALSE)),"",VLOOKUP(B702,Pricelist!A:D,4,FALSE))</f>
        <v/>
      </c>
    </row>
    <row r="703" spans="2:4">
      <c r="B703" s="270"/>
      <c r="C703" s="369" t="str">
        <f>IF(ISNA(VLOOKUP(B703,Pricelist!A:D,2,FALSE)),"",VLOOKUP(B703,Pricelist!A:D,2,FALSE))</f>
        <v/>
      </c>
      <c r="D703" s="134" t="str">
        <f>IF(ISNA(VLOOKUP(B703,Pricelist!A:D,2,FALSE)),"",VLOOKUP(B703,Pricelist!A:D,4,FALSE))</f>
        <v/>
      </c>
    </row>
    <row r="704" spans="2:4">
      <c r="B704" s="270"/>
      <c r="C704" s="369" t="str">
        <f>IF(ISNA(VLOOKUP(B704,Pricelist!A:D,2,FALSE)),"",VLOOKUP(B704,Pricelist!A:D,2,FALSE))</f>
        <v/>
      </c>
      <c r="D704" s="134" t="str">
        <f>IF(ISNA(VLOOKUP(B704,Pricelist!A:D,2,FALSE)),"",VLOOKUP(B704,Pricelist!A:D,4,FALSE))</f>
        <v/>
      </c>
    </row>
    <row r="705" spans="2:4">
      <c r="B705" s="270"/>
      <c r="C705" s="369" t="str">
        <f>IF(ISNA(VLOOKUP(B705,Pricelist!A:D,2,FALSE)),"",VLOOKUP(B705,Pricelist!A:D,2,FALSE))</f>
        <v/>
      </c>
      <c r="D705" s="134" t="str">
        <f>IF(ISNA(VLOOKUP(B705,Pricelist!A:D,2,FALSE)),"",VLOOKUP(B705,Pricelist!A:D,4,FALSE))</f>
        <v/>
      </c>
    </row>
    <row r="706" spans="2:4">
      <c r="B706" s="270"/>
      <c r="C706" s="369" t="str">
        <f>IF(ISNA(VLOOKUP(B706,Pricelist!A:D,2,FALSE)),"",VLOOKUP(B706,Pricelist!A:D,2,FALSE))</f>
        <v/>
      </c>
      <c r="D706" s="134" t="str">
        <f>IF(ISNA(VLOOKUP(B706,Pricelist!A:D,2,FALSE)),"",VLOOKUP(B706,Pricelist!A:D,4,FALSE))</f>
        <v/>
      </c>
    </row>
    <row r="707" spans="2:4">
      <c r="B707" s="270"/>
      <c r="C707" s="369" t="str">
        <f>IF(ISNA(VLOOKUP(B707,Pricelist!A:D,2,FALSE)),"",VLOOKUP(B707,Pricelist!A:D,2,FALSE))</f>
        <v/>
      </c>
      <c r="D707" s="134" t="str">
        <f>IF(ISNA(VLOOKUP(B707,Pricelist!A:D,2,FALSE)),"",VLOOKUP(B707,Pricelist!A:D,4,FALSE))</f>
        <v/>
      </c>
    </row>
    <row r="708" spans="2:4">
      <c r="B708" s="270"/>
      <c r="C708" s="369" t="str">
        <f>IF(ISNA(VLOOKUP(B708,Pricelist!A:D,2,FALSE)),"",VLOOKUP(B708,Pricelist!A:D,2,FALSE))</f>
        <v/>
      </c>
      <c r="D708" s="134" t="str">
        <f>IF(ISNA(VLOOKUP(B708,Pricelist!A:D,2,FALSE)),"",VLOOKUP(B708,Pricelist!A:D,4,FALSE))</f>
        <v/>
      </c>
    </row>
    <row r="709" spans="2:4">
      <c r="B709" s="270"/>
      <c r="C709" s="369" t="str">
        <f>IF(ISNA(VLOOKUP(B709,Pricelist!A:D,2,FALSE)),"",VLOOKUP(B709,Pricelist!A:D,2,FALSE))</f>
        <v/>
      </c>
      <c r="D709" s="134" t="str">
        <f>IF(ISNA(VLOOKUP(B709,Pricelist!A:D,2,FALSE)),"",VLOOKUP(B709,Pricelist!A:D,4,FALSE))</f>
        <v/>
      </c>
    </row>
    <row r="710" spans="2:4">
      <c r="B710" s="270"/>
      <c r="C710" s="369" t="str">
        <f>IF(ISNA(VLOOKUP(B710,Pricelist!A:D,2,FALSE)),"",VLOOKUP(B710,Pricelist!A:D,2,FALSE))</f>
        <v/>
      </c>
      <c r="D710" s="134" t="str">
        <f>IF(ISNA(VLOOKUP(B710,Pricelist!A:D,2,FALSE)),"",VLOOKUP(B710,Pricelist!A:D,4,FALSE))</f>
        <v/>
      </c>
    </row>
    <row r="711" spans="2:4">
      <c r="B711" s="270"/>
      <c r="C711" s="369" t="str">
        <f>IF(ISNA(VLOOKUP(B711,Pricelist!A:D,2,FALSE)),"",VLOOKUP(B711,Pricelist!A:D,2,FALSE))</f>
        <v/>
      </c>
      <c r="D711" s="134" t="str">
        <f>IF(ISNA(VLOOKUP(B711,Pricelist!A:D,2,FALSE)),"",VLOOKUP(B711,Pricelist!A:D,4,FALSE))</f>
        <v/>
      </c>
    </row>
    <row r="712" spans="2:4">
      <c r="B712" s="270"/>
      <c r="C712" s="369" t="str">
        <f>IF(ISNA(VLOOKUP(B712,Pricelist!A:D,2,FALSE)),"",VLOOKUP(B712,Pricelist!A:D,2,FALSE))</f>
        <v/>
      </c>
      <c r="D712" s="134" t="str">
        <f>IF(ISNA(VLOOKUP(B712,Pricelist!A:D,2,FALSE)),"",VLOOKUP(B712,Pricelist!A:D,4,FALSE))</f>
        <v/>
      </c>
    </row>
    <row r="713" spans="2:4">
      <c r="B713" s="270"/>
      <c r="C713" s="369" t="str">
        <f>IF(ISNA(VLOOKUP(B713,Pricelist!A:D,2,FALSE)),"",VLOOKUP(B713,Pricelist!A:D,2,FALSE))</f>
        <v/>
      </c>
      <c r="D713" s="134" t="str">
        <f>IF(ISNA(VLOOKUP(B713,Pricelist!A:D,2,FALSE)),"",VLOOKUP(B713,Pricelist!A:D,4,FALSE))</f>
        <v/>
      </c>
    </row>
    <row r="714" spans="2:4">
      <c r="B714" s="270"/>
      <c r="C714" s="369" t="str">
        <f>IF(ISNA(VLOOKUP(B714,Pricelist!A:D,2,FALSE)),"",VLOOKUP(B714,Pricelist!A:D,2,FALSE))</f>
        <v/>
      </c>
      <c r="D714" s="134" t="str">
        <f>IF(ISNA(VLOOKUP(B714,Pricelist!A:D,2,FALSE)),"",VLOOKUP(B714,Pricelist!A:D,4,FALSE))</f>
        <v/>
      </c>
    </row>
    <row r="715" spans="2:4">
      <c r="B715" s="270"/>
      <c r="C715" s="369" t="str">
        <f>IF(ISNA(VLOOKUP(B715,Pricelist!A:D,2,FALSE)),"",VLOOKUP(B715,Pricelist!A:D,2,FALSE))</f>
        <v/>
      </c>
      <c r="D715" s="134" t="str">
        <f>IF(ISNA(VLOOKUP(B715,Pricelist!A:D,2,FALSE)),"",VLOOKUP(B715,Pricelist!A:D,4,FALSE))</f>
        <v/>
      </c>
    </row>
    <row r="716" spans="2:4">
      <c r="B716" s="270"/>
      <c r="C716" s="369" t="str">
        <f>IF(ISNA(VLOOKUP(B716,Pricelist!A:D,2,FALSE)),"",VLOOKUP(B716,Pricelist!A:D,2,FALSE))</f>
        <v/>
      </c>
      <c r="D716" s="134" t="str">
        <f>IF(ISNA(VLOOKUP(B716,Pricelist!A:D,2,FALSE)),"",VLOOKUP(B716,Pricelist!A:D,4,FALSE))</f>
        <v/>
      </c>
    </row>
    <row r="717" spans="2:4">
      <c r="B717" s="270"/>
      <c r="C717" s="369" t="str">
        <f>IF(ISNA(VLOOKUP(B717,Pricelist!A:D,2,FALSE)),"",VLOOKUP(B717,Pricelist!A:D,2,FALSE))</f>
        <v/>
      </c>
      <c r="D717" s="134" t="str">
        <f>IF(ISNA(VLOOKUP(B717,Pricelist!A:D,2,FALSE)),"",VLOOKUP(B717,Pricelist!A:D,4,FALSE))</f>
        <v/>
      </c>
    </row>
    <row r="718" spans="2:4">
      <c r="B718" s="270"/>
      <c r="C718" s="369" t="str">
        <f>IF(ISNA(VLOOKUP(B718,Pricelist!A:D,2,FALSE)),"",VLOOKUP(B718,Pricelist!A:D,2,FALSE))</f>
        <v/>
      </c>
      <c r="D718" s="134" t="str">
        <f>IF(ISNA(VLOOKUP(B718,Pricelist!A:D,2,FALSE)),"",VLOOKUP(B718,Pricelist!A:D,4,FALSE))</f>
        <v/>
      </c>
    </row>
    <row r="719" spans="2:4">
      <c r="B719" s="270"/>
      <c r="C719" s="369" t="str">
        <f>IF(ISNA(VLOOKUP(B719,Pricelist!A:D,2,FALSE)),"",VLOOKUP(B719,Pricelist!A:D,2,FALSE))</f>
        <v/>
      </c>
      <c r="D719" s="134" t="str">
        <f>IF(ISNA(VLOOKUP(B719,Pricelist!A:D,2,FALSE)),"",VLOOKUP(B719,Pricelist!A:D,4,FALSE))</f>
        <v/>
      </c>
    </row>
    <row r="720" spans="2:4">
      <c r="B720" s="270"/>
      <c r="C720" s="369" t="str">
        <f>IF(ISNA(VLOOKUP(B720,Pricelist!A:D,2,FALSE)),"",VLOOKUP(B720,Pricelist!A:D,2,FALSE))</f>
        <v/>
      </c>
      <c r="D720" s="134" t="str">
        <f>IF(ISNA(VLOOKUP(B720,Pricelist!A:D,2,FALSE)),"",VLOOKUP(B720,Pricelist!A:D,4,FALSE))</f>
        <v/>
      </c>
    </row>
    <row r="721" spans="2:4">
      <c r="B721" s="270"/>
      <c r="C721" s="369" t="str">
        <f>IF(ISNA(VLOOKUP(B721,Pricelist!A:D,2,FALSE)),"",VLOOKUP(B721,Pricelist!A:D,2,FALSE))</f>
        <v/>
      </c>
      <c r="D721" s="134" t="str">
        <f>IF(ISNA(VLOOKUP(B721,Pricelist!A:D,2,FALSE)),"",VLOOKUP(B721,Pricelist!A:D,4,FALSE))</f>
        <v/>
      </c>
    </row>
    <row r="722" spans="2:4">
      <c r="B722" s="270"/>
      <c r="C722" s="369" t="str">
        <f>IF(ISNA(VLOOKUP(B722,Pricelist!A:D,2,FALSE)),"",VLOOKUP(B722,Pricelist!A:D,2,FALSE))</f>
        <v/>
      </c>
      <c r="D722" s="134" t="str">
        <f>IF(ISNA(VLOOKUP(B722,Pricelist!A:D,2,FALSE)),"",VLOOKUP(B722,Pricelist!A:D,4,FALSE))</f>
        <v/>
      </c>
    </row>
    <row r="723" spans="2:4">
      <c r="B723" s="270"/>
      <c r="C723" s="369" t="str">
        <f>IF(ISNA(VLOOKUP(B723,Pricelist!A:D,2,FALSE)),"",VLOOKUP(B723,Pricelist!A:D,2,FALSE))</f>
        <v/>
      </c>
      <c r="D723" s="134" t="str">
        <f>IF(ISNA(VLOOKUP(B723,Pricelist!A:D,2,FALSE)),"",VLOOKUP(B723,Pricelist!A:D,4,FALSE))</f>
        <v/>
      </c>
    </row>
    <row r="724" spans="2:4">
      <c r="B724" s="270"/>
      <c r="C724" s="369" t="str">
        <f>IF(ISNA(VLOOKUP(B724,Pricelist!A:D,2,FALSE)),"",VLOOKUP(B724,Pricelist!A:D,2,FALSE))</f>
        <v/>
      </c>
      <c r="D724" s="134" t="str">
        <f>IF(ISNA(VLOOKUP(B724,Pricelist!A:D,2,FALSE)),"",VLOOKUP(B724,Pricelist!A:D,4,FALSE))</f>
        <v/>
      </c>
    </row>
    <row r="725" spans="2:4">
      <c r="B725" s="270"/>
      <c r="C725" s="369" t="str">
        <f>IF(ISNA(VLOOKUP(B725,Pricelist!A:D,2,FALSE)),"",VLOOKUP(B725,Pricelist!A:D,2,FALSE))</f>
        <v/>
      </c>
      <c r="D725" s="134" t="str">
        <f>IF(ISNA(VLOOKUP(B725,Pricelist!A:D,2,FALSE)),"",VLOOKUP(B725,Pricelist!A:D,4,FALSE))</f>
        <v/>
      </c>
    </row>
    <row r="726" spans="2:4">
      <c r="B726" s="270"/>
      <c r="C726" s="369" t="str">
        <f>IF(ISNA(VLOOKUP(B726,Pricelist!A:D,2,FALSE)),"",VLOOKUP(B726,Pricelist!A:D,2,FALSE))</f>
        <v/>
      </c>
      <c r="D726" s="134" t="str">
        <f>IF(ISNA(VLOOKUP(B726,Pricelist!A:D,2,FALSE)),"",VLOOKUP(B726,Pricelist!A:D,4,FALSE))</f>
        <v/>
      </c>
    </row>
    <row r="727" spans="2:4">
      <c r="B727" s="270"/>
      <c r="C727" s="369" t="str">
        <f>IF(ISNA(VLOOKUP(B727,Pricelist!A:D,2,FALSE)),"",VLOOKUP(B727,Pricelist!A:D,2,FALSE))</f>
        <v/>
      </c>
      <c r="D727" s="134" t="str">
        <f>IF(ISNA(VLOOKUP(B727,Pricelist!A:D,2,FALSE)),"",VLOOKUP(B727,Pricelist!A:D,4,FALSE))</f>
        <v/>
      </c>
    </row>
    <row r="728" spans="2:4">
      <c r="B728" s="270"/>
      <c r="C728" s="369" t="str">
        <f>IF(ISNA(VLOOKUP(B728,Pricelist!A:D,2,FALSE)),"",VLOOKUP(B728,Pricelist!A:D,2,FALSE))</f>
        <v/>
      </c>
      <c r="D728" s="134" t="str">
        <f>IF(ISNA(VLOOKUP(B728,Pricelist!A:D,2,FALSE)),"",VLOOKUP(B728,Pricelist!A:D,4,FALSE))</f>
        <v/>
      </c>
    </row>
    <row r="729" spans="2:4">
      <c r="B729" s="270"/>
      <c r="C729" s="369" t="str">
        <f>IF(ISNA(VLOOKUP(B729,Pricelist!A:D,2,FALSE)),"",VLOOKUP(B729,Pricelist!A:D,2,FALSE))</f>
        <v/>
      </c>
      <c r="D729" s="134" t="str">
        <f>IF(ISNA(VLOOKUP(B729,Pricelist!A:D,2,FALSE)),"",VLOOKUP(B729,Pricelist!A:D,4,FALSE))</f>
        <v/>
      </c>
    </row>
    <row r="730" spans="2:4">
      <c r="B730" s="270"/>
      <c r="C730" s="369" t="str">
        <f>IF(ISNA(VLOOKUP(B730,Pricelist!A:D,2,FALSE)),"",VLOOKUP(B730,Pricelist!A:D,2,FALSE))</f>
        <v/>
      </c>
      <c r="D730" s="134" t="str">
        <f>IF(ISNA(VLOOKUP(B730,Pricelist!A:D,2,FALSE)),"",VLOOKUP(B730,Pricelist!A:D,4,FALSE))</f>
        <v/>
      </c>
    </row>
    <row r="731" spans="2:4">
      <c r="B731" s="270"/>
      <c r="C731" s="369" t="str">
        <f>IF(ISNA(VLOOKUP(B731,Pricelist!A:D,2,FALSE)),"",VLOOKUP(B731,Pricelist!A:D,2,FALSE))</f>
        <v/>
      </c>
      <c r="D731" s="134" t="str">
        <f>IF(ISNA(VLOOKUP(B731,Pricelist!A:D,2,FALSE)),"",VLOOKUP(B731,Pricelist!A:D,4,FALSE))</f>
        <v/>
      </c>
    </row>
    <row r="732" spans="2:4">
      <c r="B732" s="270"/>
      <c r="C732" s="369" t="str">
        <f>IF(ISNA(VLOOKUP(B732,Pricelist!A:D,2,FALSE)),"",VLOOKUP(B732,Pricelist!A:D,2,FALSE))</f>
        <v/>
      </c>
      <c r="D732" s="134" t="str">
        <f>IF(ISNA(VLOOKUP(B732,Pricelist!A:D,2,FALSE)),"",VLOOKUP(B732,Pricelist!A:D,4,FALSE))</f>
        <v/>
      </c>
    </row>
    <row r="733" spans="2:4">
      <c r="B733" s="270"/>
      <c r="C733" s="369" t="str">
        <f>IF(ISNA(VLOOKUP(B733,Pricelist!A:D,2,FALSE)),"",VLOOKUP(B733,Pricelist!A:D,2,FALSE))</f>
        <v/>
      </c>
      <c r="D733" s="134" t="str">
        <f>IF(ISNA(VLOOKUP(B733,Pricelist!A:D,2,FALSE)),"",VLOOKUP(B733,Pricelist!A:D,4,FALSE))</f>
        <v/>
      </c>
    </row>
    <row r="734" spans="2:4">
      <c r="B734" s="270"/>
      <c r="C734" s="369" t="str">
        <f>IF(ISNA(VLOOKUP(B734,Pricelist!A:D,2,FALSE)),"",VLOOKUP(B734,Pricelist!A:D,2,FALSE))</f>
        <v/>
      </c>
      <c r="D734" s="134" t="str">
        <f>IF(ISNA(VLOOKUP(B734,Pricelist!A:D,2,FALSE)),"",VLOOKUP(B734,Pricelist!A:D,4,FALSE))</f>
        <v/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729"/>
  <sheetViews>
    <sheetView workbookViewId="0">
      <selection activeCell="F40" sqref="F40:G40"/>
    </sheetView>
  </sheetViews>
  <sheetFormatPr defaultColWidth="8.85546875" defaultRowHeight="12" customHeight="1"/>
  <cols>
    <col min="1" max="1" width="10.140625" style="158" bestFit="1" customWidth="1"/>
    <col min="2" max="2" width="8.5703125" bestFit="1" customWidth="1"/>
    <col min="3" max="3" width="34.140625" style="158" bestFit="1" customWidth="1"/>
    <col min="4" max="4" width="6.140625" style="158" bestFit="1" customWidth="1"/>
    <col min="5" max="5" width="26.85546875" style="158" bestFit="1" customWidth="1"/>
    <col min="6" max="6" width="19.42578125" style="158" bestFit="1" customWidth="1"/>
    <col min="7" max="7" width="3" style="158" bestFit="1" customWidth="1"/>
    <col min="8" max="8" width="7" style="158" bestFit="1" customWidth="1"/>
    <col min="9" max="16384" width="8.85546875" style="158"/>
  </cols>
  <sheetData>
    <row r="1" spans="1:10" ht="12" customHeight="1">
      <c r="A1" s="154"/>
      <c r="C1" s="155" t="s">
        <v>342</v>
      </c>
      <c r="D1" s="156" t="s">
        <v>343</v>
      </c>
      <c r="E1" s="157"/>
    </row>
    <row r="2" spans="1:10" ht="12" customHeight="1">
      <c r="B2" s="270" t="s">
        <v>901</v>
      </c>
      <c r="C2" s="371" t="str">
        <f>IF(ISNA(VLOOKUP(B2,Pricelist!A:D,2,FALSE)),"",VLOOKUP(B2,Pricelist!A:D,2,FALSE))</f>
        <v>Sara/Beth Armless Sofa</v>
      </c>
      <c r="D2" s="159">
        <f>IF(ISNA(VLOOKUP(B2,Pricelist!A:D,2,FALSE)),"",VLOOKUP(B2,Pricelist!A:D,4,FALSE))</f>
        <v>1.75</v>
      </c>
      <c r="E2" s="160"/>
      <c r="F2" s="411" t="s">
        <v>1912</v>
      </c>
      <c r="G2" s="161"/>
      <c r="H2" s="157"/>
    </row>
    <row r="3" spans="1:10" ht="12" customHeight="1">
      <c r="A3" s="158" t="s">
        <v>448</v>
      </c>
      <c r="B3" s="270" t="s">
        <v>901</v>
      </c>
      <c r="C3" s="371" t="str">
        <f>IF(ISNA(VLOOKUP(B3,Pricelist!A:D,2,FALSE)),"",VLOOKUP(B3,Pricelist!A:D,2,FALSE))</f>
        <v>Sara/Beth Armless Sofa</v>
      </c>
      <c r="D3" s="159">
        <f>IF(ISNA(VLOOKUP(B3,Pricelist!A:D,2,FALSE)),"",VLOOKUP(B3,Pricelist!A:D,4,FALSE))</f>
        <v>1.75</v>
      </c>
      <c r="E3" s="160"/>
      <c r="G3" s="162"/>
      <c r="H3" s="157"/>
    </row>
    <row r="4" spans="1:10" ht="12" customHeight="1">
      <c r="A4" s="158">
        <f>COUNTA(B2:B97)</f>
        <v>2</v>
      </c>
      <c r="B4" s="270"/>
      <c r="C4" s="371" t="str">
        <f>IF(ISNA(VLOOKUP(B4,Pricelist!A:D,2,FALSE)),"",VLOOKUP(B4,Pricelist!A:D,2,FALSE))</f>
        <v/>
      </c>
      <c r="D4" s="159" t="str">
        <f>IF(ISNA(VLOOKUP(B4,Pricelist!A:D,2,FALSE)),"",VLOOKUP(B4,Pricelist!A:D,4,FALSE))</f>
        <v/>
      </c>
      <c r="E4" s="160"/>
      <c r="F4" s="163" t="s">
        <v>344</v>
      </c>
      <c r="G4" s="164"/>
      <c r="H4" s="165">
        <f>SUM(D:D)</f>
        <v>3.5</v>
      </c>
      <c r="I4" s="281"/>
      <c r="J4" s="280"/>
    </row>
    <row r="5" spans="1:10" ht="12" customHeight="1">
      <c r="B5" s="270"/>
      <c r="C5" s="371" t="str">
        <f>IF(ISNA(VLOOKUP(B5,Pricelist!A:D,2,FALSE)),"",VLOOKUP(B5,Pricelist!A:D,2,FALSE))</f>
        <v/>
      </c>
      <c r="D5" s="159" t="str">
        <f>IF(ISNA(VLOOKUP(B5,Pricelist!A:D,2,FALSE)),"",VLOOKUP(B5,Pricelist!A:D,4,FALSE))</f>
        <v/>
      </c>
      <c r="E5" s="160"/>
      <c r="F5" s="163" t="s">
        <v>345</v>
      </c>
      <c r="H5" s="158">
        <f>COUNTA(B2:B990)</f>
        <v>2</v>
      </c>
    </row>
    <row r="6" spans="1:10" ht="12" customHeight="1">
      <c r="B6" s="270"/>
      <c r="C6" s="371" t="str">
        <f>IF(ISNA(VLOOKUP(B6,Pricelist!A:D,2,FALSE)),"",VLOOKUP(B6,Pricelist!A:D,2,FALSE))</f>
        <v/>
      </c>
      <c r="D6" s="159" t="str">
        <f>IF(ISNA(VLOOKUP(B6,Pricelist!A:D,2,FALSE)),"",VLOOKUP(B6,Pricelist!A:D,4,FALSE))</f>
        <v/>
      </c>
      <c r="E6" s="160"/>
      <c r="F6" s="154" t="s">
        <v>346</v>
      </c>
      <c r="G6" s="166"/>
      <c r="H6" s="167">
        <f>G6*10</f>
        <v>0</v>
      </c>
    </row>
    <row r="7" spans="1:10" ht="12" customHeight="1">
      <c r="B7" s="270"/>
      <c r="C7" s="371" t="str">
        <f>IF(ISNA(VLOOKUP(B7,Pricelist!A:D,2,FALSE)),"",VLOOKUP(B7,Pricelist!A:D,2,FALSE))</f>
        <v/>
      </c>
      <c r="D7" s="159" t="str">
        <f>IF(ISNA(VLOOKUP(B7,Pricelist!A:D,2,FALSE)),"",VLOOKUP(B7,Pricelist!A:D,4,FALSE))</f>
        <v/>
      </c>
      <c r="E7" s="160"/>
      <c r="F7" s="154"/>
      <c r="G7" s="168"/>
    </row>
    <row r="8" spans="1:10" ht="12" customHeight="1">
      <c r="B8" s="270"/>
      <c r="C8" s="371" t="str">
        <f>IF(ISNA(VLOOKUP(B8,Pricelist!A:D,2,FALSE)),"",VLOOKUP(B8,Pricelist!A:D,2,FALSE))</f>
        <v/>
      </c>
      <c r="D8" s="159" t="str">
        <f>IF(ISNA(VLOOKUP(B8,Pricelist!A:D,2,FALSE)),"",VLOOKUP(B8,Pricelist!A:D,4,FALSE))</f>
        <v/>
      </c>
      <c r="E8" s="160"/>
    </row>
    <row r="9" spans="1:10" ht="12" customHeight="1">
      <c r="B9" s="270"/>
      <c r="C9" s="371" t="str">
        <f>IF(ISNA(VLOOKUP(B9,Pricelist!A:D,2,FALSE)),"",VLOOKUP(B9,Pricelist!A:D,2,FALSE))</f>
        <v/>
      </c>
      <c r="D9" s="159" t="str">
        <f>IF(ISNA(VLOOKUP(B9,Pricelist!A:D,2,FALSE)),"",VLOOKUP(B9,Pricelist!A:D,4,FALSE))</f>
        <v/>
      </c>
      <c r="E9" s="160"/>
    </row>
    <row r="10" spans="1:10" ht="12" customHeight="1">
      <c r="B10" s="270"/>
      <c r="C10" s="371" t="str">
        <f>IF(ISNA(VLOOKUP(B10,Pricelist!A:D,2,FALSE)),"",VLOOKUP(B10,Pricelist!A:D,2,FALSE))</f>
        <v/>
      </c>
      <c r="D10" s="159" t="str">
        <f>IF(ISNA(VLOOKUP(B10,Pricelist!A:D,2,FALSE)),"",VLOOKUP(B10,Pricelist!A:D,4,FALSE))</f>
        <v/>
      </c>
      <c r="E10" s="160"/>
    </row>
    <row r="11" spans="1:10" ht="12" customHeight="1">
      <c r="B11" s="270"/>
      <c r="C11" s="371" t="str">
        <f>IF(ISNA(VLOOKUP(B11,Pricelist!A:D,2,FALSE)),"",VLOOKUP(B11,Pricelist!A:D,2,FALSE))</f>
        <v/>
      </c>
      <c r="D11" s="159" t="str">
        <f>IF(ISNA(VLOOKUP(B11,Pricelist!A:D,2,FALSE)),"",VLOOKUP(B11,Pricelist!A:D,4,FALSE))</f>
        <v/>
      </c>
      <c r="E11" s="160"/>
    </row>
    <row r="12" spans="1:10" ht="12" customHeight="1">
      <c r="B12" s="270"/>
      <c r="C12" s="371" t="str">
        <f>IF(ISNA(VLOOKUP(B12,Pricelist!A:D,2,FALSE)),"",VLOOKUP(B12,Pricelist!A:D,2,FALSE))</f>
        <v/>
      </c>
      <c r="D12" s="159" t="str">
        <f>IF(ISNA(VLOOKUP(B12,Pricelist!A:D,2,FALSE)),"",VLOOKUP(B12,Pricelist!A:D,4,FALSE))</f>
        <v/>
      </c>
      <c r="E12" s="160"/>
    </row>
    <row r="13" spans="1:10" ht="12" customHeight="1">
      <c r="B13" s="270"/>
      <c r="C13" s="371" t="str">
        <f>IF(ISNA(VLOOKUP(B13,Pricelist!A:D,2,FALSE)),"",VLOOKUP(B13,Pricelist!A:D,2,FALSE))</f>
        <v/>
      </c>
      <c r="D13" s="159" t="str">
        <f>IF(ISNA(VLOOKUP(B13,Pricelist!A:D,2,FALSE)),"",VLOOKUP(B13,Pricelist!A:D,4,FALSE))</f>
        <v/>
      </c>
      <c r="E13" s="160"/>
    </row>
    <row r="14" spans="1:10" ht="12" customHeight="1">
      <c r="B14" s="270"/>
      <c r="C14" s="371" t="str">
        <f>IF(ISNA(VLOOKUP(B14,Pricelist!A:D,2,FALSE)),"",VLOOKUP(B14,Pricelist!A:D,2,FALSE))</f>
        <v/>
      </c>
      <c r="D14" s="159" t="str">
        <f>IF(ISNA(VLOOKUP(B14,Pricelist!A:D,2,FALSE)),"",VLOOKUP(B14,Pricelist!A:D,4,FALSE))</f>
        <v/>
      </c>
      <c r="E14" s="160"/>
    </row>
    <row r="15" spans="1:10" ht="12" customHeight="1">
      <c r="B15" s="270"/>
      <c r="C15" s="371" t="str">
        <f>IF(ISNA(VLOOKUP(B15,Pricelist!A:D,2,FALSE)),"",VLOOKUP(B15,Pricelist!A:D,2,FALSE))</f>
        <v/>
      </c>
      <c r="D15" s="159" t="str">
        <f>IF(ISNA(VLOOKUP(B15,Pricelist!A:D,2,FALSE)),"",VLOOKUP(B15,Pricelist!A:D,4,FALSE))</f>
        <v/>
      </c>
      <c r="E15" s="160"/>
    </row>
    <row r="16" spans="1:10" ht="12" customHeight="1">
      <c r="B16" s="270"/>
      <c r="C16" s="371" t="str">
        <f>IF(ISNA(VLOOKUP(B16,Pricelist!A:D,2,FALSE)),"",VLOOKUP(B16,Pricelist!A:D,2,FALSE))</f>
        <v/>
      </c>
      <c r="D16" s="159" t="str">
        <f>IF(ISNA(VLOOKUP(B16,Pricelist!A:D,2,FALSE)),"",VLOOKUP(B16,Pricelist!A:D,4,FALSE))</f>
        <v/>
      </c>
      <c r="E16" s="160"/>
    </row>
    <row r="17" spans="2:5" ht="12" customHeight="1">
      <c r="B17" s="270"/>
      <c r="C17" s="371" t="str">
        <f>IF(ISNA(VLOOKUP(B17,Pricelist!A:D,2,FALSE)),"",VLOOKUP(B17,Pricelist!A:D,2,FALSE))</f>
        <v/>
      </c>
      <c r="D17" s="159" t="str">
        <f>IF(ISNA(VLOOKUP(B17,Pricelist!A:D,2,FALSE)),"",VLOOKUP(B17,Pricelist!A:D,4,FALSE))</f>
        <v/>
      </c>
      <c r="E17" s="160"/>
    </row>
    <row r="18" spans="2:5" ht="12" customHeight="1">
      <c r="B18" s="270"/>
      <c r="C18" s="371" t="str">
        <f>IF(ISNA(VLOOKUP(B18,Pricelist!A:D,2,FALSE)),"",VLOOKUP(B18,Pricelist!A:D,2,FALSE))</f>
        <v/>
      </c>
      <c r="D18" s="159" t="str">
        <f>IF(ISNA(VLOOKUP(B18,Pricelist!A:D,2,FALSE)),"",VLOOKUP(B18,Pricelist!A:D,4,FALSE))</f>
        <v/>
      </c>
      <c r="E18" s="160"/>
    </row>
    <row r="19" spans="2:5" ht="12" customHeight="1">
      <c r="B19" s="270"/>
      <c r="C19" s="371" t="str">
        <f>IF(ISNA(VLOOKUP(B19,Pricelist!A:D,2,FALSE)),"",VLOOKUP(B19,Pricelist!A:D,2,FALSE))</f>
        <v/>
      </c>
      <c r="D19" s="159" t="str">
        <f>IF(ISNA(VLOOKUP(B19,Pricelist!A:D,2,FALSE)),"",VLOOKUP(B19,Pricelist!A:D,4,FALSE))</f>
        <v/>
      </c>
      <c r="E19" s="160"/>
    </row>
    <row r="20" spans="2:5" ht="12" customHeight="1">
      <c r="B20" s="270"/>
      <c r="C20" s="371" t="str">
        <f>IF(ISNA(VLOOKUP(B20,Pricelist!A:D,2,FALSE)),"",VLOOKUP(B20,Pricelist!A:D,2,FALSE))</f>
        <v/>
      </c>
      <c r="D20" s="159" t="str">
        <f>IF(ISNA(VLOOKUP(B20,Pricelist!A:D,2,FALSE)),"",VLOOKUP(B20,Pricelist!A:D,4,FALSE))</f>
        <v/>
      </c>
      <c r="E20" s="160"/>
    </row>
    <row r="21" spans="2:5" ht="12" customHeight="1">
      <c r="B21" s="270"/>
      <c r="C21" s="371" t="str">
        <f>IF(ISNA(VLOOKUP(B21,Pricelist!A:D,2,FALSE)),"",VLOOKUP(B21,Pricelist!A:D,2,FALSE))</f>
        <v/>
      </c>
      <c r="D21" s="159" t="str">
        <f>IF(ISNA(VLOOKUP(B21,Pricelist!A:D,2,FALSE)),"",VLOOKUP(B21,Pricelist!A:D,4,FALSE))</f>
        <v/>
      </c>
      <c r="E21" s="160"/>
    </row>
    <row r="22" spans="2:5" ht="12" customHeight="1">
      <c r="B22" s="270"/>
      <c r="C22" s="371" t="str">
        <f>IF(ISNA(VLOOKUP(B22,Pricelist!A:D,2,FALSE)),"",VLOOKUP(B22,Pricelist!A:D,2,FALSE))</f>
        <v/>
      </c>
      <c r="D22" s="159" t="str">
        <f>IF(ISNA(VLOOKUP(B22,Pricelist!A:D,2,FALSE)),"",VLOOKUP(B22,Pricelist!A:D,4,FALSE))</f>
        <v/>
      </c>
      <c r="E22" s="160"/>
    </row>
    <row r="23" spans="2:5" ht="12" customHeight="1">
      <c r="B23" s="270"/>
      <c r="C23" s="371" t="str">
        <f>IF(ISNA(VLOOKUP(B23,Pricelist!A:D,2,FALSE)),"",VLOOKUP(B23,Pricelist!A:D,2,FALSE))</f>
        <v/>
      </c>
      <c r="D23" s="159" t="str">
        <f>IF(ISNA(VLOOKUP(B23,Pricelist!A:D,2,FALSE)),"",VLOOKUP(B23,Pricelist!A:D,4,FALSE))</f>
        <v/>
      </c>
      <c r="E23" s="160"/>
    </row>
    <row r="24" spans="2:5" ht="12" customHeight="1">
      <c r="B24" s="270"/>
      <c r="C24" s="371" t="str">
        <f>IF(ISNA(VLOOKUP(B24,Pricelist!A:D,2,FALSE)),"",VLOOKUP(B24,Pricelist!A:D,2,FALSE))</f>
        <v/>
      </c>
      <c r="D24" s="159" t="str">
        <f>IF(ISNA(VLOOKUP(B24,Pricelist!A:D,2,FALSE)),"",VLOOKUP(B24,Pricelist!A:D,4,FALSE))</f>
        <v/>
      </c>
      <c r="E24" s="160"/>
    </row>
    <row r="25" spans="2:5" ht="12" customHeight="1">
      <c r="B25" s="270"/>
      <c r="C25" s="371" t="str">
        <f>IF(ISNA(VLOOKUP(B25,Pricelist!A:D,2,FALSE)),"",VLOOKUP(B25,Pricelist!A:D,2,FALSE))</f>
        <v/>
      </c>
      <c r="D25" s="159" t="str">
        <f>IF(ISNA(VLOOKUP(B25,Pricelist!A:D,2,FALSE)),"",VLOOKUP(B25,Pricelist!A:D,4,FALSE))</f>
        <v/>
      </c>
      <c r="E25" s="160"/>
    </row>
    <row r="26" spans="2:5" ht="12" customHeight="1">
      <c r="B26" s="270"/>
      <c r="C26" s="371" t="str">
        <f>IF(ISNA(VLOOKUP(B26,Pricelist!A:D,2,FALSE)),"",VLOOKUP(B26,Pricelist!A:D,2,FALSE))</f>
        <v/>
      </c>
      <c r="D26" s="159" t="str">
        <f>IF(ISNA(VLOOKUP(B26,Pricelist!A:D,2,FALSE)),"",VLOOKUP(B26,Pricelist!A:D,4,FALSE))</f>
        <v/>
      </c>
      <c r="E26" s="160"/>
    </row>
    <row r="27" spans="2:5" ht="12" customHeight="1">
      <c r="B27" s="270"/>
      <c r="C27" s="371" t="str">
        <f>IF(ISNA(VLOOKUP(B27,Pricelist!A:D,2,FALSE)),"",VLOOKUP(B27,Pricelist!A:D,2,FALSE))</f>
        <v/>
      </c>
      <c r="D27" s="159" t="str">
        <f>IF(ISNA(VLOOKUP(B27,Pricelist!A:D,2,FALSE)),"",VLOOKUP(B27,Pricelist!A:D,4,FALSE))</f>
        <v/>
      </c>
      <c r="E27" s="160"/>
    </row>
    <row r="28" spans="2:5" ht="12" customHeight="1">
      <c r="B28" s="270"/>
      <c r="C28" s="371" t="str">
        <f>IF(ISNA(VLOOKUP(B28,Pricelist!A:D,2,FALSE)),"",VLOOKUP(B28,Pricelist!A:D,2,FALSE))</f>
        <v/>
      </c>
      <c r="D28" s="159" t="str">
        <f>IF(ISNA(VLOOKUP(B28,Pricelist!A:D,2,FALSE)),"",VLOOKUP(B28,Pricelist!A:D,4,FALSE))</f>
        <v/>
      </c>
      <c r="E28" s="160"/>
    </row>
    <row r="29" spans="2:5" ht="12" customHeight="1">
      <c r="B29" s="270"/>
      <c r="C29" s="371" t="str">
        <f>IF(ISNA(VLOOKUP(B29,Pricelist!A:D,2,FALSE)),"",VLOOKUP(B29,Pricelist!A:D,2,FALSE))</f>
        <v/>
      </c>
      <c r="D29" s="159" t="str">
        <f>IF(ISNA(VLOOKUP(B29,Pricelist!A:D,2,FALSE)),"",VLOOKUP(B29,Pricelist!A:D,4,FALSE))</f>
        <v/>
      </c>
      <c r="E29" s="160"/>
    </row>
    <row r="30" spans="2:5" ht="12" customHeight="1">
      <c r="B30" s="270"/>
      <c r="C30" s="371" t="str">
        <f>IF(ISNA(VLOOKUP(B30,Pricelist!A:D,2,FALSE)),"",VLOOKUP(B30,Pricelist!A:D,2,FALSE))</f>
        <v/>
      </c>
      <c r="D30" s="159" t="str">
        <f>IF(ISNA(VLOOKUP(B30,Pricelist!A:D,2,FALSE)),"",VLOOKUP(B30,Pricelist!A:D,4,FALSE))</f>
        <v/>
      </c>
      <c r="E30" s="160"/>
    </row>
    <row r="31" spans="2:5" ht="12" customHeight="1">
      <c r="B31" s="270"/>
      <c r="C31" s="371" t="str">
        <f>IF(ISNA(VLOOKUP(B31,Pricelist!A:D,2,FALSE)),"",VLOOKUP(B31,Pricelist!A:D,2,FALSE))</f>
        <v/>
      </c>
      <c r="D31" s="159" t="str">
        <f>IF(ISNA(VLOOKUP(B31,Pricelist!A:D,2,FALSE)),"",VLOOKUP(B31,Pricelist!A:D,4,FALSE))</f>
        <v/>
      </c>
      <c r="E31" s="160"/>
    </row>
    <row r="32" spans="2:5" ht="12" customHeight="1">
      <c r="B32" s="270"/>
      <c r="C32" s="371" t="str">
        <f>IF(ISNA(VLOOKUP(B32,Pricelist!A:D,2,FALSE)),"",VLOOKUP(B32,Pricelist!A:D,2,FALSE))</f>
        <v/>
      </c>
      <c r="D32" s="159" t="str">
        <f>IF(ISNA(VLOOKUP(B32,Pricelist!A:D,2,FALSE)),"",VLOOKUP(B32,Pricelist!A:D,4,FALSE))</f>
        <v/>
      </c>
      <c r="E32" s="160"/>
    </row>
    <row r="33" spans="2:7" ht="12" customHeight="1">
      <c r="B33" s="270"/>
      <c r="C33" s="371" t="str">
        <f>IF(ISNA(VLOOKUP(B33,Pricelist!A:D,2,FALSE)),"",VLOOKUP(B33,Pricelist!A:D,2,FALSE))</f>
        <v/>
      </c>
      <c r="D33" s="159" t="str">
        <f>IF(ISNA(VLOOKUP(B33,Pricelist!A:D,2,FALSE)),"",VLOOKUP(B33,Pricelist!A:D,4,FALSE))</f>
        <v/>
      </c>
      <c r="E33" s="160"/>
    </row>
    <row r="34" spans="2:7" ht="12" customHeight="1">
      <c r="B34" s="270"/>
      <c r="C34" s="371" t="str">
        <f>IF(ISNA(VLOOKUP(B34,Pricelist!A:D,2,FALSE)),"",VLOOKUP(B34,Pricelist!A:D,2,FALSE))</f>
        <v/>
      </c>
      <c r="D34" s="159" t="str">
        <f>IF(ISNA(VLOOKUP(B34,Pricelist!A:D,2,FALSE)),"",VLOOKUP(B34,Pricelist!A:D,4,FALSE))</f>
        <v/>
      </c>
      <c r="E34" s="160"/>
    </row>
    <row r="35" spans="2:7" ht="12" customHeight="1">
      <c r="B35" s="270"/>
      <c r="C35" s="371" t="str">
        <f>IF(ISNA(VLOOKUP(B35,Pricelist!A:D,2,FALSE)),"",VLOOKUP(B35,Pricelist!A:D,2,FALSE))</f>
        <v/>
      </c>
      <c r="D35" s="159" t="str">
        <f>IF(ISNA(VLOOKUP(B35,Pricelist!A:D,2,FALSE)),"",VLOOKUP(B35,Pricelist!A:D,4,FALSE))</f>
        <v/>
      </c>
      <c r="E35" s="160"/>
    </row>
    <row r="36" spans="2:7" ht="12" customHeight="1">
      <c r="B36" s="270"/>
      <c r="C36" s="371" t="str">
        <f>IF(ISNA(VLOOKUP(B36,Pricelist!A:D,2,FALSE)),"",VLOOKUP(B36,Pricelist!A:D,2,FALSE))</f>
        <v/>
      </c>
      <c r="D36" s="159" t="str">
        <f>IF(ISNA(VLOOKUP(B36,Pricelist!A:D,2,FALSE)),"",VLOOKUP(B36,Pricelist!A:D,4,FALSE))</f>
        <v/>
      </c>
      <c r="E36" s="160"/>
      <c r="G36" s="158" t="s">
        <v>582</v>
      </c>
    </row>
    <row r="37" spans="2:7" ht="12" customHeight="1">
      <c r="B37" s="270"/>
      <c r="C37" s="371" t="str">
        <f>IF(ISNA(VLOOKUP(B37,Pricelist!A:D,2,FALSE)),"",VLOOKUP(B37,Pricelist!A:D,2,FALSE))</f>
        <v/>
      </c>
      <c r="D37" s="159" t="str">
        <f>IF(ISNA(VLOOKUP(B37,Pricelist!A:D,2,FALSE)),"",VLOOKUP(B37,Pricelist!A:D,4,FALSE))</f>
        <v/>
      </c>
      <c r="E37" s="160"/>
    </row>
    <row r="38" spans="2:7" ht="12" customHeight="1">
      <c r="B38" s="270"/>
      <c r="C38" s="371" t="str">
        <f>IF(ISNA(VLOOKUP(B38,Pricelist!A:D,2,FALSE)),"",VLOOKUP(B38,Pricelist!A:D,2,FALSE))</f>
        <v/>
      </c>
      <c r="D38" s="159" t="str">
        <f>IF(ISNA(VLOOKUP(B38,Pricelist!A:D,2,FALSE)),"",VLOOKUP(B38,Pricelist!A:D,4,FALSE))</f>
        <v/>
      </c>
      <c r="E38" s="160"/>
    </row>
    <row r="39" spans="2:7" ht="12" customHeight="1">
      <c r="B39" s="270"/>
      <c r="C39" s="371" t="str">
        <f>IF(ISNA(VLOOKUP(B39,Pricelist!A:D,2,FALSE)),"",VLOOKUP(B39,Pricelist!A:D,2,FALSE))</f>
        <v/>
      </c>
      <c r="D39" s="159" t="str">
        <f>IF(ISNA(VLOOKUP(B39,Pricelist!A:D,2,FALSE)),"",VLOOKUP(B39,Pricelist!A:D,4,FALSE))</f>
        <v/>
      </c>
      <c r="E39" s="160"/>
    </row>
    <row r="40" spans="2:7" ht="12" customHeight="1">
      <c r="B40" s="270"/>
      <c r="C40" s="371" t="str">
        <f>IF(ISNA(VLOOKUP(B40,Pricelist!A:D,2,FALSE)),"",VLOOKUP(B40,Pricelist!A:D,2,FALSE))</f>
        <v/>
      </c>
      <c r="D40" s="159" t="str">
        <f>IF(ISNA(VLOOKUP(B40,Pricelist!A:D,2,FALSE)),"",VLOOKUP(B40,Pricelist!A:D,4,FALSE))</f>
        <v/>
      </c>
      <c r="E40" s="160"/>
    </row>
    <row r="41" spans="2:7" ht="12" customHeight="1">
      <c r="B41" s="270"/>
      <c r="C41" s="371" t="str">
        <f>IF(ISNA(VLOOKUP(B41,Pricelist!A:D,2,FALSE)),"",VLOOKUP(B41,Pricelist!A:D,2,FALSE))</f>
        <v/>
      </c>
      <c r="D41" s="159" t="str">
        <f>IF(ISNA(VLOOKUP(B41,Pricelist!A:D,2,FALSE)),"",VLOOKUP(B41,Pricelist!A:D,4,FALSE))</f>
        <v/>
      </c>
      <c r="E41" s="160"/>
    </row>
    <row r="42" spans="2:7" ht="12" customHeight="1">
      <c r="B42" s="270"/>
      <c r="C42" s="371" t="str">
        <f>IF(ISNA(VLOOKUP(B42,Pricelist!A:D,2,FALSE)),"",VLOOKUP(B42,Pricelist!A:D,2,FALSE))</f>
        <v/>
      </c>
      <c r="D42" s="159" t="str">
        <f>IF(ISNA(VLOOKUP(B42,Pricelist!A:D,2,FALSE)),"",VLOOKUP(B42,Pricelist!A:D,4,FALSE))</f>
        <v/>
      </c>
      <c r="E42" s="160"/>
    </row>
    <row r="43" spans="2:7" ht="12" customHeight="1">
      <c r="B43" s="270"/>
      <c r="C43" s="371" t="str">
        <f>IF(ISNA(VLOOKUP(B43,Pricelist!A:D,2,FALSE)),"",VLOOKUP(B43,Pricelist!A:D,2,FALSE))</f>
        <v/>
      </c>
      <c r="D43" s="159" t="str">
        <f>IF(ISNA(VLOOKUP(B43,Pricelist!A:D,2,FALSE)),"",VLOOKUP(B43,Pricelist!A:D,4,FALSE))</f>
        <v/>
      </c>
      <c r="E43" s="160"/>
    </row>
    <row r="44" spans="2:7" ht="12" customHeight="1">
      <c r="B44" s="270"/>
      <c r="C44" s="371" t="str">
        <f>IF(ISNA(VLOOKUP(B44,Pricelist!A:D,2,FALSE)),"",VLOOKUP(B44,Pricelist!A:D,2,FALSE))</f>
        <v/>
      </c>
      <c r="D44" s="159" t="str">
        <f>IF(ISNA(VLOOKUP(B44,Pricelist!A:D,2,FALSE)),"",VLOOKUP(B44,Pricelist!A:D,4,FALSE))</f>
        <v/>
      </c>
      <c r="E44" s="160"/>
    </row>
    <row r="45" spans="2:7" ht="12" customHeight="1">
      <c r="B45" s="270"/>
      <c r="C45" s="371" t="str">
        <f>IF(ISNA(VLOOKUP(B45,Pricelist!A:D,2,FALSE)),"",VLOOKUP(B45,Pricelist!A:D,2,FALSE))</f>
        <v/>
      </c>
      <c r="D45" s="159" t="str">
        <f>IF(ISNA(VLOOKUP(B45,Pricelist!A:D,2,FALSE)),"",VLOOKUP(B45,Pricelist!A:D,4,FALSE))</f>
        <v/>
      </c>
      <c r="E45" s="160"/>
    </row>
    <row r="46" spans="2:7" ht="12" customHeight="1">
      <c r="B46" s="270"/>
      <c r="C46" s="371" t="str">
        <f>IF(ISNA(VLOOKUP(B46,Pricelist!A:D,2,FALSE)),"",VLOOKUP(B46,Pricelist!A:D,2,FALSE))</f>
        <v/>
      </c>
      <c r="D46" s="159" t="str">
        <f>IF(ISNA(VLOOKUP(B46,Pricelist!A:D,2,FALSE)),"",VLOOKUP(B46,Pricelist!A:D,4,FALSE))</f>
        <v/>
      </c>
      <c r="E46" s="160"/>
    </row>
    <row r="47" spans="2:7" ht="12" customHeight="1">
      <c r="B47" s="270"/>
      <c r="C47" s="371" t="str">
        <f>IF(ISNA(VLOOKUP(B47,Pricelist!A:D,2,FALSE)),"",VLOOKUP(B47,Pricelist!A:D,2,FALSE))</f>
        <v/>
      </c>
      <c r="D47" s="159" t="str">
        <f>IF(ISNA(VLOOKUP(B47,Pricelist!A:D,2,FALSE)),"",VLOOKUP(B47,Pricelist!A:D,4,FALSE))</f>
        <v/>
      </c>
      <c r="E47" s="160"/>
    </row>
    <row r="48" spans="2:7" ht="12" customHeight="1">
      <c r="B48" s="270"/>
      <c r="C48" s="371" t="str">
        <f>IF(ISNA(VLOOKUP(B48,Pricelist!A:D,2,FALSE)),"",VLOOKUP(B48,Pricelist!A:D,2,FALSE))</f>
        <v/>
      </c>
      <c r="D48" s="159" t="str">
        <f>IF(ISNA(VLOOKUP(B48,Pricelist!A:D,2,FALSE)),"",VLOOKUP(B48,Pricelist!A:D,4,FALSE))</f>
        <v/>
      </c>
      <c r="E48" s="160"/>
    </row>
    <row r="49" spans="2:5" ht="12" customHeight="1">
      <c r="B49" s="270"/>
      <c r="C49" s="371" t="str">
        <f>IF(ISNA(VLOOKUP(B49,Pricelist!A:D,2,FALSE)),"",VLOOKUP(B49,Pricelist!A:D,2,FALSE))</f>
        <v/>
      </c>
      <c r="D49" s="159" t="str">
        <f>IF(ISNA(VLOOKUP(B49,Pricelist!A:D,2,FALSE)),"",VLOOKUP(B49,Pricelist!A:D,4,FALSE))</f>
        <v/>
      </c>
      <c r="E49" s="160"/>
    </row>
    <row r="50" spans="2:5" ht="12" customHeight="1">
      <c r="B50" s="270"/>
      <c r="C50" s="371" t="str">
        <f>IF(ISNA(VLOOKUP(B50,Pricelist!A:D,2,FALSE)),"",VLOOKUP(B50,Pricelist!A:D,2,FALSE))</f>
        <v/>
      </c>
      <c r="D50" s="159" t="str">
        <f>IF(ISNA(VLOOKUP(B50,Pricelist!A:D,2,FALSE)),"",VLOOKUP(B50,Pricelist!A:D,4,FALSE))</f>
        <v/>
      </c>
      <c r="E50" s="160"/>
    </row>
    <row r="51" spans="2:5" ht="12" customHeight="1">
      <c r="B51" s="270"/>
      <c r="C51" s="371" t="str">
        <f>IF(ISNA(VLOOKUP(B51,Pricelist!A:D,2,FALSE)),"",VLOOKUP(B51,Pricelist!A:D,2,FALSE))</f>
        <v/>
      </c>
      <c r="D51" s="159" t="str">
        <f>IF(ISNA(VLOOKUP(B51,Pricelist!A:D,2,FALSE)),"",VLOOKUP(B51,Pricelist!A:D,4,FALSE))</f>
        <v/>
      </c>
      <c r="E51" s="160"/>
    </row>
    <row r="52" spans="2:5" ht="12" customHeight="1">
      <c r="B52" s="270"/>
      <c r="C52" s="371" t="str">
        <f>IF(ISNA(VLOOKUP(B52,Pricelist!A:D,2,FALSE)),"",VLOOKUP(B52,Pricelist!A:D,2,FALSE))</f>
        <v/>
      </c>
      <c r="D52" s="159" t="str">
        <f>IF(ISNA(VLOOKUP(B52,Pricelist!A:D,2,FALSE)),"",VLOOKUP(B52,Pricelist!A:D,4,FALSE))</f>
        <v/>
      </c>
      <c r="E52" s="160"/>
    </row>
    <row r="53" spans="2:5" ht="12" customHeight="1">
      <c r="B53" s="270"/>
      <c r="C53" s="371" t="str">
        <f>IF(ISNA(VLOOKUP(B53,Pricelist!A:D,2,FALSE)),"",VLOOKUP(B53,Pricelist!A:D,2,FALSE))</f>
        <v/>
      </c>
      <c r="D53" s="159" t="str">
        <f>IF(ISNA(VLOOKUP(B53,Pricelist!A:D,2,FALSE)),"",VLOOKUP(B53,Pricelist!A:D,4,FALSE))</f>
        <v/>
      </c>
      <c r="E53" s="160"/>
    </row>
    <row r="54" spans="2:5" ht="12" customHeight="1">
      <c r="B54" s="270"/>
      <c r="C54" s="371" t="str">
        <f>IF(ISNA(VLOOKUP(B54,Pricelist!A:D,2,FALSE)),"",VLOOKUP(B54,Pricelist!A:D,2,FALSE))</f>
        <v/>
      </c>
      <c r="D54" s="159" t="str">
        <f>IF(ISNA(VLOOKUP(B54,Pricelist!A:D,2,FALSE)),"",VLOOKUP(B54,Pricelist!A:D,4,FALSE))</f>
        <v/>
      </c>
      <c r="E54" s="160"/>
    </row>
    <row r="55" spans="2:5" ht="12" customHeight="1">
      <c r="B55" s="270"/>
      <c r="C55" s="371" t="str">
        <f>IF(ISNA(VLOOKUP(B55,Pricelist!A:D,2,FALSE)),"",VLOOKUP(B55,Pricelist!A:D,2,FALSE))</f>
        <v/>
      </c>
      <c r="D55" s="159" t="str">
        <f>IF(ISNA(VLOOKUP(B55,Pricelist!A:D,2,FALSE)),"",VLOOKUP(B55,Pricelist!A:D,4,FALSE))</f>
        <v/>
      </c>
      <c r="E55" s="160"/>
    </row>
    <row r="56" spans="2:5" ht="12" customHeight="1">
      <c r="B56" s="270"/>
      <c r="C56" s="371" t="str">
        <f>IF(ISNA(VLOOKUP(B56,Pricelist!A:D,2,FALSE)),"",VLOOKUP(B56,Pricelist!A:D,2,FALSE))</f>
        <v/>
      </c>
      <c r="D56" s="159" t="str">
        <f>IF(ISNA(VLOOKUP(B56,Pricelist!A:D,2,FALSE)),"",VLOOKUP(B56,Pricelist!A:D,4,FALSE))</f>
        <v/>
      </c>
      <c r="E56" s="160"/>
    </row>
    <row r="57" spans="2:5" ht="12" customHeight="1">
      <c r="B57" s="270"/>
      <c r="C57" s="371" t="str">
        <f>IF(ISNA(VLOOKUP(B57,Pricelist!A:D,2,FALSE)),"",VLOOKUP(B57,Pricelist!A:D,2,FALSE))</f>
        <v/>
      </c>
      <c r="D57" s="159" t="str">
        <f>IF(ISNA(VLOOKUP(B57,Pricelist!A:D,2,FALSE)),"",VLOOKUP(B57,Pricelist!A:D,4,FALSE))</f>
        <v/>
      </c>
      <c r="E57" s="160"/>
    </row>
    <row r="58" spans="2:5" ht="12" customHeight="1">
      <c r="B58" s="270"/>
      <c r="C58" s="371" t="str">
        <f>IF(ISNA(VLOOKUP(B58,Pricelist!A:D,2,FALSE)),"",VLOOKUP(B58,Pricelist!A:D,2,FALSE))</f>
        <v/>
      </c>
      <c r="D58" s="159" t="str">
        <f>IF(ISNA(VLOOKUP(B58,Pricelist!A:D,2,FALSE)),"",VLOOKUP(B58,Pricelist!A:D,4,FALSE))</f>
        <v/>
      </c>
      <c r="E58" s="160"/>
    </row>
    <row r="59" spans="2:5" ht="12" customHeight="1">
      <c r="B59" s="270"/>
      <c r="C59" s="371" t="str">
        <f>IF(ISNA(VLOOKUP(B59,Pricelist!A:D,2,FALSE)),"",VLOOKUP(B59,Pricelist!A:D,2,FALSE))</f>
        <v/>
      </c>
      <c r="D59" s="159" t="str">
        <f>IF(ISNA(VLOOKUP(B59,Pricelist!A:D,2,FALSE)),"",VLOOKUP(B59,Pricelist!A:D,4,FALSE))</f>
        <v/>
      </c>
      <c r="E59" s="160"/>
    </row>
    <row r="60" spans="2:5" ht="12" customHeight="1">
      <c r="B60" s="270"/>
      <c r="C60" s="371" t="str">
        <f>IF(ISNA(VLOOKUP(B60,Pricelist!A:D,2,FALSE)),"",VLOOKUP(B60,Pricelist!A:D,2,FALSE))</f>
        <v/>
      </c>
      <c r="D60" s="159" t="str">
        <f>IF(ISNA(VLOOKUP(B60,Pricelist!A:D,2,FALSE)),"",VLOOKUP(B60,Pricelist!A:D,4,FALSE))</f>
        <v/>
      </c>
      <c r="E60" s="160"/>
    </row>
    <row r="61" spans="2:5" ht="12" customHeight="1">
      <c r="B61" s="270"/>
      <c r="C61" s="371" t="str">
        <f>IF(ISNA(VLOOKUP(B61,Pricelist!A:D,2,FALSE)),"",VLOOKUP(B61,Pricelist!A:D,2,FALSE))</f>
        <v/>
      </c>
      <c r="D61" s="159" t="str">
        <f>IF(ISNA(VLOOKUP(B61,Pricelist!A:D,2,FALSE)),"",VLOOKUP(B61,Pricelist!A:D,4,FALSE))</f>
        <v/>
      </c>
      <c r="E61" s="160"/>
    </row>
    <row r="62" spans="2:5" ht="12" customHeight="1">
      <c r="B62" s="270"/>
      <c r="C62" s="371" t="str">
        <f>IF(ISNA(VLOOKUP(B62,Pricelist!A:D,2,FALSE)),"",VLOOKUP(B62,Pricelist!A:D,2,FALSE))</f>
        <v/>
      </c>
      <c r="D62" s="159" t="str">
        <f>IF(ISNA(VLOOKUP(B62,Pricelist!A:D,2,FALSE)),"",VLOOKUP(B62,Pricelist!A:D,4,FALSE))</f>
        <v/>
      </c>
      <c r="E62" s="160"/>
    </row>
    <row r="63" spans="2:5" ht="12" customHeight="1">
      <c r="B63" s="270"/>
      <c r="C63" s="371" t="str">
        <f>IF(ISNA(VLOOKUP(B63,Pricelist!A:D,2,FALSE)),"",VLOOKUP(B63,Pricelist!A:D,2,FALSE))</f>
        <v/>
      </c>
      <c r="D63" s="159" t="str">
        <f>IF(ISNA(VLOOKUP(B63,Pricelist!A:D,2,FALSE)),"",VLOOKUP(B63,Pricelist!A:D,4,FALSE))</f>
        <v/>
      </c>
      <c r="E63" s="160"/>
    </row>
    <row r="64" spans="2:5" ht="12" customHeight="1">
      <c r="B64" s="270"/>
      <c r="C64" s="371" t="str">
        <f>IF(ISNA(VLOOKUP(B64,Pricelist!A:D,2,FALSE)),"",VLOOKUP(B64,Pricelist!A:D,2,FALSE))</f>
        <v/>
      </c>
      <c r="D64" s="159" t="str">
        <f>IF(ISNA(VLOOKUP(B64,Pricelist!A:D,2,FALSE)),"",VLOOKUP(B64,Pricelist!A:D,4,FALSE))</f>
        <v/>
      </c>
      <c r="E64" s="160"/>
    </row>
    <row r="65" spans="2:5" ht="12" customHeight="1">
      <c r="B65" s="270"/>
      <c r="C65" s="371" t="str">
        <f>IF(ISNA(VLOOKUP(B65,Pricelist!A:D,2,FALSE)),"",VLOOKUP(B65,Pricelist!A:D,2,FALSE))</f>
        <v/>
      </c>
      <c r="D65" s="159" t="str">
        <f>IF(ISNA(VLOOKUP(B65,Pricelist!A:D,2,FALSE)),"",VLOOKUP(B65,Pricelist!A:D,4,FALSE))</f>
        <v/>
      </c>
      <c r="E65" s="160"/>
    </row>
    <row r="66" spans="2:5" ht="12" customHeight="1">
      <c r="B66" s="270"/>
      <c r="C66" s="371" t="str">
        <f>IF(ISNA(VLOOKUP(B66,Pricelist!A:D,2,FALSE)),"",VLOOKUP(B66,Pricelist!A:D,2,FALSE))</f>
        <v/>
      </c>
      <c r="D66" s="159" t="str">
        <f>IF(ISNA(VLOOKUP(B66,Pricelist!A:D,2,FALSE)),"",VLOOKUP(B66,Pricelist!A:D,4,FALSE))</f>
        <v/>
      </c>
      <c r="E66" s="160"/>
    </row>
    <row r="67" spans="2:5" ht="12" customHeight="1">
      <c r="B67" s="270"/>
      <c r="C67" s="371" t="str">
        <f>IF(ISNA(VLOOKUP(B67,Pricelist!A:D,2,FALSE)),"",VLOOKUP(B67,Pricelist!A:D,2,FALSE))</f>
        <v/>
      </c>
      <c r="D67" s="159" t="str">
        <f>IF(ISNA(VLOOKUP(B67,Pricelist!A:D,2,FALSE)),"",VLOOKUP(B67,Pricelist!A:D,4,FALSE))</f>
        <v/>
      </c>
      <c r="E67" s="160"/>
    </row>
    <row r="68" spans="2:5" ht="12" customHeight="1">
      <c r="B68" s="270"/>
      <c r="C68" s="371" t="str">
        <f>IF(ISNA(VLOOKUP(B68,Pricelist!A:D,2,FALSE)),"",VLOOKUP(B68,Pricelist!A:D,2,FALSE))</f>
        <v/>
      </c>
      <c r="D68" s="159" t="str">
        <f>IF(ISNA(VLOOKUP(B68,Pricelist!A:D,2,FALSE)),"",VLOOKUP(B68,Pricelist!A:D,4,FALSE))</f>
        <v/>
      </c>
      <c r="E68" s="160"/>
    </row>
    <row r="69" spans="2:5" ht="12" customHeight="1">
      <c r="B69" s="270"/>
      <c r="C69" s="371" t="str">
        <f>IF(ISNA(VLOOKUP(B69,Pricelist!A:D,2,FALSE)),"",VLOOKUP(B69,Pricelist!A:D,2,FALSE))</f>
        <v/>
      </c>
      <c r="D69" s="159" t="str">
        <f>IF(ISNA(VLOOKUP(B69,Pricelist!A:D,2,FALSE)),"",VLOOKUP(B69,Pricelist!A:D,4,FALSE))</f>
        <v/>
      </c>
      <c r="E69" s="160"/>
    </row>
    <row r="70" spans="2:5" ht="12" customHeight="1">
      <c r="B70" s="270"/>
      <c r="C70" s="371" t="str">
        <f>IF(ISNA(VLOOKUP(B70,Pricelist!A:D,2,FALSE)),"",VLOOKUP(B70,Pricelist!A:D,2,FALSE))</f>
        <v/>
      </c>
      <c r="D70" s="159" t="str">
        <f>IF(ISNA(VLOOKUP(B70,Pricelist!A:D,2,FALSE)),"",VLOOKUP(B70,Pricelist!A:D,4,FALSE))</f>
        <v/>
      </c>
      <c r="E70" s="160"/>
    </row>
    <row r="71" spans="2:5" ht="12" customHeight="1">
      <c r="B71" s="270"/>
      <c r="C71" s="371" t="str">
        <f>IF(ISNA(VLOOKUP(B71,Pricelist!A:D,2,FALSE)),"",VLOOKUP(B71,Pricelist!A:D,2,FALSE))</f>
        <v/>
      </c>
      <c r="D71" s="159" t="str">
        <f>IF(ISNA(VLOOKUP(B71,Pricelist!A:D,2,FALSE)),"",VLOOKUP(B71,Pricelist!A:D,4,FALSE))</f>
        <v/>
      </c>
      <c r="E71" s="160"/>
    </row>
    <row r="72" spans="2:5" ht="12" customHeight="1">
      <c r="B72" s="270"/>
      <c r="C72" s="371" t="str">
        <f>IF(ISNA(VLOOKUP(B72,Pricelist!A:D,2,FALSE)),"",VLOOKUP(B72,Pricelist!A:D,2,FALSE))</f>
        <v/>
      </c>
      <c r="D72" s="159" t="str">
        <f>IF(ISNA(VLOOKUP(B72,Pricelist!A:D,2,FALSE)),"",VLOOKUP(B72,Pricelist!A:D,4,FALSE))</f>
        <v/>
      </c>
      <c r="E72" s="160"/>
    </row>
    <row r="73" spans="2:5" ht="12" customHeight="1">
      <c r="B73" s="270"/>
      <c r="C73" s="371" t="str">
        <f>IF(ISNA(VLOOKUP(B73,Pricelist!A:D,2,FALSE)),"",VLOOKUP(B73,Pricelist!A:D,2,FALSE))</f>
        <v/>
      </c>
      <c r="D73" s="159" t="str">
        <f>IF(ISNA(VLOOKUP(B73,Pricelist!A:D,2,FALSE)),"",VLOOKUP(B73,Pricelist!A:D,4,FALSE))</f>
        <v/>
      </c>
      <c r="E73" s="160"/>
    </row>
    <row r="74" spans="2:5" ht="12" customHeight="1">
      <c r="B74" s="270"/>
      <c r="C74" s="371" t="str">
        <f>IF(ISNA(VLOOKUP(B74,Pricelist!A:D,2,FALSE)),"",VLOOKUP(B74,Pricelist!A:D,2,FALSE))</f>
        <v/>
      </c>
      <c r="D74" s="159" t="str">
        <f>IF(ISNA(VLOOKUP(B74,Pricelist!A:D,2,FALSE)),"",VLOOKUP(B74,Pricelist!A:D,4,FALSE))</f>
        <v/>
      </c>
      <c r="E74" s="160"/>
    </row>
    <row r="75" spans="2:5" ht="12" customHeight="1">
      <c r="B75" s="270"/>
      <c r="C75" s="371" t="str">
        <f>IF(ISNA(VLOOKUP(B75,Pricelist!A:D,2,FALSE)),"",VLOOKUP(B75,Pricelist!A:D,2,FALSE))</f>
        <v/>
      </c>
      <c r="D75" s="159" t="str">
        <f>IF(ISNA(VLOOKUP(B75,Pricelist!A:D,2,FALSE)),"",VLOOKUP(B75,Pricelist!A:D,4,FALSE))</f>
        <v/>
      </c>
      <c r="E75" s="160"/>
    </row>
    <row r="76" spans="2:5" ht="12" customHeight="1">
      <c r="B76" s="270"/>
      <c r="C76" s="371" t="str">
        <f>IF(ISNA(VLOOKUP(B76,Pricelist!A:D,2,FALSE)),"",VLOOKUP(B76,Pricelist!A:D,2,FALSE))</f>
        <v/>
      </c>
      <c r="D76" s="159" t="str">
        <f>IF(ISNA(VLOOKUP(B76,Pricelist!A:D,2,FALSE)),"",VLOOKUP(B76,Pricelist!A:D,4,FALSE))</f>
        <v/>
      </c>
      <c r="E76" s="160"/>
    </row>
    <row r="77" spans="2:5" ht="12" customHeight="1">
      <c r="B77" s="270"/>
      <c r="C77" s="371" t="str">
        <f>IF(ISNA(VLOOKUP(B77,Pricelist!A:D,2,FALSE)),"",VLOOKUP(B77,Pricelist!A:D,2,FALSE))</f>
        <v/>
      </c>
      <c r="D77" s="159" t="str">
        <f>IF(ISNA(VLOOKUP(B77,Pricelist!A:D,2,FALSE)),"",VLOOKUP(B77,Pricelist!A:D,4,FALSE))</f>
        <v/>
      </c>
      <c r="E77" s="160"/>
    </row>
    <row r="78" spans="2:5" ht="12" customHeight="1">
      <c r="B78" s="270"/>
      <c r="C78" s="371" t="str">
        <f>IF(ISNA(VLOOKUP(B78,Pricelist!A:D,2,FALSE)),"",VLOOKUP(B78,Pricelist!A:D,2,FALSE))</f>
        <v/>
      </c>
      <c r="D78" s="159" t="str">
        <f>IF(ISNA(VLOOKUP(B78,Pricelist!A:D,2,FALSE)),"",VLOOKUP(B78,Pricelist!A:D,4,FALSE))</f>
        <v/>
      </c>
      <c r="E78" s="160"/>
    </row>
    <row r="79" spans="2:5" ht="12" customHeight="1">
      <c r="B79" s="270"/>
      <c r="C79" s="371" t="str">
        <f>IF(ISNA(VLOOKUP(B79,Pricelist!A:D,2,FALSE)),"",VLOOKUP(B79,Pricelist!A:D,2,FALSE))</f>
        <v/>
      </c>
      <c r="D79" s="159" t="str">
        <f>IF(ISNA(VLOOKUP(B79,Pricelist!A:D,2,FALSE)),"",VLOOKUP(B79,Pricelist!A:D,4,FALSE))</f>
        <v/>
      </c>
      <c r="E79" s="160"/>
    </row>
    <row r="80" spans="2:5" ht="12" customHeight="1">
      <c r="B80" s="270"/>
      <c r="C80" s="371" t="str">
        <f>IF(ISNA(VLOOKUP(B80,Pricelist!A:D,2,FALSE)),"",VLOOKUP(B80,Pricelist!A:D,2,FALSE))</f>
        <v/>
      </c>
      <c r="D80" s="159" t="str">
        <f>IF(ISNA(VLOOKUP(B80,Pricelist!A:D,2,FALSE)),"",VLOOKUP(B80,Pricelist!A:D,4,FALSE))</f>
        <v/>
      </c>
      <c r="E80" s="160"/>
    </row>
    <row r="81" spans="2:5" ht="12" customHeight="1">
      <c r="B81" s="270"/>
      <c r="C81" s="371" t="str">
        <f>IF(ISNA(VLOOKUP(B81,Pricelist!A:D,2,FALSE)),"",VLOOKUP(B81,Pricelist!A:D,2,FALSE))</f>
        <v/>
      </c>
      <c r="D81" s="159" t="str">
        <f>IF(ISNA(VLOOKUP(B81,Pricelist!A:D,2,FALSE)),"",VLOOKUP(B81,Pricelist!A:D,4,FALSE))</f>
        <v/>
      </c>
      <c r="E81" s="160"/>
    </row>
    <row r="82" spans="2:5" ht="12" customHeight="1">
      <c r="B82" s="270"/>
      <c r="C82" s="371" t="str">
        <f>IF(ISNA(VLOOKUP(B82,Pricelist!A:D,2,FALSE)),"",VLOOKUP(B82,Pricelist!A:D,2,FALSE))</f>
        <v/>
      </c>
      <c r="D82" s="159" t="str">
        <f>IF(ISNA(VLOOKUP(B82,Pricelist!A:D,2,FALSE)),"",VLOOKUP(B82,Pricelist!A:D,4,FALSE))</f>
        <v/>
      </c>
      <c r="E82" s="160"/>
    </row>
    <row r="83" spans="2:5" ht="12" customHeight="1">
      <c r="B83" s="270"/>
      <c r="C83" s="371" t="str">
        <f>IF(ISNA(VLOOKUP(B83,Pricelist!A:D,2,FALSE)),"",VLOOKUP(B83,Pricelist!A:D,2,FALSE))</f>
        <v/>
      </c>
      <c r="D83" s="159" t="str">
        <f>IF(ISNA(VLOOKUP(B83,Pricelist!A:D,2,FALSE)),"",VLOOKUP(B83,Pricelist!A:D,4,FALSE))</f>
        <v/>
      </c>
      <c r="E83" s="160"/>
    </row>
    <row r="84" spans="2:5" ht="12" customHeight="1">
      <c r="B84" s="270"/>
      <c r="C84" s="371" t="str">
        <f>IF(ISNA(VLOOKUP(B84,Pricelist!A:D,2,FALSE)),"",VLOOKUP(B84,Pricelist!A:D,2,FALSE))</f>
        <v/>
      </c>
      <c r="D84" s="159" t="str">
        <f>IF(ISNA(VLOOKUP(B84,Pricelist!A:D,2,FALSE)),"",VLOOKUP(B84,Pricelist!A:D,4,FALSE))</f>
        <v/>
      </c>
      <c r="E84" s="160"/>
    </row>
    <row r="85" spans="2:5" ht="12" customHeight="1">
      <c r="B85" s="270"/>
      <c r="C85" s="371" t="str">
        <f>IF(ISNA(VLOOKUP(B85,Pricelist!A:D,2,FALSE)),"",VLOOKUP(B85,Pricelist!A:D,2,FALSE))</f>
        <v/>
      </c>
      <c r="D85" s="159" t="str">
        <f>IF(ISNA(VLOOKUP(B85,Pricelist!A:D,2,FALSE)),"",VLOOKUP(B85,Pricelist!A:D,4,FALSE))</f>
        <v/>
      </c>
      <c r="E85" s="160"/>
    </row>
    <row r="86" spans="2:5" ht="12" customHeight="1">
      <c r="B86" s="270"/>
      <c r="C86" s="371" t="str">
        <f>IF(ISNA(VLOOKUP(B86,Pricelist!A:D,2,FALSE)),"",VLOOKUP(B86,Pricelist!A:D,2,FALSE))</f>
        <v/>
      </c>
      <c r="D86" s="159" t="str">
        <f>IF(ISNA(VLOOKUP(B86,Pricelist!A:D,2,FALSE)),"",VLOOKUP(B86,Pricelist!A:D,4,FALSE))</f>
        <v/>
      </c>
      <c r="E86" s="160"/>
    </row>
    <row r="87" spans="2:5" ht="12" customHeight="1">
      <c r="B87" s="270"/>
      <c r="C87" s="371" t="str">
        <f>IF(ISNA(VLOOKUP(B87,Pricelist!A:D,2,FALSE)),"",VLOOKUP(B87,Pricelist!A:D,2,FALSE))</f>
        <v/>
      </c>
      <c r="D87" s="159" t="str">
        <f>IF(ISNA(VLOOKUP(B87,Pricelist!A:D,2,FALSE)),"",VLOOKUP(B87,Pricelist!A:D,4,FALSE))</f>
        <v/>
      </c>
      <c r="E87" s="160"/>
    </row>
    <row r="88" spans="2:5" ht="12" customHeight="1">
      <c r="B88" s="270"/>
      <c r="C88" s="371" t="str">
        <f>IF(ISNA(VLOOKUP(B88,Pricelist!A:D,2,FALSE)),"",VLOOKUP(B88,Pricelist!A:D,2,FALSE))</f>
        <v/>
      </c>
      <c r="D88" s="159" t="str">
        <f>IF(ISNA(VLOOKUP(B88,Pricelist!A:D,2,FALSE)),"",VLOOKUP(B88,Pricelist!A:D,4,FALSE))</f>
        <v/>
      </c>
      <c r="E88" s="160"/>
    </row>
    <row r="89" spans="2:5" ht="12" customHeight="1">
      <c r="B89" s="270"/>
      <c r="C89" s="371" t="str">
        <f>IF(ISNA(VLOOKUP(B89,Pricelist!A:D,2,FALSE)),"",VLOOKUP(B89,Pricelist!A:D,2,FALSE))</f>
        <v/>
      </c>
      <c r="D89" s="159" t="str">
        <f>IF(ISNA(VLOOKUP(B89,Pricelist!A:D,2,FALSE)),"",VLOOKUP(B89,Pricelist!A:D,4,FALSE))</f>
        <v/>
      </c>
      <c r="E89" s="160"/>
    </row>
    <row r="90" spans="2:5" ht="12" customHeight="1">
      <c r="B90" s="270"/>
      <c r="C90" s="371" t="str">
        <f>IF(ISNA(VLOOKUP(B90,Pricelist!A:D,2,FALSE)),"",VLOOKUP(B90,Pricelist!A:D,2,FALSE))</f>
        <v/>
      </c>
      <c r="D90" s="159" t="str">
        <f>IF(ISNA(VLOOKUP(B90,Pricelist!A:D,2,FALSE)),"",VLOOKUP(B90,Pricelist!A:D,4,FALSE))</f>
        <v/>
      </c>
      <c r="E90" s="160"/>
    </row>
    <row r="91" spans="2:5" ht="12" customHeight="1">
      <c r="B91" s="270"/>
      <c r="C91" s="371" t="str">
        <f>IF(ISNA(VLOOKUP(B91,Pricelist!A:D,2,FALSE)),"",VLOOKUP(B91,Pricelist!A:D,2,FALSE))</f>
        <v/>
      </c>
      <c r="D91" s="159" t="str">
        <f>IF(ISNA(VLOOKUP(B91,Pricelist!A:D,2,FALSE)),"",VLOOKUP(B91,Pricelist!A:D,4,FALSE))</f>
        <v/>
      </c>
      <c r="E91" s="160"/>
    </row>
    <row r="92" spans="2:5" ht="12" customHeight="1">
      <c r="B92" s="270"/>
      <c r="C92" s="371" t="str">
        <f>IF(ISNA(VLOOKUP(B92,Pricelist!A:D,2,FALSE)),"",VLOOKUP(B92,Pricelist!A:D,2,FALSE))</f>
        <v/>
      </c>
      <c r="D92" s="159" t="str">
        <f>IF(ISNA(VLOOKUP(B92,Pricelist!A:D,2,FALSE)),"",VLOOKUP(B92,Pricelist!A:D,4,FALSE))</f>
        <v/>
      </c>
      <c r="E92" s="160"/>
    </row>
    <row r="93" spans="2:5" ht="12" customHeight="1">
      <c r="B93" s="270"/>
      <c r="C93" s="371" t="str">
        <f>IF(ISNA(VLOOKUP(B93,Pricelist!A:D,2,FALSE)),"",VLOOKUP(B93,Pricelist!A:D,2,FALSE))</f>
        <v/>
      </c>
      <c r="D93" s="159" t="str">
        <f>IF(ISNA(VLOOKUP(B93,Pricelist!A:D,2,FALSE)),"",VLOOKUP(B93,Pricelist!A:D,4,FALSE))</f>
        <v/>
      </c>
      <c r="E93" s="160"/>
    </row>
    <row r="94" spans="2:5" ht="12" customHeight="1">
      <c r="B94" s="270"/>
      <c r="C94" s="371" t="str">
        <f>IF(ISNA(VLOOKUP(B94,Pricelist!A:D,2,FALSE)),"",VLOOKUP(B94,Pricelist!A:D,2,FALSE))</f>
        <v/>
      </c>
      <c r="D94" s="159" t="str">
        <f>IF(ISNA(VLOOKUP(B94,Pricelist!A:D,2,FALSE)),"",VLOOKUP(B94,Pricelist!A:D,4,FALSE))</f>
        <v/>
      </c>
      <c r="E94" s="160"/>
    </row>
    <row r="95" spans="2:5" ht="12" customHeight="1">
      <c r="B95" s="270"/>
      <c r="C95" s="371" t="str">
        <f>IF(ISNA(VLOOKUP(B95,Pricelist!A:D,2,FALSE)),"",VLOOKUP(B95,Pricelist!A:D,2,FALSE))</f>
        <v/>
      </c>
      <c r="D95" s="159" t="str">
        <f>IF(ISNA(VLOOKUP(B95,Pricelist!A:D,2,FALSE)),"",VLOOKUP(B95,Pricelist!A:D,4,FALSE))</f>
        <v/>
      </c>
      <c r="E95" s="160"/>
    </row>
    <row r="96" spans="2:5" ht="12" customHeight="1">
      <c r="B96" s="270"/>
      <c r="C96" s="371" t="str">
        <f>IF(ISNA(VLOOKUP(B96,Pricelist!A:D,2,FALSE)),"",VLOOKUP(B96,Pricelist!A:D,2,FALSE))</f>
        <v/>
      </c>
      <c r="D96" s="159" t="str">
        <f>IF(ISNA(VLOOKUP(B96,Pricelist!A:D,2,FALSE)),"",VLOOKUP(B96,Pricelist!A:D,4,FALSE))</f>
        <v/>
      </c>
      <c r="E96" s="160"/>
    </row>
    <row r="97" spans="1:5" ht="12" customHeight="1">
      <c r="B97" s="270"/>
      <c r="C97" s="371" t="str">
        <f>IF(ISNA(VLOOKUP(B97,Pricelist!A:D,2,FALSE)),"",VLOOKUP(B97,Pricelist!A:D,2,FALSE))</f>
        <v/>
      </c>
      <c r="D97" s="159" t="str">
        <f>IF(ISNA(VLOOKUP(B97,Pricelist!A:D,2,FALSE)),"",VLOOKUP(B97,Pricelist!A:D,4,FALSE))</f>
        <v/>
      </c>
      <c r="E97" s="160"/>
    </row>
    <row r="98" spans="1:5" ht="12" customHeight="1">
      <c r="A98" s="158" t="s">
        <v>493</v>
      </c>
      <c r="B98" s="270"/>
      <c r="C98" s="371" t="str">
        <f>IF(ISNA(VLOOKUP(B98,Pricelist!A:D,2,FALSE)),"",VLOOKUP(B98,Pricelist!A:D,2,FALSE))</f>
        <v/>
      </c>
      <c r="D98" s="159" t="str">
        <f>IF(ISNA(VLOOKUP(B98,Pricelist!A:D,2,FALSE)),"",VLOOKUP(B98,Pricelist!A:D,4,FALSE))</f>
        <v/>
      </c>
      <c r="E98" s="160"/>
    </row>
    <row r="99" spans="1:5" ht="12" customHeight="1">
      <c r="A99" s="158">
        <f>COUNTA(B98:B180)</f>
        <v>0</v>
      </c>
      <c r="B99" s="270"/>
      <c r="C99" s="371" t="str">
        <f>IF(ISNA(VLOOKUP(B99,Pricelist!A:D,2,FALSE)),"",VLOOKUP(B99,Pricelist!A:D,2,FALSE))</f>
        <v/>
      </c>
      <c r="D99" s="159" t="str">
        <f>IF(ISNA(VLOOKUP(B99,Pricelist!A:D,2,FALSE)),"",VLOOKUP(B99,Pricelist!A:D,4,FALSE))</f>
        <v/>
      </c>
      <c r="E99" s="160"/>
    </row>
    <row r="100" spans="1:5" ht="12" customHeight="1">
      <c r="B100" s="270"/>
      <c r="C100" s="371" t="str">
        <f>IF(ISNA(VLOOKUP(B100,Pricelist!A:D,2,FALSE)),"",VLOOKUP(B100,Pricelist!A:D,2,FALSE))</f>
        <v/>
      </c>
      <c r="D100" s="159" t="str">
        <f>IF(ISNA(VLOOKUP(B100,Pricelist!A:D,2,FALSE)),"",VLOOKUP(B100,Pricelist!A:D,4,FALSE))</f>
        <v/>
      </c>
      <c r="E100" s="160"/>
    </row>
    <row r="101" spans="1:5" ht="12" customHeight="1">
      <c r="B101" s="270"/>
      <c r="C101" s="371" t="str">
        <f>IF(ISNA(VLOOKUP(B101,Pricelist!A:D,2,FALSE)),"",VLOOKUP(B101,Pricelist!A:D,2,FALSE))</f>
        <v/>
      </c>
      <c r="D101" s="159" t="str">
        <f>IF(ISNA(VLOOKUP(B101,Pricelist!A:D,2,FALSE)),"",VLOOKUP(B101,Pricelist!A:D,4,FALSE))</f>
        <v/>
      </c>
      <c r="E101" s="160"/>
    </row>
    <row r="102" spans="1:5" ht="12" customHeight="1">
      <c r="B102" s="270"/>
      <c r="C102" s="371" t="str">
        <f>IF(ISNA(VLOOKUP(B102,Pricelist!A:D,2,FALSE)),"",VLOOKUP(B102,Pricelist!A:D,2,FALSE))</f>
        <v/>
      </c>
      <c r="D102" s="159" t="str">
        <f>IF(ISNA(VLOOKUP(B102,Pricelist!A:D,2,FALSE)),"",VLOOKUP(B102,Pricelist!A:D,4,FALSE))</f>
        <v/>
      </c>
      <c r="E102" s="160"/>
    </row>
    <row r="103" spans="1:5" ht="12" customHeight="1">
      <c r="B103" s="270"/>
      <c r="C103" s="371" t="str">
        <f>IF(ISNA(VLOOKUP(B103,Pricelist!A:D,2,FALSE)),"",VLOOKUP(B103,Pricelist!A:D,2,FALSE))</f>
        <v/>
      </c>
      <c r="D103" s="159" t="str">
        <f>IF(ISNA(VLOOKUP(B103,Pricelist!A:D,2,FALSE)),"",VLOOKUP(B103,Pricelist!A:D,4,FALSE))</f>
        <v/>
      </c>
      <c r="E103" s="160"/>
    </row>
    <row r="104" spans="1:5" ht="12" customHeight="1">
      <c r="B104" s="270"/>
      <c r="C104" s="371" t="str">
        <f>IF(ISNA(VLOOKUP(B104,Pricelist!A:D,2,FALSE)),"",VLOOKUP(B104,Pricelist!A:D,2,FALSE))</f>
        <v/>
      </c>
      <c r="D104" s="159" t="str">
        <f>IF(ISNA(VLOOKUP(B104,Pricelist!A:D,2,FALSE)),"",VLOOKUP(B104,Pricelist!A:D,4,FALSE))</f>
        <v/>
      </c>
      <c r="E104" s="160"/>
    </row>
    <row r="105" spans="1:5" ht="12" customHeight="1">
      <c r="B105" s="270"/>
      <c r="C105" s="371" t="str">
        <f>IF(ISNA(VLOOKUP(B105,Pricelist!A:D,2,FALSE)),"",VLOOKUP(B105,Pricelist!A:D,2,FALSE))</f>
        <v/>
      </c>
      <c r="D105" s="159" t="str">
        <f>IF(ISNA(VLOOKUP(B105,Pricelist!A:D,2,FALSE)),"",VLOOKUP(B105,Pricelist!A:D,4,FALSE))</f>
        <v/>
      </c>
      <c r="E105" s="160"/>
    </row>
    <row r="106" spans="1:5" ht="12" customHeight="1">
      <c r="B106" s="270"/>
      <c r="C106" s="371" t="str">
        <f>IF(ISNA(VLOOKUP(B106,Pricelist!A:D,2,FALSE)),"",VLOOKUP(B106,Pricelist!A:D,2,FALSE))</f>
        <v/>
      </c>
      <c r="D106" s="159" t="str">
        <f>IF(ISNA(VLOOKUP(B106,Pricelist!A:D,2,FALSE)),"",VLOOKUP(B106,Pricelist!A:D,4,FALSE))</f>
        <v/>
      </c>
      <c r="E106" s="160"/>
    </row>
    <row r="107" spans="1:5" ht="12" customHeight="1">
      <c r="B107" s="270"/>
      <c r="C107" s="371" t="str">
        <f>IF(ISNA(VLOOKUP(B107,Pricelist!A:D,2,FALSE)),"",VLOOKUP(B107,Pricelist!A:D,2,FALSE))</f>
        <v/>
      </c>
      <c r="D107" s="159" t="str">
        <f>IF(ISNA(VLOOKUP(B107,Pricelist!A:D,2,FALSE)),"",VLOOKUP(B107,Pricelist!A:D,4,FALSE))</f>
        <v/>
      </c>
      <c r="E107" s="160"/>
    </row>
    <row r="108" spans="1:5" ht="12" customHeight="1">
      <c r="B108" s="270"/>
      <c r="C108" s="371" t="str">
        <f>IF(ISNA(VLOOKUP(B108,Pricelist!A:D,2,FALSE)),"",VLOOKUP(B108,Pricelist!A:D,2,FALSE))</f>
        <v/>
      </c>
      <c r="D108" s="159" t="str">
        <f>IF(ISNA(VLOOKUP(B108,Pricelist!A:D,2,FALSE)),"",VLOOKUP(B108,Pricelist!A:D,4,FALSE))</f>
        <v/>
      </c>
      <c r="E108" s="160"/>
    </row>
    <row r="109" spans="1:5" ht="12" customHeight="1">
      <c r="B109" s="270"/>
      <c r="C109" s="371" t="str">
        <f>IF(ISNA(VLOOKUP(B109,Pricelist!A:D,2,FALSE)),"",VLOOKUP(B109,Pricelist!A:D,2,FALSE))</f>
        <v/>
      </c>
      <c r="D109" s="159" t="str">
        <f>IF(ISNA(VLOOKUP(B109,Pricelist!A:D,2,FALSE)),"",VLOOKUP(B109,Pricelist!A:D,4,FALSE))</f>
        <v/>
      </c>
      <c r="E109" s="160"/>
    </row>
    <row r="110" spans="1:5" ht="12" customHeight="1">
      <c r="B110" s="270"/>
      <c r="C110" s="371" t="str">
        <f>IF(ISNA(VLOOKUP(B110,Pricelist!A:D,2,FALSE)),"",VLOOKUP(B110,Pricelist!A:D,2,FALSE))</f>
        <v/>
      </c>
      <c r="D110" s="159" t="str">
        <f>IF(ISNA(VLOOKUP(B110,Pricelist!A:D,2,FALSE)),"",VLOOKUP(B110,Pricelist!A:D,4,FALSE))</f>
        <v/>
      </c>
      <c r="E110" s="160"/>
    </row>
    <row r="111" spans="1:5" ht="12" customHeight="1">
      <c r="B111" s="270"/>
      <c r="C111" s="371" t="str">
        <f>IF(ISNA(VLOOKUP(B111,Pricelist!A:D,2,FALSE)),"",VLOOKUP(B111,Pricelist!A:D,2,FALSE))</f>
        <v/>
      </c>
      <c r="D111" s="159" t="str">
        <f>IF(ISNA(VLOOKUP(B111,Pricelist!A:D,2,FALSE)),"",VLOOKUP(B111,Pricelist!A:D,4,FALSE))</f>
        <v/>
      </c>
      <c r="E111" s="160"/>
    </row>
    <row r="112" spans="1:5" ht="12" customHeight="1">
      <c r="B112" s="270"/>
      <c r="C112" s="371" t="str">
        <f>IF(ISNA(VLOOKUP(B112,Pricelist!A:D,2,FALSE)),"",VLOOKUP(B112,Pricelist!A:D,2,FALSE))</f>
        <v/>
      </c>
      <c r="D112" s="159" t="str">
        <f>IF(ISNA(VLOOKUP(B112,Pricelist!A:D,2,FALSE)),"",VLOOKUP(B112,Pricelist!A:D,4,FALSE))</f>
        <v/>
      </c>
      <c r="E112" s="160"/>
    </row>
    <row r="113" spans="2:5" ht="12" customHeight="1">
      <c r="B113" s="270"/>
      <c r="C113" s="371" t="str">
        <f>IF(ISNA(VLOOKUP(B113,Pricelist!A:D,2,FALSE)),"",VLOOKUP(B113,Pricelist!A:D,2,FALSE))</f>
        <v/>
      </c>
      <c r="D113" s="159" t="str">
        <f>IF(ISNA(VLOOKUP(B113,Pricelist!A:D,2,FALSE)),"",VLOOKUP(B113,Pricelist!A:D,4,FALSE))</f>
        <v/>
      </c>
      <c r="E113" s="160"/>
    </row>
    <row r="114" spans="2:5" ht="12" customHeight="1">
      <c r="B114" s="270"/>
      <c r="C114" s="371" t="str">
        <f>IF(ISNA(VLOOKUP(B114,Pricelist!A:D,2,FALSE)),"",VLOOKUP(B114,Pricelist!A:D,2,FALSE))</f>
        <v/>
      </c>
      <c r="D114" s="159" t="str">
        <f>IF(ISNA(VLOOKUP(B114,Pricelist!A:D,2,FALSE)),"",VLOOKUP(B114,Pricelist!A:D,4,FALSE))</f>
        <v/>
      </c>
      <c r="E114" s="160"/>
    </row>
    <row r="115" spans="2:5" ht="12" customHeight="1">
      <c r="B115" s="270"/>
      <c r="C115" s="371" t="str">
        <f>IF(ISNA(VLOOKUP(B115,Pricelist!A:D,2,FALSE)),"",VLOOKUP(B115,Pricelist!A:D,2,FALSE))</f>
        <v/>
      </c>
      <c r="D115" s="159" t="str">
        <f>IF(ISNA(VLOOKUP(B115,Pricelist!A:D,2,FALSE)),"",VLOOKUP(B115,Pricelist!A:D,4,FALSE))</f>
        <v/>
      </c>
      <c r="E115" s="160"/>
    </row>
    <row r="116" spans="2:5" ht="12" customHeight="1">
      <c r="B116" s="270"/>
      <c r="C116" s="371" t="str">
        <f>IF(ISNA(VLOOKUP(B116,Pricelist!A:D,2,FALSE)),"",VLOOKUP(B116,Pricelist!A:D,2,FALSE))</f>
        <v/>
      </c>
      <c r="D116" s="159" t="str">
        <f>IF(ISNA(VLOOKUP(B116,Pricelist!A:D,2,FALSE)),"",VLOOKUP(B116,Pricelist!A:D,4,FALSE))</f>
        <v/>
      </c>
      <c r="E116" s="160"/>
    </row>
    <row r="117" spans="2:5" ht="12" customHeight="1">
      <c r="B117" s="270"/>
      <c r="C117" s="371" t="str">
        <f>IF(ISNA(VLOOKUP(B117,Pricelist!A:D,2,FALSE)),"",VLOOKUP(B117,Pricelist!A:D,2,FALSE))</f>
        <v/>
      </c>
      <c r="D117" s="159" t="str">
        <f>IF(ISNA(VLOOKUP(B117,Pricelist!A:D,2,FALSE)),"",VLOOKUP(B117,Pricelist!A:D,4,FALSE))</f>
        <v/>
      </c>
      <c r="E117" s="160"/>
    </row>
    <row r="118" spans="2:5" ht="12" customHeight="1">
      <c r="B118" s="270"/>
      <c r="C118" s="371" t="str">
        <f>IF(ISNA(VLOOKUP(B118,Pricelist!A:D,2,FALSE)),"",VLOOKUP(B118,Pricelist!A:D,2,FALSE))</f>
        <v/>
      </c>
      <c r="D118" s="159" t="str">
        <f>IF(ISNA(VLOOKUP(B118,Pricelist!A:D,2,FALSE)),"",VLOOKUP(B118,Pricelist!A:D,4,FALSE))</f>
        <v/>
      </c>
      <c r="E118" s="160"/>
    </row>
    <row r="119" spans="2:5" ht="12" customHeight="1">
      <c r="B119" s="270"/>
      <c r="C119" s="371" t="str">
        <f>IF(ISNA(VLOOKUP(B119,Pricelist!A:D,2,FALSE)),"",VLOOKUP(B119,Pricelist!A:D,2,FALSE))</f>
        <v/>
      </c>
      <c r="D119" s="159" t="str">
        <f>IF(ISNA(VLOOKUP(B119,Pricelist!A:D,2,FALSE)),"",VLOOKUP(B119,Pricelist!A:D,4,FALSE))</f>
        <v/>
      </c>
      <c r="E119" s="160"/>
    </row>
    <row r="120" spans="2:5" ht="12" customHeight="1">
      <c r="B120" s="270"/>
      <c r="C120" s="371" t="str">
        <f>IF(ISNA(VLOOKUP(B120,Pricelist!A:D,2,FALSE)),"",VLOOKUP(B120,Pricelist!A:D,2,FALSE))</f>
        <v/>
      </c>
      <c r="D120" s="159" t="str">
        <f>IF(ISNA(VLOOKUP(B120,Pricelist!A:D,2,FALSE)),"",VLOOKUP(B120,Pricelist!A:D,4,FALSE))</f>
        <v/>
      </c>
      <c r="E120" s="160"/>
    </row>
    <row r="121" spans="2:5" ht="12" customHeight="1">
      <c r="B121" s="270"/>
      <c r="C121" s="371" t="str">
        <f>IF(ISNA(VLOOKUP(B121,Pricelist!A:D,2,FALSE)),"",VLOOKUP(B121,Pricelist!A:D,2,FALSE))</f>
        <v/>
      </c>
      <c r="D121" s="159" t="str">
        <f>IF(ISNA(VLOOKUP(B121,Pricelist!A:D,2,FALSE)),"",VLOOKUP(B121,Pricelist!A:D,4,FALSE))</f>
        <v/>
      </c>
      <c r="E121" s="160"/>
    </row>
    <row r="122" spans="2:5" ht="12" customHeight="1">
      <c r="B122" s="270"/>
      <c r="C122" s="371" t="str">
        <f>IF(ISNA(VLOOKUP(B122,Pricelist!A:D,2,FALSE)),"",VLOOKUP(B122,Pricelist!A:D,2,FALSE))</f>
        <v/>
      </c>
      <c r="D122" s="159" t="str">
        <f>IF(ISNA(VLOOKUP(B122,Pricelist!A:D,2,FALSE)),"",VLOOKUP(B122,Pricelist!A:D,4,FALSE))</f>
        <v/>
      </c>
      <c r="E122" s="160"/>
    </row>
    <row r="123" spans="2:5" ht="12" customHeight="1">
      <c r="B123" s="270"/>
      <c r="C123" s="371" t="str">
        <f>IF(ISNA(VLOOKUP(B123,Pricelist!A:D,2,FALSE)),"",VLOOKUP(B123,Pricelist!A:D,2,FALSE))</f>
        <v/>
      </c>
      <c r="D123" s="159" t="str">
        <f>IF(ISNA(VLOOKUP(B123,Pricelist!A:D,2,FALSE)),"",VLOOKUP(B123,Pricelist!A:D,4,FALSE))</f>
        <v/>
      </c>
      <c r="E123" s="160"/>
    </row>
    <row r="124" spans="2:5" ht="12" customHeight="1">
      <c r="B124" s="270"/>
      <c r="C124" s="371" t="str">
        <f>IF(ISNA(VLOOKUP(B124,Pricelist!A:D,2,FALSE)),"",VLOOKUP(B124,Pricelist!A:D,2,FALSE))</f>
        <v/>
      </c>
      <c r="D124" s="159" t="str">
        <f>IF(ISNA(VLOOKUP(B124,Pricelist!A:D,2,FALSE)),"",VLOOKUP(B124,Pricelist!A:D,4,FALSE))</f>
        <v/>
      </c>
      <c r="E124" s="160"/>
    </row>
    <row r="125" spans="2:5" ht="12" customHeight="1">
      <c r="B125" s="270"/>
      <c r="C125" s="371" t="str">
        <f>IF(ISNA(VLOOKUP(B125,Pricelist!A:D,2,FALSE)),"",VLOOKUP(B125,Pricelist!A:D,2,FALSE))</f>
        <v/>
      </c>
      <c r="D125" s="159" t="str">
        <f>IF(ISNA(VLOOKUP(B125,Pricelist!A:D,2,FALSE)),"",VLOOKUP(B125,Pricelist!A:D,4,FALSE))</f>
        <v/>
      </c>
      <c r="E125" s="160"/>
    </row>
    <row r="126" spans="2:5" ht="12" customHeight="1">
      <c r="B126" s="270"/>
      <c r="C126" s="371" t="str">
        <f>IF(ISNA(VLOOKUP(B126,Pricelist!A:D,2,FALSE)),"",VLOOKUP(B126,Pricelist!A:D,2,FALSE))</f>
        <v/>
      </c>
      <c r="D126" s="159" t="str">
        <f>IF(ISNA(VLOOKUP(B126,Pricelist!A:D,2,FALSE)),"",VLOOKUP(B126,Pricelist!A:D,4,FALSE))</f>
        <v/>
      </c>
      <c r="E126" s="160"/>
    </row>
    <row r="127" spans="2:5" ht="12" customHeight="1">
      <c r="B127" s="270"/>
      <c r="C127" s="371" t="str">
        <f>IF(ISNA(VLOOKUP(B127,Pricelist!A:D,2,FALSE)),"",VLOOKUP(B127,Pricelist!A:D,2,FALSE))</f>
        <v/>
      </c>
      <c r="D127" s="159" t="str">
        <f>IF(ISNA(VLOOKUP(B127,Pricelist!A:D,2,FALSE)),"",VLOOKUP(B127,Pricelist!A:D,4,FALSE))</f>
        <v/>
      </c>
      <c r="E127" s="160"/>
    </row>
    <row r="128" spans="2:5" ht="12" customHeight="1">
      <c r="B128" s="270"/>
      <c r="C128" s="371" t="str">
        <f>IF(ISNA(VLOOKUP(B128,Pricelist!A:D,2,FALSE)),"",VLOOKUP(B128,Pricelist!A:D,2,FALSE))</f>
        <v/>
      </c>
      <c r="D128" s="159" t="str">
        <f>IF(ISNA(VLOOKUP(B128,Pricelist!A:D,2,FALSE)),"",VLOOKUP(B128,Pricelist!A:D,4,FALSE))</f>
        <v/>
      </c>
      <c r="E128" s="160"/>
    </row>
    <row r="129" spans="2:5" ht="12" customHeight="1">
      <c r="B129" s="270"/>
      <c r="C129" s="371" t="str">
        <f>IF(ISNA(VLOOKUP(B129,Pricelist!A:D,2,FALSE)),"",VLOOKUP(B129,Pricelist!A:D,2,FALSE))</f>
        <v/>
      </c>
      <c r="D129" s="159" t="str">
        <f>IF(ISNA(VLOOKUP(B129,Pricelist!A:D,2,FALSE)),"",VLOOKUP(B129,Pricelist!A:D,4,FALSE))</f>
        <v/>
      </c>
      <c r="E129" s="160"/>
    </row>
    <row r="130" spans="2:5" ht="12" customHeight="1">
      <c r="B130" s="270"/>
      <c r="C130" s="371" t="str">
        <f>IF(ISNA(VLOOKUP(B130,Pricelist!A:D,2,FALSE)),"",VLOOKUP(B130,Pricelist!A:D,2,FALSE))</f>
        <v/>
      </c>
      <c r="D130" s="159" t="str">
        <f>IF(ISNA(VLOOKUP(B130,Pricelist!A:D,2,FALSE)),"",VLOOKUP(B130,Pricelist!A:D,4,FALSE))</f>
        <v/>
      </c>
      <c r="E130" s="160"/>
    </row>
    <row r="131" spans="2:5" ht="12" customHeight="1">
      <c r="B131" s="270"/>
      <c r="C131" s="371" t="str">
        <f>IF(ISNA(VLOOKUP(B131,Pricelist!A:D,2,FALSE)),"",VLOOKUP(B131,Pricelist!A:D,2,FALSE))</f>
        <v/>
      </c>
      <c r="D131" s="159" t="str">
        <f>IF(ISNA(VLOOKUP(B131,Pricelist!A:D,2,FALSE)),"",VLOOKUP(B131,Pricelist!A:D,4,FALSE))</f>
        <v/>
      </c>
      <c r="E131" s="160"/>
    </row>
    <row r="132" spans="2:5" ht="12" customHeight="1">
      <c r="B132" s="270"/>
      <c r="C132" s="371" t="str">
        <f>IF(ISNA(VLOOKUP(B132,Pricelist!A:D,2,FALSE)),"",VLOOKUP(B132,Pricelist!A:D,2,FALSE))</f>
        <v/>
      </c>
      <c r="D132" s="159" t="str">
        <f>IF(ISNA(VLOOKUP(B132,Pricelist!A:D,2,FALSE)),"",VLOOKUP(B132,Pricelist!A:D,4,FALSE))</f>
        <v/>
      </c>
      <c r="E132" s="160"/>
    </row>
    <row r="133" spans="2:5" ht="12" customHeight="1">
      <c r="B133" s="270"/>
      <c r="C133" s="371" t="str">
        <f>IF(ISNA(VLOOKUP(B133,Pricelist!A:D,2,FALSE)),"",VLOOKUP(B133,Pricelist!A:D,2,FALSE))</f>
        <v/>
      </c>
      <c r="D133" s="159" t="str">
        <f>IF(ISNA(VLOOKUP(B133,Pricelist!A:D,2,FALSE)),"",VLOOKUP(B133,Pricelist!A:D,4,FALSE))</f>
        <v/>
      </c>
      <c r="E133" s="160"/>
    </row>
    <row r="134" spans="2:5" ht="12" customHeight="1">
      <c r="B134" s="270"/>
      <c r="C134" s="371" t="str">
        <f>IF(ISNA(VLOOKUP(B134,Pricelist!A:D,2,FALSE)),"",VLOOKUP(B134,Pricelist!A:D,2,FALSE))</f>
        <v/>
      </c>
      <c r="D134" s="159" t="str">
        <f>IF(ISNA(VLOOKUP(B134,Pricelist!A:D,2,FALSE)),"",VLOOKUP(B134,Pricelist!A:D,4,FALSE))</f>
        <v/>
      </c>
      <c r="E134" s="160"/>
    </row>
    <row r="135" spans="2:5" ht="12" customHeight="1">
      <c r="B135" s="270"/>
      <c r="C135" s="371" t="str">
        <f>IF(ISNA(VLOOKUP(B135,Pricelist!A:D,2,FALSE)),"",VLOOKUP(B135,Pricelist!A:D,2,FALSE))</f>
        <v/>
      </c>
      <c r="D135" s="159" t="str">
        <f>IF(ISNA(VLOOKUP(B135,Pricelist!A:D,2,FALSE)),"",VLOOKUP(B135,Pricelist!A:D,4,FALSE))</f>
        <v/>
      </c>
      <c r="E135" s="160"/>
    </row>
    <row r="136" spans="2:5" ht="12" customHeight="1">
      <c r="B136" s="270"/>
      <c r="C136" s="371" t="str">
        <f>IF(ISNA(VLOOKUP(B136,Pricelist!A:D,2,FALSE)),"",VLOOKUP(B136,Pricelist!A:D,2,FALSE))</f>
        <v/>
      </c>
      <c r="D136" s="159" t="str">
        <f>IF(ISNA(VLOOKUP(B136,Pricelist!A:D,2,FALSE)),"",VLOOKUP(B136,Pricelist!A:D,4,FALSE))</f>
        <v/>
      </c>
      <c r="E136" s="160"/>
    </row>
    <row r="137" spans="2:5" ht="12" customHeight="1">
      <c r="B137" s="270"/>
      <c r="C137" s="371" t="str">
        <f>IF(ISNA(VLOOKUP(B137,Pricelist!A:D,2,FALSE)),"",VLOOKUP(B137,Pricelist!A:D,2,FALSE))</f>
        <v/>
      </c>
      <c r="D137" s="159" t="str">
        <f>IF(ISNA(VLOOKUP(B137,Pricelist!A:D,2,FALSE)),"",VLOOKUP(B137,Pricelist!A:D,4,FALSE))</f>
        <v/>
      </c>
      <c r="E137" s="160"/>
    </row>
    <row r="138" spans="2:5" ht="12" customHeight="1">
      <c r="B138" s="270"/>
      <c r="C138" s="371" t="str">
        <f>IF(ISNA(VLOOKUP(B138,Pricelist!A:D,2,FALSE)),"",VLOOKUP(B138,Pricelist!A:D,2,FALSE))</f>
        <v/>
      </c>
      <c r="D138" s="159" t="str">
        <f>IF(ISNA(VLOOKUP(B138,Pricelist!A:D,2,FALSE)),"",VLOOKUP(B138,Pricelist!A:D,4,FALSE))</f>
        <v/>
      </c>
      <c r="E138" s="160"/>
    </row>
    <row r="139" spans="2:5" ht="12" customHeight="1">
      <c r="B139" s="270"/>
      <c r="C139" s="371" t="str">
        <f>IF(ISNA(VLOOKUP(B139,Pricelist!A:D,2,FALSE)),"",VLOOKUP(B139,Pricelist!A:D,2,FALSE))</f>
        <v/>
      </c>
      <c r="D139" s="159" t="str">
        <f>IF(ISNA(VLOOKUP(B139,Pricelist!A:D,2,FALSE)),"",VLOOKUP(B139,Pricelist!A:D,4,FALSE))</f>
        <v/>
      </c>
      <c r="E139" s="160"/>
    </row>
    <row r="140" spans="2:5" ht="12" customHeight="1">
      <c r="B140" s="270"/>
      <c r="C140" s="371" t="str">
        <f>IF(ISNA(VLOOKUP(B140,Pricelist!A:D,2,FALSE)),"",VLOOKUP(B140,Pricelist!A:D,2,FALSE))</f>
        <v/>
      </c>
      <c r="D140" s="159" t="str">
        <f>IF(ISNA(VLOOKUP(B140,Pricelist!A:D,2,FALSE)),"",VLOOKUP(B140,Pricelist!A:D,4,FALSE))</f>
        <v/>
      </c>
      <c r="E140" s="160"/>
    </row>
    <row r="141" spans="2:5" ht="12" customHeight="1">
      <c r="B141" s="270"/>
      <c r="C141" s="371" t="str">
        <f>IF(ISNA(VLOOKUP(B141,Pricelist!A:D,2,FALSE)),"",VLOOKUP(B141,Pricelist!A:D,2,FALSE))</f>
        <v/>
      </c>
      <c r="D141" s="159" t="str">
        <f>IF(ISNA(VLOOKUP(B141,Pricelist!A:D,2,FALSE)),"",VLOOKUP(B141,Pricelist!A:D,4,FALSE))</f>
        <v/>
      </c>
      <c r="E141" s="160"/>
    </row>
    <row r="142" spans="2:5" ht="12" customHeight="1">
      <c r="B142" s="270"/>
      <c r="C142" s="371" t="str">
        <f>IF(ISNA(VLOOKUP(B142,Pricelist!A:D,2,FALSE)),"",VLOOKUP(B142,Pricelist!A:D,2,FALSE))</f>
        <v/>
      </c>
      <c r="D142" s="159" t="str">
        <f>IF(ISNA(VLOOKUP(B142,Pricelist!A:D,2,FALSE)),"",VLOOKUP(B142,Pricelist!A:D,4,FALSE))</f>
        <v/>
      </c>
      <c r="E142" s="160"/>
    </row>
    <row r="143" spans="2:5" ht="12" customHeight="1">
      <c r="B143" s="270"/>
      <c r="C143" s="371" t="str">
        <f>IF(ISNA(VLOOKUP(B143,Pricelist!A:D,2,FALSE)),"",VLOOKUP(B143,Pricelist!A:D,2,FALSE))</f>
        <v/>
      </c>
      <c r="D143" s="159" t="str">
        <f>IF(ISNA(VLOOKUP(B143,Pricelist!A:D,2,FALSE)),"",VLOOKUP(B143,Pricelist!A:D,4,FALSE))</f>
        <v/>
      </c>
      <c r="E143" s="160"/>
    </row>
    <row r="144" spans="2:5" ht="12" customHeight="1">
      <c r="B144" s="270"/>
      <c r="C144" s="371" t="str">
        <f>IF(ISNA(VLOOKUP(B144,Pricelist!A:D,2,FALSE)),"",VLOOKUP(B144,Pricelist!A:D,2,FALSE))</f>
        <v/>
      </c>
      <c r="D144" s="159" t="str">
        <f>IF(ISNA(VLOOKUP(B144,Pricelist!A:D,2,FALSE)),"",VLOOKUP(B144,Pricelist!A:D,4,FALSE))</f>
        <v/>
      </c>
      <c r="E144" s="160"/>
    </row>
    <row r="145" spans="2:5" ht="12" customHeight="1">
      <c r="B145" s="270"/>
      <c r="C145" s="371" t="str">
        <f>IF(ISNA(VLOOKUP(B145,Pricelist!A:D,2,FALSE)),"",VLOOKUP(B145,Pricelist!A:D,2,FALSE))</f>
        <v/>
      </c>
      <c r="D145" s="159" t="str">
        <f>IF(ISNA(VLOOKUP(B145,Pricelist!A:D,2,FALSE)),"",VLOOKUP(B145,Pricelist!A:D,4,FALSE))</f>
        <v/>
      </c>
      <c r="E145" s="160"/>
    </row>
    <row r="146" spans="2:5" ht="12" customHeight="1">
      <c r="B146" s="270"/>
      <c r="C146" s="371" t="str">
        <f>IF(ISNA(VLOOKUP(B146,Pricelist!A:D,2,FALSE)),"",VLOOKUP(B146,Pricelist!A:D,2,FALSE))</f>
        <v/>
      </c>
      <c r="D146" s="159" t="str">
        <f>IF(ISNA(VLOOKUP(B146,Pricelist!A:D,2,FALSE)),"",VLOOKUP(B146,Pricelist!A:D,4,FALSE))</f>
        <v/>
      </c>
      <c r="E146" s="160"/>
    </row>
    <row r="147" spans="2:5" ht="12" customHeight="1">
      <c r="B147" s="270"/>
      <c r="C147" s="371" t="str">
        <f>IF(ISNA(VLOOKUP(B147,Pricelist!A:D,2,FALSE)),"",VLOOKUP(B147,Pricelist!A:D,2,FALSE))</f>
        <v/>
      </c>
      <c r="D147" s="159" t="str">
        <f>IF(ISNA(VLOOKUP(B147,Pricelist!A:D,2,FALSE)),"",VLOOKUP(B147,Pricelist!A:D,4,FALSE))</f>
        <v/>
      </c>
      <c r="E147" s="160"/>
    </row>
    <row r="148" spans="2:5" ht="12" customHeight="1">
      <c r="B148" s="270"/>
      <c r="C148" s="371" t="str">
        <f>IF(ISNA(VLOOKUP(B148,Pricelist!A:D,2,FALSE)),"",VLOOKUP(B148,Pricelist!A:D,2,FALSE))</f>
        <v/>
      </c>
      <c r="D148" s="159" t="str">
        <f>IF(ISNA(VLOOKUP(B148,Pricelist!A:D,2,FALSE)),"",VLOOKUP(B148,Pricelist!A:D,4,FALSE))</f>
        <v/>
      </c>
      <c r="E148" s="160"/>
    </row>
    <row r="149" spans="2:5" ht="12" customHeight="1">
      <c r="B149" s="270"/>
      <c r="C149" s="371" t="str">
        <f>IF(ISNA(VLOOKUP(B149,Pricelist!A:D,2,FALSE)),"",VLOOKUP(B149,Pricelist!A:D,2,FALSE))</f>
        <v/>
      </c>
      <c r="D149" s="159" t="str">
        <f>IF(ISNA(VLOOKUP(B149,Pricelist!A:D,2,FALSE)),"",VLOOKUP(B149,Pricelist!A:D,4,FALSE))</f>
        <v/>
      </c>
      <c r="E149" s="160"/>
    </row>
    <row r="150" spans="2:5" ht="12" customHeight="1">
      <c r="B150" s="270"/>
      <c r="C150" s="371" t="str">
        <f>IF(ISNA(VLOOKUP(B150,Pricelist!A:D,2,FALSE)),"",VLOOKUP(B150,Pricelist!A:D,2,FALSE))</f>
        <v/>
      </c>
      <c r="D150" s="159" t="str">
        <f>IF(ISNA(VLOOKUP(B150,Pricelist!A:D,2,FALSE)),"",VLOOKUP(B150,Pricelist!A:D,4,FALSE))</f>
        <v/>
      </c>
      <c r="E150" s="160"/>
    </row>
    <row r="151" spans="2:5" ht="12" customHeight="1">
      <c r="B151" s="270"/>
      <c r="C151" s="371" t="str">
        <f>IF(ISNA(VLOOKUP(B151,Pricelist!A:D,2,FALSE)),"",VLOOKUP(B151,Pricelist!A:D,2,FALSE))</f>
        <v/>
      </c>
      <c r="D151" s="159" t="str">
        <f>IF(ISNA(VLOOKUP(B151,Pricelist!A:D,2,FALSE)),"",VLOOKUP(B151,Pricelist!A:D,4,FALSE))</f>
        <v/>
      </c>
      <c r="E151" s="160"/>
    </row>
    <row r="152" spans="2:5" ht="12" customHeight="1">
      <c r="B152" s="270"/>
      <c r="C152" s="371" t="str">
        <f>IF(ISNA(VLOOKUP(B152,Pricelist!A:D,2,FALSE)),"",VLOOKUP(B152,Pricelist!A:D,2,FALSE))</f>
        <v/>
      </c>
      <c r="D152" s="159" t="str">
        <f>IF(ISNA(VLOOKUP(B152,Pricelist!A:D,2,FALSE)),"",VLOOKUP(B152,Pricelist!A:D,4,FALSE))</f>
        <v/>
      </c>
      <c r="E152" s="160"/>
    </row>
    <row r="153" spans="2:5" ht="12" customHeight="1">
      <c r="B153" s="270"/>
      <c r="C153" s="371" t="str">
        <f>IF(ISNA(VLOOKUP(B153,Pricelist!A:D,2,FALSE)),"",VLOOKUP(B153,Pricelist!A:D,2,FALSE))</f>
        <v/>
      </c>
      <c r="D153" s="159" t="str">
        <f>IF(ISNA(VLOOKUP(B153,Pricelist!A:D,2,FALSE)),"",VLOOKUP(B153,Pricelist!A:D,4,FALSE))</f>
        <v/>
      </c>
      <c r="E153" s="160"/>
    </row>
    <row r="154" spans="2:5" ht="12" customHeight="1">
      <c r="B154" s="270"/>
      <c r="C154" s="371" t="str">
        <f>IF(ISNA(VLOOKUP(B154,Pricelist!A:D,2,FALSE)),"",VLOOKUP(B154,Pricelist!A:D,2,FALSE))</f>
        <v/>
      </c>
      <c r="D154" s="159" t="str">
        <f>IF(ISNA(VLOOKUP(B154,Pricelist!A:D,2,FALSE)),"",VLOOKUP(B154,Pricelist!A:D,4,FALSE))</f>
        <v/>
      </c>
      <c r="E154" s="160"/>
    </row>
    <row r="155" spans="2:5" ht="12" customHeight="1">
      <c r="B155" s="270"/>
      <c r="C155" s="371" t="str">
        <f>IF(ISNA(VLOOKUP(B155,Pricelist!A:D,2,FALSE)),"",VLOOKUP(B155,Pricelist!A:D,2,FALSE))</f>
        <v/>
      </c>
      <c r="D155" s="159" t="str">
        <f>IF(ISNA(VLOOKUP(B155,Pricelist!A:D,2,FALSE)),"",VLOOKUP(B155,Pricelist!A:D,4,FALSE))</f>
        <v/>
      </c>
      <c r="E155" s="160"/>
    </row>
    <row r="156" spans="2:5" ht="12" customHeight="1">
      <c r="B156" s="270"/>
      <c r="C156" s="371" t="str">
        <f>IF(ISNA(VLOOKUP(B156,Pricelist!A:D,2,FALSE)),"",VLOOKUP(B156,Pricelist!A:D,2,FALSE))</f>
        <v/>
      </c>
      <c r="D156" s="159" t="str">
        <f>IF(ISNA(VLOOKUP(B156,Pricelist!A:D,2,FALSE)),"",VLOOKUP(B156,Pricelist!A:D,4,FALSE))</f>
        <v/>
      </c>
      <c r="E156" s="160"/>
    </row>
    <row r="157" spans="2:5" ht="12" customHeight="1">
      <c r="B157" s="270"/>
      <c r="C157" s="371" t="str">
        <f>IF(ISNA(VLOOKUP(B157,Pricelist!A:D,2,FALSE)),"",VLOOKUP(B157,Pricelist!A:D,2,FALSE))</f>
        <v/>
      </c>
      <c r="D157" s="159" t="str">
        <f>IF(ISNA(VLOOKUP(B157,Pricelist!A:D,2,FALSE)),"",VLOOKUP(B157,Pricelist!A:D,4,FALSE))</f>
        <v/>
      </c>
      <c r="E157" s="160"/>
    </row>
    <row r="158" spans="2:5" ht="12" customHeight="1">
      <c r="B158" s="270"/>
      <c r="C158" s="371" t="str">
        <f>IF(ISNA(VLOOKUP(B158,Pricelist!A:D,2,FALSE)),"",VLOOKUP(B158,Pricelist!A:D,2,FALSE))</f>
        <v/>
      </c>
      <c r="D158" s="159" t="str">
        <f>IF(ISNA(VLOOKUP(B158,Pricelist!A:D,2,FALSE)),"",VLOOKUP(B158,Pricelist!A:D,4,FALSE))</f>
        <v/>
      </c>
      <c r="E158" s="160"/>
    </row>
    <row r="159" spans="2:5" ht="12" customHeight="1">
      <c r="B159" s="270"/>
      <c r="C159" s="371" t="str">
        <f>IF(ISNA(VLOOKUP(B159,Pricelist!A:D,2,FALSE)),"",VLOOKUP(B159,Pricelist!A:D,2,FALSE))</f>
        <v/>
      </c>
      <c r="D159" s="159" t="str">
        <f>IF(ISNA(VLOOKUP(B159,Pricelist!A:D,2,FALSE)),"",VLOOKUP(B159,Pricelist!A:D,4,FALSE))</f>
        <v/>
      </c>
      <c r="E159" s="160"/>
    </row>
    <row r="160" spans="2:5" ht="12" customHeight="1">
      <c r="B160" s="270"/>
      <c r="C160" s="371" t="str">
        <f>IF(ISNA(VLOOKUP(B160,Pricelist!A:D,2,FALSE)),"",VLOOKUP(B160,Pricelist!A:D,2,FALSE))</f>
        <v/>
      </c>
      <c r="D160" s="159" t="str">
        <f>IF(ISNA(VLOOKUP(B160,Pricelist!A:D,2,FALSE)),"",VLOOKUP(B160,Pricelist!A:D,4,FALSE))</f>
        <v/>
      </c>
      <c r="E160" s="160"/>
    </row>
    <row r="161" spans="2:5" ht="12" customHeight="1">
      <c r="B161" s="270"/>
      <c r="C161" s="371" t="str">
        <f>IF(ISNA(VLOOKUP(B161,Pricelist!A:D,2,FALSE)),"",VLOOKUP(B161,Pricelist!A:D,2,FALSE))</f>
        <v/>
      </c>
      <c r="D161" s="159" t="str">
        <f>IF(ISNA(VLOOKUP(B161,Pricelist!A:D,2,FALSE)),"",VLOOKUP(B161,Pricelist!A:D,4,FALSE))</f>
        <v/>
      </c>
      <c r="E161" s="160"/>
    </row>
    <row r="162" spans="2:5" ht="12" customHeight="1">
      <c r="B162" s="270"/>
      <c r="C162" s="371" t="str">
        <f>IF(ISNA(VLOOKUP(B162,Pricelist!A:D,2,FALSE)),"",VLOOKUP(B162,Pricelist!A:D,2,FALSE))</f>
        <v/>
      </c>
      <c r="D162" s="159" t="str">
        <f>IF(ISNA(VLOOKUP(B162,Pricelist!A:D,2,FALSE)),"",VLOOKUP(B162,Pricelist!A:D,4,FALSE))</f>
        <v/>
      </c>
      <c r="E162" s="160"/>
    </row>
    <row r="163" spans="2:5" ht="12" customHeight="1">
      <c r="B163" s="270"/>
      <c r="C163" s="371" t="str">
        <f>IF(ISNA(VLOOKUP(B163,Pricelist!A:D,2,FALSE)),"",VLOOKUP(B163,Pricelist!A:D,2,FALSE))</f>
        <v/>
      </c>
      <c r="D163" s="159" t="str">
        <f>IF(ISNA(VLOOKUP(B163,Pricelist!A:D,2,FALSE)),"",VLOOKUP(B163,Pricelist!A:D,4,FALSE))</f>
        <v/>
      </c>
      <c r="E163" s="160"/>
    </row>
    <row r="164" spans="2:5" ht="12" customHeight="1">
      <c r="B164" s="270"/>
      <c r="C164" s="371" t="str">
        <f>IF(ISNA(VLOOKUP(B164,Pricelist!A:D,2,FALSE)),"",VLOOKUP(B164,Pricelist!A:D,2,FALSE))</f>
        <v/>
      </c>
      <c r="D164" s="159" t="str">
        <f>IF(ISNA(VLOOKUP(B164,Pricelist!A:D,2,FALSE)),"",VLOOKUP(B164,Pricelist!A:D,4,FALSE))</f>
        <v/>
      </c>
      <c r="E164" s="160"/>
    </row>
    <row r="165" spans="2:5" ht="12" customHeight="1">
      <c r="B165" s="270"/>
      <c r="C165" s="371" t="str">
        <f>IF(ISNA(VLOOKUP(B165,Pricelist!A:D,2,FALSE)),"",VLOOKUP(B165,Pricelist!A:D,2,FALSE))</f>
        <v/>
      </c>
      <c r="D165" s="159" t="str">
        <f>IF(ISNA(VLOOKUP(B165,Pricelist!A:D,2,FALSE)),"",VLOOKUP(B165,Pricelist!A:D,4,FALSE))</f>
        <v/>
      </c>
      <c r="E165" s="160"/>
    </row>
    <row r="166" spans="2:5" ht="12" customHeight="1">
      <c r="B166" s="270"/>
      <c r="C166" s="371" t="str">
        <f>IF(ISNA(VLOOKUP(B166,Pricelist!A:D,2,FALSE)),"",VLOOKUP(B166,Pricelist!A:D,2,FALSE))</f>
        <v/>
      </c>
      <c r="D166" s="159" t="str">
        <f>IF(ISNA(VLOOKUP(B166,Pricelist!A:D,2,FALSE)),"",VLOOKUP(B166,Pricelist!A:D,4,FALSE))</f>
        <v/>
      </c>
      <c r="E166" s="160"/>
    </row>
    <row r="167" spans="2:5" ht="12" customHeight="1">
      <c r="B167" s="270"/>
      <c r="C167" s="371" t="str">
        <f>IF(ISNA(VLOOKUP(B167,Pricelist!A:D,2,FALSE)),"",VLOOKUP(B167,Pricelist!A:D,2,FALSE))</f>
        <v/>
      </c>
      <c r="D167" s="159" t="str">
        <f>IF(ISNA(VLOOKUP(B167,Pricelist!A:D,2,FALSE)),"",VLOOKUP(B167,Pricelist!A:D,4,FALSE))</f>
        <v/>
      </c>
      <c r="E167" s="160"/>
    </row>
    <row r="168" spans="2:5" ht="12" customHeight="1">
      <c r="B168" s="270"/>
      <c r="C168" s="371" t="str">
        <f>IF(ISNA(VLOOKUP(B168,Pricelist!A:D,2,FALSE)),"",VLOOKUP(B168,Pricelist!A:D,2,FALSE))</f>
        <v/>
      </c>
      <c r="D168" s="159" t="str">
        <f>IF(ISNA(VLOOKUP(B168,Pricelist!A:D,2,FALSE)),"",VLOOKUP(B168,Pricelist!A:D,4,FALSE))</f>
        <v/>
      </c>
      <c r="E168" s="160"/>
    </row>
    <row r="169" spans="2:5" ht="12" customHeight="1">
      <c r="B169" s="270"/>
      <c r="C169" s="371" t="str">
        <f>IF(ISNA(VLOOKUP(B169,Pricelist!A:D,2,FALSE)),"",VLOOKUP(B169,Pricelist!A:D,2,FALSE))</f>
        <v/>
      </c>
      <c r="D169" s="159" t="str">
        <f>IF(ISNA(VLOOKUP(B169,Pricelist!A:D,2,FALSE)),"",VLOOKUP(B169,Pricelist!A:D,4,FALSE))</f>
        <v/>
      </c>
      <c r="E169" s="160"/>
    </row>
    <row r="170" spans="2:5" ht="12" customHeight="1">
      <c r="B170" s="270"/>
      <c r="C170" s="371" t="str">
        <f>IF(ISNA(VLOOKUP(B170,Pricelist!A:D,2,FALSE)),"",VLOOKUP(B170,Pricelist!A:D,2,FALSE))</f>
        <v/>
      </c>
      <c r="D170" s="159" t="str">
        <f>IF(ISNA(VLOOKUP(B170,Pricelist!A:D,2,FALSE)),"",VLOOKUP(B170,Pricelist!A:D,4,FALSE))</f>
        <v/>
      </c>
      <c r="E170" s="160"/>
    </row>
    <row r="171" spans="2:5" ht="12" customHeight="1">
      <c r="B171" s="270"/>
      <c r="C171" s="371" t="str">
        <f>IF(ISNA(VLOOKUP(B171,Pricelist!A:D,2,FALSE)),"",VLOOKUP(B171,Pricelist!A:D,2,FALSE))</f>
        <v/>
      </c>
      <c r="D171" s="159" t="str">
        <f>IF(ISNA(VLOOKUP(B171,Pricelist!A:D,2,FALSE)),"",VLOOKUP(B171,Pricelist!A:D,4,FALSE))</f>
        <v/>
      </c>
      <c r="E171" s="160"/>
    </row>
    <row r="172" spans="2:5" ht="12" customHeight="1">
      <c r="B172" s="270"/>
      <c r="C172" s="371" t="str">
        <f>IF(ISNA(VLOOKUP(B172,Pricelist!A:D,2,FALSE)),"",VLOOKUP(B172,Pricelist!A:D,2,FALSE))</f>
        <v/>
      </c>
      <c r="D172" s="159" t="str">
        <f>IF(ISNA(VLOOKUP(B172,Pricelist!A:D,2,FALSE)),"",VLOOKUP(B172,Pricelist!A:D,4,FALSE))</f>
        <v/>
      </c>
      <c r="E172" s="160"/>
    </row>
    <row r="173" spans="2:5" ht="12" customHeight="1">
      <c r="B173" s="270"/>
      <c r="C173" s="371" t="str">
        <f>IF(ISNA(VLOOKUP(B173,Pricelist!A:D,2,FALSE)),"",VLOOKUP(B173,Pricelist!A:D,2,FALSE))</f>
        <v/>
      </c>
      <c r="D173" s="159" t="str">
        <f>IF(ISNA(VLOOKUP(B173,Pricelist!A:D,2,FALSE)),"",VLOOKUP(B173,Pricelist!A:D,4,FALSE))</f>
        <v/>
      </c>
      <c r="E173" s="160"/>
    </row>
    <row r="174" spans="2:5" ht="12" customHeight="1">
      <c r="B174" s="270"/>
      <c r="C174" s="371" t="str">
        <f>IF(ISNA(VLOOKUP(B174,Pricelist!A:D,2,FALSE)),"",VLOOKUP(B174,Pricelist!A:D,2,FALSE))</f>
        <v/>
      </c>
      <c r="D174" s="159" t="str">
        <f>IF(ISNA(VLOOKUP(B174,Pricelist!A:D,2,FALSE)),"",VLOOKUP(B174,Pricelist!A:D,4,FALSE))</f>
        <v/>
      </c>
      <c r="E174" s="160"/>
    </row>
    <row r="175" spans="2:5" ht="12" customHeight="1">
      <c r="B175" s="270"/>
      <c r="C175" s="371" t="str">
        <f>IF(ISNA(VLOOKUP(B175,Pricelist!A:D,2,FALSE)),"",VLOOKUP(B175,Pricelist!A:D,2,FALSE))</f>
        <v/>
      </c>
      <c r="D175" s="159" t="str">
        <f>IF(ISNA(VLOOKUP(B175,Pricelist!A:D,2,FALSE)),"",VLOOKUP(B175,Pricelist!A:D,4,FALSE))</f>
        <v/>
      </c>
      <c r="E175" s="160"/>
    </row>
    <row r="176" spans="2:5" ht="12" customHeight="1">
      <c r="B176" s="270"/>
      <c r="C176" s="371" t="str">
        <f>IF(ISNA(VLOOKUP(B176,Pricelist!A:D,2,FALSE)),"",VLOOKUP(B176,Pricelist!A:D,2,FALSE))</f>
        <v/>
      </c>
      <c r="D176" s="159" t="str">
        <f>IF(ISNA(VLOOKUP(B176,Pricelist!A:D,2,FALSE)),"",VLOOKUP(B176,Pricelist!A:D,4,FALSE))</f>
        <v/>
      </c>
      <c r="E176" s="160"/>
    </row>
    <row r="177" spans="2:5" ht="12" customHeight="1">
      <c r="B177" s="270"/>
      <c r="C177" s="371" t="str">
        <f>IF(ISNA(VLOOKUP(B177,Pricelist!A:D,2,FALSE)),"",VLOOKUP(B177,Pricelist!A:D,2,FALSE))</f>
        <v/>
      </c>
      <c r="D177" s="159" t="str">
        <f>IF(ISNA(VLOOKUP(B177,Pricelist!A:D,2,FALSE)),"",VLOOKUP(B177,Pricelist!A:D,4,FALSE))</f>
        <v/>
      </c>
      <c r="E177" s="160"/>
    </row>
    <row r="178" spans="2:5" ht="12" customHeight="1">
      <c r="B178" s="270"/>
      <c r="C178" s="371" t="str">
        <f>IF(ISNA(VLOOKUP(B178,Pricelist!A:D,2,FALSE)),"",VLOOKUP(B178,Pricelist!A:D,2,FALSE))</f>
        <v/>
      </c>
      <c r="D178" s="159" t="str">
        <f>IF(ISNA(VLOOKUP(B178,Pricelist!A:D,2,FALSE)),"",VLOOKUP(B178,Pricelist!A:D,4,FALSE))</f>
        <v/>
      </c>
      <c r="E178" s="160"/>
    </row>
    <row r="179" spans="2:5" ht="12" customHeight="1">
      <c r="B179" s="270"/>
      <c r="C179" s="371" t="str">
        <f>IF(ISNA(VLOOKUP(B179,Pricelist!A:D,2,FALSE)),"",VLOOKUP(B179,Pricelist!A:D,2,FALSE))</f>
        <v/>
      </c>
      <c r="D179" s="159" t="str">
        <f>IF(ISNA(VLOOKUP(B179,Pricelist!A:D,2,FALSE)),"",VLOOKUP(B179,Pricelist!A:D,4,FALSE))</f>
        <v/>
      </c>
      <c r="E179" s="160"/>
    </row>
    <row r="180" spans="2:5" ht="12" customHeight="1">
      <c r="B180" s="270"/>
      <c r="C180" s="371" t="str">
        <f>IF(ISNA(VLOOKUP(B180,Pricelist!A:D,2,FALSE)),"",VLOOKUP(B180,Pricelist!A:D,2,FALSE))</f>
        <v/>
      </c>
      <c r="D180" s="159" t="str">
        <f>IF(ISNA(VLOOKUP(B180,Pricelist!A:D,2,FALSE)),"",VLOOKUP(B180,Pricelist!A:D,4,FALSE))</f>
        <v/>
      </c>
      <c r="E180" s="160"/>
    </row>
    <row r="181" spans="2:5" ht="12" customHeight="1">
      <c r="B181" s="270"/>
      <c r="C181" s="371" t="str">
        <f>IF(ISNA(VLOOKUP(B181,Pricelist!A:D,2,FALSE)),"",VLOOKUP(B181,Pricelist!A:D,2,FALSE))</f>
        <v/>
      </c>
      <c r="D181" s="159" t="str">
        <f>IF(ISNA(VLOOKUP(B181,Pricelist!A:D,2,FALSE)),"",VLOOKUP(B181,Pricelist!A:D,4,FALSE))</f>
        <v/>
      </c>
      <c r="E181" s="160"/>
    </row>
    <row r="182" spans="2:5" ht="12" customHeight="1">
      <c r="B182" s="270"/>
      <c r="C182" s="371" t="str">
        <f>IF(ISNA(VLOOKUP(B182,Pricelist!A:D,2,FALSE)),"",VLOOKUP(B182,Pricelist!A:D,2,FALSE))</f>
        <v/>
      </c>
      <c r="D182" s="159" t="str">
        <f>IF(ISNA(VLOOKUP(B182,Pricelist!A:D,2,FALSE)),"",VLOOKUP(B182,Pricelist!A:D,4,FALSE))</f>
        <v/>
      </c>
      <c r="E182" s="160"/>
    </row>
    <row r="183" spans="2:5" ht="12" customHeight="1">
      <c r="B183" s="270"/>
      <c r="C183" s="371" t="str">
        <f>IF(ISNA(VLOOKUP(B183,Pricelist!A:D,2,FALSE)),"",VLOOKUP(B183,Pricelist!A:D,2,FALSE))</f>
        <v/>
      </c>
      <c r="D183" s="159" t="str">
        <f>IF(ISNA(VLOOKUP(B183,Pricelist!A:D,2,FALSE)),"",VLOOKUP(B183,Pricelist!A:D,4,FALSE))</f>
        <v/>
      </c>
      <c r="E183" s="160"/>
    </row>
    <row r="184" spans="2:5" ht="12" customHeight="1">
      <c r="B184" s="270"/>
      <c r="C184" s="371" t="str">
        <f>IF(ISNA(VLOOKUP(B184,Pricelist!A:D,2,FALSE)),"",VLOOKUP(B184,Pricelist!A:D,2,FALSE))</f>
        <v/>
      </c>
      <c r="D184" s="159" t="str">
        <f>IF(ISNA(VLOOKUP(B184,Pricelist!A:D,2,FALSE)),"",VLOOKUP(B184,Pricelist!A:D,4,FALSE))</f>
        <v/>
      </c>
      <c r="E184" s="160"/>
    </row>
    <row r="185" spans="2:5" ht="12" customHeight="1">
      <c r="B185" s="270"/>
      <c r="C185" s="371" t="str">
        <f>IF(ISNA(VLOOKUP(B185,Pricelist!A:D,2,FALSE)),"",VLOOKUP(B185,Pricelist!A:D,2,FALSE))</f>
        <v/>
      </c>
      <c r="D185" s="159" t="str">
        <f>IF(ISNA(VLOOKUP(B185,Pricelist!A:D,2,FALSE)),"",VLOOKUP(B185,Pricelist!A:D,4,FALSE))</f>
        <v/>
      </c>
      <c r="E185" s="160"/>
    </row>
    <row r="186" spans="2:5" ht="12" customHeight="1">
      <c r="B186" s="270"/>
      <c r="C186" s="371" t="str">
        <f>IF(ISNA(VLOOKUP(B186,Pricelist!A:D,2,FALSE)),"",VLOOKUP(B186,Pricelist!A:D,2,FALSE))</f>
        <v/>
      </c>
      <c r="D186" s="159" t="str">
        <f>IF(ISNA(VLOOKUP(B186,Pricelist!A:D,2,FALSE)),"",VLOOKUP(B186,Pricelist!A:D,4,FALSE))</f>
        <v/>
      </c>
      <c r="E186" s="160"/>
    </row>
    <row r="187" spans="2:5" ht="12" customHeight="1">
      <c r="B187" s="270"/>
      <c r="C187" s="371" t="str">
        <f>IF(ISNA(VLOOKUP(B187,Pricelist!A:D,2,FALSE)),"",VLOOKUP(B187,Pricelist!A:D,2,FALSE))</f>
        <v/>
      </c>
      <c r="D187" s="159" t="str">
        <f>IF(ISNA(VLOOKUP(B187,Pricelist!A:D,2,FALSE)),"",VLOOKUP(B187,Pricelist!A:D,4,FALSE))</f>
        <v/>
      </c>
      <c r="E187" s="160"/>
    </row>
    <row r="188" spans="2:5" ht="12" customHeight="1">
      <c r="B188" s="270"/>
      <c r="C188" s="371" t="str">
        <f>IF(ISNA(VLOOKUP(B188,Pricelist!A:D,2,FALSE)),"",VLOOKUP(B188,Pricelist!A:D,2,FALSE))</f>
        <v/>
      </c>
      <c r="D188" s="159" t="str">
        <f>IF(ISNA(VLOOKUP(B188,Pricelist!A:D,2,FALSE)),"",VLOOKUP(B188,Pricelist!A:D,4,FALSE))</f>
        <v/>
      </c>
      <c r="E188" s="160"/>
    </row>
    <row r="189" spans="2:5" ht="12" customHeight="1">
      <c r="B189" s="270"/>
      <c r="C189" s="371" t="str">
        <f>IF(ISNA(VLOOKUP(B189,Pricelist!A:D,2,FALSE)),"",VLOOKUP(B189,Pricelist!A:D,2,FALSE))</f>
        <v/>
      </c>
      <c r="D189" s="159" t="str">
        <f>IF(ISNA(VLOOKUP(B189,Pricelist!A:D,2,FALSE)),"",VLOOKUP(B189,Pricelist!A:D,4,FALSE))</f>
        <v/>
      </c>
      <c r="E189" s="160"/>
    </row>
    <row r="190" spans="2:5" ht="12" customHeight="1">
      <c r="B190" s="270"/>
      <c r="C190" s="371" t="str">
        <f>IF(ISNA(VLOOKUP(B190,Pricelist!A:D,2,FALSE)),"",VLOOKUP(B190,Pricelist!A:D,2,FALSE))</f>
        <v/>
      </c>
      <c r="D190" s="159" t="str">
        <f>IF(ISNA(VLOOKUP(B190,Pricelist!A:D,2,FALSE)),"",VLOOKUP(B190,Pricelist!A:D,4,FALSE))</f>
        <v/>
      </c>
      <c r="E190" s="160"/>
    </row>
    <row r="191" spans="2:5" ht="12" customHeight="1">
      <c r="B191" s="270"/>
      <c r="C191" s="371" t="str">
        <f>IF(ISNA(VLOOKUP(B191,Pricelist!A:D,2,FALSE)),"",VLOOKUP(B191,Pricelist!A:D,2,FALSE))</f>
        <v/>
      </c>
      <c r="D191" s="159" t="str">
        <f>IF(ISNA(VLOOKUP(B191,Pricelist!A:D,2,FALSE)),"",VLOOKUP(B191,Pricelist!A:D,4,FALSE))</f>
        <v/>
      </c>
      <c r="E191" s="160"/>
    </row>
    <row r="192" spans="2:5" ht="12" customHeight="1">
      <c r="B192" s="270"/>
      <c r="C192" s="371" t="str">
        <f>IF(ISNA(VLOOKUP(B192,Pricelist!A:D,2,FALSE)),"",VLOOKUP(B192,Pricelist!A:D,2,FALSE))</f>
        <v/>
      </c>
      <c r="D192" s="159" t="str">
        <f>IF(ISNA(VLOOKUP(B192,Pricelist!A:D,2,FALSE)),"",VLOOKUP(B192,Pricelist!A:D,4,FALSE))</f>
        <v/>
      </c>
      <c r="E192" s="160"/>
    </row>
    <row r="193" spans="1:5" ht="12" customHeight="1">
      <c r="A193" s="169" t="s">
        <v>682</v>
      </c>
      <c r="B193" s="270"/>
      <c r="C193" s="371" t="str">
        <f>IF(ISNA(VLOOKUP(B193,Pricelist!A:D,2,FALSE)),"",VLOOKUP(B193,Pricelist!A:D,2,FALSE))</f>
        <v/>
      </c>
      <c r="D193" s="159" t="str">
        <f>IF(ISNA(VLOOKUP(B193,Pricelist!A:D,2,FALSE)),"",VLOOKUP(B193,Pricelist!A:D,4,FALSE))</f>
        <v/>
      </c>
      <c r="E193" s="160"/>
    </row>
    <row r="194" spans="1:5" ht="12" customHeight="1">
      <c r="A194" s="158">
        <f>COUNTA(B193:B262)</f>
        <v>0</v>
      </c>
      <c r="B194" s="270"/>
      <c r="C194" s="371" t="str">
        <f>IF(ISNA(VLOOKUP(B194,Pricelist!A:D,2,FALSE)),"",VLOOKUP(B194,Pricelist!A:D,2,FALSE))</f>
        <v/>
      </c>
      <c r="D194" s="159" t="str">
        <f>IF(ISNA(VLOOKUP(B194,Pricelist!A:D,2,FALSE)),"",VLOOKUP(B194,Pricelist!A:D,4,FALSE))</f>
        <v/>
      </c>
      <c r="E194" s="160"/>
    </row>
    <row r="195" spans="1:5" ht="12" customHeight="1">
      <c r="B195" s="270"/>
      <c r="C195" s="371" t="str">
        <f>IF(ISNA(VLOOKUP(B195,Pricelist!A:D,2,FALSE)),"",VLOOKUP(B195,Pricelist!A:D,2,FALSE))</f>
        <v/>
      </c>
      <c r="D195" s="159" t="str">
        <f>IF(ISNA(VLOOKUP(B195,Pricelist!A:D,2,FALSE)),"",VLOOKUP(B195,Pricelist!A:D,4,FALSE))</f>
        <v/>
      </c>
      <c r="E195" s="160"/>
    </row>
    <row r="196" spans="1:5" ht="12" customHeight="1">
      <c r="B196" s="270"/>
      <c r="C196" s="371" t="str">
        <f>IF(ISNA(VLOOKUP(B196,Pricelist!A:D,2,FALSE)),"",VLOOKUP(B196,Pricelist!A:D,2,FALSE))</f>
        <v/>
      </c>
      <c r="D196" s="159" t="str">
        <f>IF(ISNA(VLOOKUP(B196,Pricelist!A:D,2,FALSE)),"",VLOOKUP(B196,Pricelist!A:D,4,FALSE))</f>
        <v/>
      </c>
      <c r="E196" s="160"/>
    </row>
    <row r="197" spans="1:5" ht="12" customHeight="1">
      <c r="B197" s="270"/>
      <c r="C197" s="371" t="str">
        <f>IF(ISNA(VLOOKUP(B197,Pricelist!A:D,2,FALSE)),"",VLOOKUP(B197,Pricelist!A:D,2,FALSE))</f>
        <v/>
      </c>
      <c r="D197" s="159" t="str">
        <f>IF(ISNA(VLOOKUP(B197,Pricelist!A:D,2,FALSE)),"",VLOOKUP(B197,Pricelist!A:D,4,FALSE))</f>
        <v/>
      </c>
      <c r="E197" s="160"/>
    </row>
    <row r="198" spans="1:5" ht="12" customHeight="1">
      <c r="B198" s="270"/>
      <c r="C198" s="371" t="str">
        <f>IF(ISNA(VLOOKUP(B198,Pricelist!A:D,2,FALSE)),"",VLOOKUP(B198,Pricelist!A:D,2,FALSE))</f>
        <v/>
      </c>
      <c r="D198" s="159" t="str">
        <f>IF(ISNA(VLOOKUP(B198,Pricelist!A:D,2,FALSE)),"",VLOOKUP(B198,Pricelist!A:D,4,FALSE))</f>
        <v/>
      </c>
      <c r="E198" s="160"/>
    </row>
    <row r="199" spans="1:5" ht="12" customHeight="1">
      <c r="B199" s="270"/>
      <c r="C199" s="371" t="str">
        <f>IF(ISNA(VLOOKUP(B199,Pricelist!A:D,2,FALSE)),"",VLOOKUP(B199,Pricelist!A:D,2,FALSE))</f>
        <v/>
      </c>
      <c r="D199" s="159" t="str">
        <f>IF(ISNA(VLOOKUP(B199,Pricelist!A:D,2,FALSE)),"",VLOOKUP(B199,Pricelist!A:D,4,FALSE))</f>
        <v/>
      </c>
      <c r="E199" s="160"/>
    </row>
    <row r="200" spans="1:5" ht="12" customHeight="1">
      <c r="B200" s="270"/>
      <c r="C200" s="371" t="str">
        <f>IF(ISNA(VLOOKUP(B200,Pricelist!A:D,2,FALSE)),"",VLOOKUP(B200,Pricelist!A:D,2,FALSE))</f>
        <v/>
      </c>
      <c r="D200" s="159" t="str">
        <f>IF(ISNA(VLOOKUP(B200,Pricelist!A:D,2,FALSE)),"",VLOOKUP(B200,Pricelist!A:D,4,FALSE))</f>
        <v/>
      </c>
      <c r="E200" s="160"/>
    </row>
    <row r="201" spans="1:5" ht="12" customHeight="1">
      <c r="B201" s="270"/>
      <c r="C201" s="371" t="str">
        <f>IF(ISNA(VLOOKUP(B201,Pricelist!A:D,2,FALSE)),"",VLOOKUP(B201,Pricelist!A:D,2,FALSE))</f>
        <v/>
      </c>
      <c r="D201" s="159" t="str">
        <f>IF(ISNA(VLOOKUP(B201,Pricelist!A:D,2,FALSE)),"",VLOOKUP(B201,Pricelist!A:D,4,FALSE))</f>
        <v/>
      </c>
      <c r="E201" s="160"/>
    </row>
    <row r="202" spans="1:5" ht="12" customHeight="1">
      <c r="B202" s="270"/>
      <c r="C202" s="371" t="str">
        <f>IF(ISNA(VLOOKUP(B202,Pricelist!A:D,2,FALSE)),"",VLOOKUP(B202,Pricelist!A:D,2,FALSE))</f>
        <v/>
      </c>
      <c r="D202" s="159" t="str">
        <f>IF(ISNA(VLOOKUP(B202,Pricelist!A:D,2,FALSE)),"",VLOOKUP(B202,Pricelist!A:D,4,FALSE))</f>
        <v/>
      </c>
      <c r="E202" s="160"/>
    </row>
    <row r="203" spans="1:5" ht="12" customHeight="1">
      <c r="B203" s="270"/>
      <c r="C203" s="371" t="str">
        <f>IF(ISNA(VLOOKUP(B203,Pricelist!A:D,2,FALSE)),"",VLOOKUP(B203,Pricelist!A:D,2,FALSE))</f>
        <v/>
      </c>
      <c r="D203" s="159" t="str">
        <f>IF(ISNA(VLOOKUP(B203,Pricelist!A:D,2,FALSE)),"",VLOOKUP(B203,Pricelist!A:D,4,FALSE))</f>
        <v/>
      </c>
      <c r="E203" s="160"/>
    </row>
    <row r="204" spans="1:5" ht="12" customHeight="1">
      <c r="B204" s="270"/>
      <c r="C204" s="371" t="str">
        <f>IF(ISNA(VLOOKUP(B204,Pricelist!A:D,2,FALSE)),"",VLOOKUP(B204,Pricelist!A:D,2,FALSE))</f>
        <v/>
      </c>
      <c r="D204" s="159" t="str">
        <f>IF(ISNA(VLOOKUP(B204,Pricelist!A:D,2,FALSE)),"",VLOOKUP(B204,Pricelist!A:D,4,FALSE))</f>
        <v/>
      </c>
      <c r="E204" s="160"/>
    </row>
    <row r="205" spans="1:5" ht="12" customHeight="1">
      <c r="B205" s="270"/>
      <c r="C205" s="371" t="str">
        <f>IF(ISNA(VLOOKUP(B205,Pricelist!A:D,2,FALSE)),"",VLOOKUP(B205,Pricelist!A:D,2,FALSE))</f>
        <v/>
      </c>
      <c r="D205" s="159" t="str">
        <f>IF(ISNA(VLOOKUP(B205,Pricelist!A:D,2,FALSE)),"",VLOOKUP(B205,Pricelist!A:D,4,FALSE))</f>
        <v/>
      </c>
      <c r="E205" s="160"/>
    </row>
    <row r="206" spans="1:5" ht="12" customHeight="1">
      <c r="B206" s="270"/>
      <c r="C206" s="371" t="str">
        <f>IF(ISNA(VLOOKUP(B206,Pricelist!A:D,2,FALSE)),"",VLOOKUP(B206,Pricelist!A:D,2,FALSE))</f>
        <v/>
      </c>
      <c r="D206" s="159" t="str">
        <f>IF(ISNA(VLOOKUP(B206,Pricelist!A:D,2,FALSE)),"",VLOOKUP(B206,Pricelist!A:D,4,FALSE))</f>
        <v/>
      </c>
      <c r="E206" s="160"/>
    </row>
    <row r="207" spans="1:5" ht="12" customHeight="1">
      <c r="B207" s="270"/>
      <c r="C207" s="371" t="str">
        <f>IF(ISNA(VLOOKUP(B207,Pricelist!A:D,2,FALSE)),"",VLOOKUP(B207,Pricelist!A:D,2,FALSE))</f>
        <v/>
      </c>
      <c r="D207" s="159" t="str">
        <f>IF(ISNA(VLOOKUP(B207,Pricelist!A:D,2,FALSE)),"",VLOOKUP(B207,Pricelist!A:D,4,FALSE))</f>
        <v/>
      </c>
      <c r="E207" s="160"/>
    </row>
    <row r="208" spans="1:5" ht="12" customHeight="1">
      <c r="B208" s="270"/>
      <c r="C208" s="371" t="str">
        <f>IF(ISNA(VLOOKUP(B208,Pricelist!A:D,2,FALSE)),"",VLOOKUP(B208,Pricelist!A:D,2,FALSE))</f>
        <v/>
      </c>
      <c r="D208" s="159" t="str">
        <f>IF(ISNA(VLOOKUP(B208,Pricelist!A:D,2,FALSE)),"",VLOOKUP(B208,Pricelist!A:D,4,FALSE))</f>
        <v/>
      </c>
      <c r="E208" s="160"/>
    </row>
    <row r="209" spans="2:5" ht="12" customHeight="1">
      <c r="B209" s="270"/>
      <c r="C209" s="371" t="str">
        <f>IF(ISNA(VLOOKUP(B209,Pricelist!A:D,2,FALSE)),"",VLOOKUP(B209,Pricelist!A:D,2,FALSE))</f>
        <v/>
      </c>
      <c r="D209" s="159" t="str">
        <f>IF(ISNA(VLOOKUP(B209,Pricelist!A:D,2,FALSE)),"",VLOOKUP(B209,Pricelist!A:D,4,FALSE))</f>
        <v/>
      </c>
      <c r="E209" s="160"/>
    </row>
    <row r="210" spans="2:5" ht="12" customHeight="1">
      <c r="B210" s="270"/>
      <c r="C210" s="371" t="str">
        <f>IF(ISNA(VLOOKUP(B210,Pricelist!A:D,2,FALSE)),"",VLOOKUP(B210,Pricelist!A:D,2,FALSE))</f>
        <v/>
      </c>
      <c r="D210" s="159" t="str">
        <f>IF(ISNA(VLOOKUP(B210,Pricelist!A:D,2,FALSE)),"",VLOOKUP(B210,Pricelist!A:D,4,FALSE))</f>
        <v/>
      </c>
      <c r="E210" s="160"/>
    </row>
    <row r="211" spans="2:5" ht="12" customHeight="1">
      <c r="B211" s="270"/>
      <c r="C211" s="371" t="str">
        <f>IF(ISNA(VLOOKUP(B211,Pricelist!A:D,2,FALSE)),"",VLOOKUP(B211,Pricelist!A:D,2,FALSE))</f>
        <v/>
      </c>
      <c r="D211" s="159" t="str">
        <f>IF(ISNA(VLOOKUP(B211,Pricelist!A:D,2,FALSE)),"",VLOOKUP(B211,Pricelist!A:D,4,FALSE))</f>
        <v/>
      </c>
      <c r="E211" s="160"/>
    </row>
    <row r="212" spans="2:5" ht="12" customHeight="1">
      <c r="B212" s="270"/>
      <c r="C212" s="371" t="str">
        <f>IF(ISNA(VLOOKUP(B212,Pricelist!A:D,2,FALSE)),"",VLOOKUP(B212,Pricelist!A:D,2,FALSE))</f>
        <v/>
      </c>
      <c r="D212" s="159" t="str">
        <f>IF(ISNA(VLOOKUP(B212,Pricelist!A:D,2,FALSE)),"",VLOOKUP(B212,Pricelist!A:D,4,FALSE))</f>
        <v/>
      </c>
      <c r="E212" s="160"/>
    </row>
    <row r="213" spans="2:5" ht="12" customHeight="1">
      <c r="B213" s="270"/>
      <c r="C213" s="371" t="str">
        <f>IF(ISNA(VLOOKUP(B213,Pricelist!A:D,2,FALSE)),"",VLOOKUP(B213,Pricelist!A:D,2,FALSE))</f>
        <v/>
      </c>
      <c r="D213" s="159" t="str">
        <f>IF(ISNA(VLOOKUP(B213,Pricelist!A:D,2,FALSE)),"",VLOOKUP(B213,Pricelist!A:D,4,FALSE))</f>
        <v/>
      </c>
      <c r="E213" s="160"/>
    </row>
    <row r="214" spans="2:5" ht="12" customHeight="1">
      <c r="B214" s="270"/>
      <c r="C214" s="371" t="str">
        <f>IF(ISNA(VLOOKUP(B214,Pricelist!A:D,2,FALSE)),"",VLOOKUP(B214,Pricelist!A:D,2,FALSE))</f>
        <v/>
      </c>
      <c r="D214" s="159" t="str">
        <f>IF(ISNA(VLOOKUP(B214,Pricelist!A:D,2,FALSE)),"",VLOOKUP(B214,Pricelist!A:D,4,FALSE))</f>
        <v/>
      </c>
      <c r="E214" s="160"/>
    </row>
    <row r="215" spans="2:5" ht="12" customHeight="1">
      <c r="B215" s="270"/>
      <c r="C215" s="371" t="str">
        <f>IF(ISNA(VLOOKUP(B215,Pricelist!A:D,2,FALSE)),"",VLOOKUP(B215,Pricelist!A:D,2,FALSE))</f>
        <v/>
      </c>
      <c r="D215" s="159" t="str">
        <f>IF(ISNA(VLOOKUP(B215,Pricelist!A:D,2,FALSE)),"",VLOOKUP(B215,Pricelist!A:D,4,FALSE))</f>
        <v/>
      </c>
      <c r="E215" s="160"/>
    </row>
    <row r="216" spans="2:5" ht="12" customHeight="1">
      <c r="B216" s="270"/>
      <c r="C216" s="371" t="str">
        <f>IF(ISNA(VLOOKUP(B216,Pricelist!A:D,2,FALSE)),"",VLOOKUP(B216,Pricelist!A:D,2,FALSE))</f>
        <v/>
      </c>
      <c r="D216" s="159" t="str">
        <f>IF(ISNA(VLOOKUP(B216,Pricelist!A:D,2,FALSE)),"",VLOOKUP(B216,Pricelist!A:D,4,FALSE))</f>
        <v/>
      </c>
      <c r="E216" s="160"/>
    </row>
    <row r="217" spans="2:5" ht="12" customHeight="1">
      <c r="B217" s="270"/>
      <c r="C217" s="371" t="str">
        <f>IF(ISNA(VLOOKUP(B217,Pricelist!A:D,2,FALSE)),"",VLOOKUP(B217,Pricelist!A:D,2,FALSE))</f>
        <v/>
      </c>
      <c r="D217" s="159" t="str">
        <f>IF(ISNA(VLOOKUP(B217,Pricelist!A:D,2,FALSE)),"",VLOOKUP(B217,Pricelist!A:D,4,FALSE))</f>
        <v/>
      </c>
      <c r="E217" s="160"/>
    </row>
    <row r="218" spans="2:5" ht="12" customHeight="1">
      <c r="B218" s="270"/>
      <c r="C218" s="371" t="str">
        <f>IF(ISNA(VLOOKUP(B218,Pricelist!A:D,2,FALSE)),"",VLOOKUP(B218,Pricelist!A:D,2,FALSE))</f>
        <v/>
      </c>
      <c r="D218" s="159" t="str">
        <f>IF(ISNA(VLOOKUP(B218,Pricelist!A:D,2,FALSE)),"",VLOOKUP(B218,Pricelist!A:D,4,FALSE))</f>
        <v/>
      </c>
      <c r="E218" s="160"/>
    </row>
    <row r="219" spans="2:5" ht="12" customHeight="1">
      <c r="B219" s="270"/>
      <c r="C219" s="371" t="str">
        <f>IF(ISNA(VLOOKUP(B219,Pricelist!A:D,2,FALSE)),"",VLOOKUP(B219,Pricelist!A:D,2,FALSE))</f>
        <v/>
      </c>
      <c r="D219" s="159" t="str">
        <f>IF(ISNA(VLOOKUP(B219,Pricelist!A:D,2,FALSE)),"",VLOOKUP(B219,Pricelist!A:D,4,FALSE))</f>
        <v/>
      </c>
      <c r="E219" s="160"/>
    </row>
    <row r="220" spans="2:5" ht="12" customHeight="1">
      <c r="B220" s="270"/>
      <c r="C220" s="371" t="str">
        <f>IF(ISNA(VLOOKUP(B220,Pricelist!A:D,2,FALSE)),"",VLOOKUP(B220,Pricelist!A:D,2,FALSE))</f>
        <v/>
      </c>
      <c r="D220" s="159" t="str">
        <f>IF(ISNA(VLOOKUP(B220,Pricelist!A:D,2,FALSE)),"",VLOOKUP(B220,Pricelist!A:D,4,FALSE))</f>
        <v/>
      </c>
      <c r="E220" s="160"/>
    </row>
    <row r="221" spans="2:5" ht="12" customHeight="1">
      <c r="B221" s="270"/>
      <c r="C221" s="371" t="str">
        <f>IF(ISNA(VLOOKUP(B221,Pricelist!A:D,2,FALSE)),"",VLOOKUP(B221,Pricelist!A:D,2,FALSE))</f>
        <v/>
      </c>
      <c r="D221" s="159" t="str">
        <f>IF(ISNA(VLOOKUP(B221,Pricelist!A:D,2,FALSE)),"",VLOOKUP(B221,Pricelist!A:D,4,FALSE))</f>
        <v/>
      </c>
      <c r="E221" s="160"/>
    </row>
    <row r="222" spans="2:5" ht="12" customHeight="1">
      <c r="B222" s="270"/>
      <c r="C222" s="371" t="str">
        <f>IF(ISNA(VLOOKUP(B222,Pricelist!A:D,2,FALSE)),"",VLOOKUP(B222,Pricelist!A:D,2,FALSE))</f>
        <v/>
      </c>
      <c r="D222" s="159" t="str">
        <f>IF(ISNA(VLOOKUP(B222,Pricelist!A:D,2,FALSE)),"",VLOOKUP(B222,Pricelist!A:D,4,FALSE))</f>
        <v/>
      </c>
      <c r="E222" s="160"/>
    </row>
    <row r="223" spans="2:5" ht="12" customHeight="1">
      <c r="B223" s="270"/>
      <c r="C223" s="371" t="str">
        <f>IF(ISNA(VLOOKUP(B223,Pricelist!A:D,2,FALSE)),"",VLOOKUP(B223,Pricelist!A:D,2,FALSE))</f>
        <v/>
      </c>
      <c r="D223" s="159" t="str">
        <f>IF(ISNA(VLOOKUP(B223,Pricelist!A:D,2,FALSE)),"",VLOOKUP(B223,Pricelist!A:D,4,FALSE))</f>
        <v/>
      </c>
      <c r="E223" s="160"/>
    </row>
    <row r="224" spans="2:5" ht="12" customHeight="1">
      <c r="B224" s="270"/>
      <c r="C224" s="371" t="str">
        <f>IF(ISNA(VLOOKUP(B224,Pricelist!A:D,2,FALSE)),"",VLOOKUP(B224,Pricelist!A:D,2,FALSE))</f>
        <v/>
      </c>
      <c r="D224" s="159" t="str">
        <f>IF(ISNA(VLOOKUP(B224,Pricelist!A:D,2,FALSE)),"",VLOOKUP(B224,Pricelist!A:D,4,FALSE))</f>
        <v/>
      </c>
      <c r="E224" s="160"/>
    </row>
    <row r="225" spans="2:5" ht="12" customHeight="1">
      <c r="B225" s="270"/>
      <c r="C225" s="371" t="str">
        <f>IF(ISNA(VLOOKUP(B225,Pricelist!A:D,2,FALSE)),"",VLOOKUP(B225,Pricelist!A:D,2,FALSE))</f>
        <v/>
      </c>
      <c r="D225" s="159" t="str">
        <f>IF(ISNA(VLOOKUP(B225,Pricelist!A:D,2,FALSE)),"",VLOOKUP(B225,Pricelist!A:D,4,FALSE))</f>
        <v/>
      </c>
      <c r="E225" s="160"/>
    </row>
    <row r="226" spans="2:5" ht="12" customHeight="1">
      <c r="B226" s="270"/>
      <c r="C226" s="371" t="str">
        <f>IF(ISNA(VLOOKUP(B226,Pricelist!A:D,2,FALSE)),"",VLOOKUP(B226,Pricelist!A:D,2,FALSE))</f>
        <v/>
      </c>
      <c r="D226" s="159" t="str">
        <f>IF(ISNA(VLOOKUP(B226,Pricelist!A:D,2,FALSE)),"",VLOOKUP(B226,Pricelist!A:D,4,FALSE))</f>
        <v/>
      </c>
      <c r="E226" s="160"/>
    </row>
    <row r="227" spans="2:5" ht="12" customHeight="1">
      <c r="B227" s="270"/>
      <c r="C227" s="371" t="str">
        <f>IF(ISNA(VLOOKUP(B227,Pricelist!A:D,2,FALSE)),"",VLOOKUP(B227,Pricelist!A:D,2,FALSE))</f>
        <v/>
      </c>
      <c r="D227" s="159" t="str">
        <f>IF(ISNA(VLOOKUP(B227,Pricelist!A:D,2,FALSE)),"",VLOOKUP(B227,Pricelist!A:D,4,FALSE))</f>
        <v/>
      </c>
      <c r="E227" s="160"/>
    </row>
    <row r="228" spans="2:5" ht="12" customHeight="1">
      <c r="B228" s="270"/>
      <c r="C228" s="371" t="str">
        <f>IF(ISNA(VLOOKUP(B228,Pricelist!A:D,2,FALSE)),"",VLOOKUP(B228,Pricelist!A:D,2,FALSE))</f>
        <v/>
      </c>
      <c r="D228" s="159" t="str">
        <f>IF(ISNA(VLOOKUP(B228,Pricelist!A:D,2,FALSE)),"",VLOOKUP(B228,Pricelist!A:D,4,FALSE))</f>
        <v/>
      </c>
      <c r="E228" s="160"/>
    </row>
    <row r="229" spans="2:5" ht="12" customHeight="1">
      <c r="B229" s="270"/>
      <c r="C229" s="371" t="str">
        <f>IF(ISNA(VLOOKUP(B229,Pricelist!A:D,2,FALSE)),"",VLOOKUP(B229,Pricelist!A:D,2,FALSE))</f>
        <v/>
      </c>
      <c r="D229" s="159" t="str">
        <f>IF(ISNA(VLOOKUP(B229,Pricelist!A:D,2,FALSE)),"",VLOOKUP(B229,Pricelist!A:D,4,FALSE))</f>
        <v/>
      </c>
      <c r="E229" s="160"/>
    </row>
    <row r="230" spans="2:5" ht="12" customHeight="1">
      <c r="B230" s="270"/>
      <c r="C230" s="371" t="str">
        <f>IF(ISNA(VLOOKUP(B230,Pricelist!A:D,2,FALSE)),"",VLOOKUP(B230,Pricelist!A:D,2,FALSE))</f>
        <v/>
      </c>
      <c r="D230" s="159" t="str">
        <f>IF(ISNA(VLOOKUP(B230,Pricelist!A:D,2,FALSE)),"",VLOOKUP(B230,Pricelist!A:D,4,FALSE))</f>
        <v/>
      </c>
      <c r="E230" s="160"/>
    </row>
    <row r="231" spans="2:5" ht="12" customHeight="1">
      <c r="B231" s="270"/>
      <c r="C231" s="371" t="str">
        <f>IF(ISNA(VLOOKUP(B231,Pricelist!A:D,2,FALSE)),"",VLOOKUP(B231,Pricelist!A:D,2,FALSE))</f>
        <v/>
      </c>
      <c r="D231" s="159" t="str">
        <f>IF(ISNA(VLOOKUP(B231,Pricelist!A:D,2,FALSE)),"",VLOOKUP(B231,Pricelist!A:D,4,FALSE))</f>
        <v/>
      </c>
      <c r="E231" s="160"/>
    </row>
    <row r="232" spans="2:5" ht="12" customHeight="1">
      <c r="B232" s="270"/>
      <c r="C232" s="371" t="str">
        <f>IF(ISNA(VLOOKUP(B232,Pricelist!A:D,2,FALSE)),"",VLOOKUP(B232,Pricelist!A:D,2,FALSE))</f>
        <v/>
      </c>
      <c r="D232" s="159" t="str">
        <f>IF(ISNA(VLOOKUP(B232,Pricelist!A:D,2,FALSE)),"",VLOOKUP(B232,Pricelist!A:D,4,FALSE))</f>
        <v/>
      </c>
      <c r="E232" s="160"/>
    </row>
    <row r="233" spans="2:5" ht="12" customHeight="1">
      <c r="B233" s="270"/>
      <c r="C233" s="371" t="str">
        <f>IF(ISNA(VLOOKUP(B233,Pricelist!A:D,2,FALSE)),"",VLOOKUP(B233,Pricelist!A:D,2,FALSE))</f>
        <v/>
      </c>
      <c r="D233" s="159" t="str">
        <f>IF(ISNA(VLOOKUP(B233,Pricelist!A:D,2,FALSE)),"",VLOOKUP(B233,Pricelist!A:D,4,FALSE))</f>
        <v/>
      </c>
      <c r="E233" s="160"/>
    </row>
    <row r="234" spans="2:5" ht="12" customHeight="1">
      <c r="B234" s="270"/>
      <c r="C234" s="371" t="str">
        <f>IF(ISNA(VLOOKUP(B234,Pricelist!A:D,2,FALSE)),"",VLOOKUP(B234,Pricelist!A:D,2,FALSE))</f>
        <v/>
      </c>
      <c r="D234" s="159" t="str">
        <f>IF(ISNA(VLOOKUP(B234,Pricelist!A:D,2,FALSE)),"",VLOOKUP(B234,Pricelist!A:D,4,FALSE))</f>
        <v/>
      </c>
      <c r="E234" s="160"/>
    </row>
    <row r="235" spans="2:5" ht="12" customHeight="1">
      <c r="B235" s="270"/>
      <c r="C235" s="371" t="str">
        <f>IF(ISNA(VLOOKUP(B235,Pricelist!A:D,2,FALSE)),"",VLOOKUP(B235,Pricelist!A:D,2,FALSE))</f>
        <v/>
      </c>
      <c r="D235" s="159" t="str">
        <f>IF(ISNA(VLOOKUP(B235,Pricelist!A:D,2,FALSE)),"",VLOOKUP(B235,Pricelist!A:D,4,FALSE))</f>
        <v/>
      </c>
      <c r="E235" s="160"/>
    </row>
    <row r="236" spans="2:5" ht="12" customHeight="1">
      <c r="B236" s="270"/>
      <c r="C236" s="371" t="str">
        <f>IF(ISNA(VLOOKUP(B236,Pricelist!A:D,2,FALSE)),"",VLOOKUP(B236,Pricelist!A:D,2,FALSE))</f>
        <v/>
      </c>
      <c r="D236" s="159" t="str">
        <f>IF(ISNA(VLOOKUP(B236,Pricelist!A:D,2,FALSE)),"",VLOOKUP(B236,Pricelist!A:D,4,FALSE))</f>
        <v/>
      </c>
      <c r="E236" s="160"/>
    </row>
    <row r="237" spans="2:5" ht="12" customHeight="1">
      <c r="B237" s="270"/>
      <c r="C237" s="371" t="str">
        <f>IF(ISNA(VLOOKUP(B237,Pricelist!A:D,2,FALSE)),"",VLOOKUP(B237,Pricelist!A:D,2,FALSE))</f>
        <v/>
      </c>
      <c r="D237" s="159" t="str">
        <f>IF(ISNA(VLOOKUP(B237,Pricelist!A:D,2,FALSE)),"",VLOOKUP(B237,Pricelist!A:D,4,FALSE))</f>
        <v/>
      </c>
      <c r="E237" s="160"/>
    </row>
    <row r="238" spans="2:5" ht="12" customHeight="1">
      <c r="B238" s="270"/>
      <c r="C238" s="371" t="str">
        <f>IF(ISNA(VLOOKUP(B238,Pricelist!A:D,2,FALSE)),"",VLOOKUP(B238,Pricelist!A:D,2,FALSE))</f>
        <v/>
      </c>
      <c r="D238" s="159" t="str">
        <f>IF(ISNA(VLOOKUP(B238,Pricelist!A:D,2,FALSE)),"",VLOOKUP(B238,Pricelist!A:D,4,FALSE))</f>
        <v/>
      </c>
      <c r="E238" s="160"/>
    </row>
    <row r="239" spans="2:5" ht="12" customHeight="1">
      <c r="B239" s="270"/>
      <c r="C239" s="371" t="str">
        <f>IF(ISNA(VLOOKUP(B239,Pricelist!A:D,2,FALSE)),"",VLOOKUP(B239,Pricelist!A:D,2,FALSE))</f>
        <v/>
      </c>
      <c r="D239" s="159" t="str">
        <f>IF(ISNA(VLOOKUP(B239,Pricelist!A:D,2,FALSE)),"",VLOOKUP(B239,Pricelist!A:D,4,FALSE))</f>
        <v/>
      </c>
      <c r="E239" s="160"/>
    </row>
    <row r="240" spans="2:5" ht="12" customHeight="1">
      <c r="B240" s="270"/>
      <c r="C240" s="371" t="str">
        <f>IF(ISNA(VLOOKUP(B240,Pricelist!A:D,2,FALSE)),"",VLOOKUP(B240,Pricelist!A:D,2,FALSE))</f>
        <v/>
      </c>
      <c r="D240" s="159" t="str">
        <f>IF(ISNA(VLOOKUP(B240,Pricelist!A:D,2,FALSE)),"",VLOOKUP(B240,Pricelist!A:D,4,FALSE))</f>
        <v/>
      </c>
      <c r="E240" s="160"/>
    </row>
    <row r="241" spans="2:5" ht="12" customHeight="1">
      <c r="B241" s="270"/>
      <c r="C241" s="371" t="str">
        <f>IF(ISNA(VLOOKUP(B241,Pricelist!A:D,2,FALSE)),"",VLOOKUP(B241,Pricelist!A:D,2,FALSE))</f>
        <v/>
      </c>
      <c r="D241" s="159" t="str">
        <f>IF(ISNA(VLOOKUP(B241,Pricelist!A:D,2,FALSE)),"",VLOOKUP(B241,Pricelist!A:D,4,FALSE))</f>
        <v/>
      </c>
      <c r="E241" s="160"/>
    </row>
    <row r="242" spans="2:5" ht="12" customHeight="1">
      <c r="B242" s="270"/>
      <c r="C242" s="371" t="str">
        <f>IF(ISNA(VLOOKUP(B242,Pricelist!A:D,2,FALSE)),"",VLOOKUP(B242,Pricelist!A:D,2,FALSE))</f>
        <v/>
      </c>
      <c r="D242" s="159" t="str">
        <f>IF(ISNA(VLOOKUP(B242,Pricelist!A:D,2,FALSE)),"",VLOOKUP(B242,Pricelist!A:D,4,FALSE))</f>
        <v/>
      </c>
      <c r="E242" s="160"/>
    </row>
    <row r="243" spans="2:5" ht="12" customHeight="1">
      <c r="B243" s="270"/>
      <c r="C243" s="371" t="str">
        <f>IF(ISNA(VLOOKUP(B243,Pricelist!A:D,2,FALSE)),"",VLOOKUP(B243,Pricelist!A:D,2,FALSE))</f>
        <v/>
      </c>
      <c r="D243" s="159" t="str">
        <f>IF(ISNA(VLOOKUP(B243,Pricelist!A:D,2,FALSE)),"",VLOOKUP(B243,Pricelist!A:D,4,FALSE))</f>
        <v/>
      </c>
      <c r="E243" s="160"/>
    </row>
    <row r="244" spans="2:5" ht="12" customHeight="1">
      <c r="B244" s="270"/>
      <c r="C244" s="371" t="str">
        <f>IF(ISNA(VLOOKUP(B244,Pricelist!A:D,2,FALSE)),"",VLOOKUP(B244,Pricelist!A:D,2,FALSE))</f>
        <v/>
      </c>
      <c r="D244" s="159" t="str">
        <f>IF(ISNA(VLOOKUP(B244,Pricelist!A:D,2,FALSE)),"",VLOOKUP(B244,Pricelist!A:D,4,FALSE))</f>
        <v/>
      </c>
      <c r="E244" s="160"/>
    </row>
    <row r="245" spans="2:5" ht="12" customHeight="1">
      <c r="B245" s="270"/>
      <c r="C245" s="371" t="str">
        <f>IF(ISNA(VLOOKUP(B245,Pricelist!A:D,2,FALSE)),"",VLOOKUP(B245,Pricelist!A:D,2,FALSE))</f>
        <v/>
      </c>
      <c r="D245" s="159" t="str">
        <f>IF(ISNA(VLOOKUP(B245,Pricelist!A:D,2,FALSE)),"",VLOOKUP(B245,Pricelist!A:D,4,FALSE))</f>
        <v/>
      </c>
      <c r="E245" s="160"/>
    </row>
    <row r="246" spans="2:5" ht="12" customHeight="1">
      <c r="B246" s="270"/>
      <c r="C246" s="371" t="str">
        <f>IF(ISNA(VLOOKUP(B246,Pricelist!A:D,2,FALSE)),"",VLOOKUP(B246,Pricelist!A:D,2,FALSE))</f>
        <v/>
      </c>
      <c r="D246" s="159" t="str">
        <f>IF(ISNA(VLOOKUP(B246,Pricelist!A:D,2,FALSE)),"",VLOOKUP(B246,Pricelist!A:D,4,FALSE))</f>
        <v/>
      </c>
      <c r="E246" s="160"/>
    </row>
    <row r="247" spans="2:5" ht="12" customHeight="1">
      <c r="B247" s="270"/>
      <c r="C247" s="371" t="str">
        <f>IF(ISNA(VLOOKUP(B247,Pricelist!A:D,2,FALSE)),"",VLOOKUP(B247,Pricelist!A:D,2,FALSE))</f>
        <v/>
      </c>
      <c r="D247" s="159" t="str">
        <f>IF(ISNA(VLOOKUP(B247,Pricelist!A:D,2,FALSE)),"",VLOOKUP(B247,Pricelist!A:D,4,FALSE))</f>
        <v/>
      </c>
      <c r="E247" s="160"/>
    </row>
    <row r="248" spans="2:5" ht="12" customHeight="1">
      <c r="B248" s="270"/>
      <c r="C248" s="371" t="str">
        <f>IF(ISNA(VLOOKUP(B248,Pricelist!A:D,2,FALSE)),"",VLOOKUP(B248,Pricelist!A:D,2,FALSE))</f>
        <v/>
      </c>
      <c r="D248" s="159" t="str">
        <f>IF(ISNA(VLOOKUP(B248,Pricelist!A:D,2,FALSE)),"",VLOOKUP(B248,Pricelist!A:D,4,FALSE))</f>
        <v/>
      </c>
      <c r="E248" s="160"/>
    </row>
    <row r="249" spans="2:5" ht="12" customHeight="1">
      <c r="B249" s="270"/>
      <c r="C249" s="371" t="str">
        <f>IF(ISNA(VLOOKUP(B249,Pricelist!A:D,2,FALSE)),"",VLOOKUP(B249,Pricelist!A:D,2,FALSE))</f>
        <v/>
      </c>
      <c r="D249" s="159" t="str">
        <f>IF(ISNA(VLOOKUP(B249,Pricelist!A:D,2,FALSE)),"",VLOOKUP(B249,Pricelist!A:D,4,FALSE))</f>
        <v/>
      </c>
      <c r="E249" s="160"/>
    </row>
    <row r="250" spans="2:5" ht="12" customHeight="1">
      <c r="B250" s="270"/>
      <c r="C250" s="371" t="str">
        <f>IF(ISNA(VLOOKUP(B250,Pricelist!A:D,2,FALSE)),"",VLOOKUP(B250,Pricelist!A:D,2,FALSE))</f>
        <v/>
      </c>
      <c r="D250" s="159" t="str">
        <f>IF(ISNA(VLOOKUP(B250,Pricelist!A:D,2,FALSE)),"",VLOOKUP(B250,Pricelist!A:D,4,FALSE))</f>
        <v/>
      </c>
      <c r="E250" s="160"/>
    </row>
    <row r="251" spans="2:5" ht="12" customHeight="1">
      <c r="B251" s="270"/>
      <c r="C251" s="371" t="str">
        <f>IF(ISNA(VLOOKUP(B251,Pricelist!A:D,2,FALSE)),"",VLOOKUP(B251,Pricelist!A:D,2,FALSE))</f>
        <v/>
      </c>
      <c r="D251" s="159" t="str">
        <f>IF(ISNA(VLOOKUP(B251,Pricelist!A:D,2,FALSE)),"",VLOOKUP(B251,Pricelist!A:D,4,FALSE))</f>
        <v/>
      </c>
      <c r="E251" s="160"/>
    </row>
    <row r="252" spans="2:5" ht="12" customHeight="1">
      <c r="B252" s="270"/>
      <c r="C252" s="371" t="str">
        <f>IF(ISNA(VLOOKUP(B252,Pricelist!A:D,2,FALSE)),"",VLOOKUP(B252,Pricelist!A:D,2,FALSE))</f>
        <v/>
      </c>
      <c r="D252" s="159" t="str">
        <f>IF(ISNA(VLOOKUP(B252,Pricelist!A:D,2,FALSE)),"",VLOOKUP(B252,Pricelist!A:D,4,FALSE))</f>
        <v/>
      </c>
      <c r="E252" s="160"/>
    </row>
    <row r="253" spans="2:5" ht="12" customHeight="1">
      <c r="B253" s="270"/>
      <c r="C253" s="371" t="str">
        <f>IF(ISNA(VLOOKUP(B253,Pricelist!A:D,2,FALSE)),"",VLOOKUP(B253,Pricelist!A:D,2,FALSE))</f>
        <v/>
      </c>
      <c r="D253" s="159" t="str">
        <f>IF(ISNA(VLOOKUP(B253,Pricelist!A:D,2,FALSE)),"",VLOOKUP(B253,Pricelist!A:D,4,FALSE))</f>
        <v/>
      </c>
      <c r="E253" s="160"/>
    </row>
    <row r="254" spans="2:5" ht="12" customHeight="1">
      <c r="B254" s="270"/>
      <c r="C254" s="371" t="str">
        <f>IF(ISNA(VLOOKUP(B254,Pricelist!A:D,2,FALSE)),"",VLOOKUP(B254,Pricelist!A:D,2,FALSE))</f>
        <v/>
      </c>
      <c r="D254" s="159" t="str">
        <f>IF(ISNA(VLOOKUP(B254,Pricelist!A:D,2,FALSE)),"",VLOOKUP(B254,Pricelist!A:D,4,FALSE))</f>
        <v/>
      </c>
      <c r="E254" s="160"/>
    </row>
    <row r="255" spans="2:5" ht="12" customHeight="1">
      <c r="B255" s="270"/>
      <c r="C255" s="371" t="str">
        <f>IF(ISNA(VLOOKUP(B255,Pricelist!A:D,2,FALSE)),"",VLOOKUP(B255,Pricelist!A:D,2,FALSE))</f>
        <v/>
      </c>
      <c r="D255" s="159" t="str">
        <f>IF(ISNA(VLOOKUP(B255,Pricelist!A:D,2,FALSE)),"",VLOOKUP(B255,Pricelist!A:D,4,FALSE))</f>
        <v/>
      </c>
      <c r="E255" s="160"/>
    </row>
    <row r="256" spans="2:5" ht="12" customHeight="1">
      <c r="B256" s="270"/>
      <c r="C256" s="371" t="str">
        <f>IF(ISNA(VLOOKUP(B256,Pricelist!A:D,2,FALSE)),"",VLOOKUP(B256,Pricelist!A:D,2,FALSE))</f>
        <v/>
      </c>
      <c r="D256" s="159" t="str">
        <f>IF(ISNA(VLOOKUP(B256,Pricelist!A:D,2,FALSE)),"",VLOOKUP(B256,Pricelist!A:D,4,FALSE))</f>
        <v/>
      </c>
      <c r="E256" s="160"/>
    </row>
    <row r="257" spans="2:5" ht="12" customHeight="1">
      <c r="B257" s="270"/>
      <c r="C257" s="371" t="str">
        <f>IF(ISNA(VLOOKUP(B257,Pricelist!A:D,2,FALSE)),"",VLOOKUP(B257,Pricelist!A:D,2,FALSE))</f>
        <v/>
      </c>
      <c r="D257" s="159" t="str">
        <f>IF(ISNA(VLOOKUP(B257,Pricelist!A:D,2,FALSE)),"",VLOOKUP(B257,Pricelist!A:D,4,FALSE))</f>
        <v/>
      </c>
      <c r="E257" s="160"/>
    </row>
    <row r="258" spans="2:5" ht="12" customHeight="1">
      <c r="B258" s="270"/>
      <c r="C258" s="371" t="str">
        <f>IF(ISNA(VLOOKUP(B258,Pricelist!A:D,2,FALSE)),"",VLOOKUP(B258,Pricelist!A:D,2,FALSE))</f>
        <v/>
      </c>
      <c r="D258" s="159" t="str">
        <f>IF(ISNA(VLOOKUP(B258,Pricelist!A:D,2,FALSE)),"",VLOOKUP(B258,Pricelist!A:D,4,FALSE))</f>
        <v/>
      </c>
      <c r="E258" s="160"/>
    </row>
    <row r="259" spans="2:5" ht="12" customHeight="1">
      <c r="B259" s="270"/>
      <c r="C259" s="371" t="str">
        <f>IF(ISNA(VLOOKUP(B259,Pricelist!A:D,2,FALSE)),"",VLOOKUP(B259,Pricelist!A:D,2,FALSE))</f>
        <v/>
      </c>
      <c r="D259" s="159" t="str">
        <f>IF(ISNA(VLOOKUP(B259,Pricelist!A:D,2,FALSE)),"",VLOOKUP(B259,Pricelist!A:D,4,FALSE))</f>
        <v/>
      </c>
      <c r="E259" s="160"/>
    </row>
    <row r="260" spans="2:5" ht="12" customHeight="1">
      <c r="B260" s="270"/>
      <c r="C260" s="371" t="str">
        <f>IF(ISNA(VLOOKUP(B260,Pricelist!A:D,2,FALSE)),"",VLOOKUP(B260,Pricelist!A:D,2,FALSE))</f>
        <v/>
      </c>
      <c r="D260" s="159" t="str">
        <f>IF(ISNA(VLOOKUP(B260,Pricelist!A:D,2,FALSE)),"",VLOOKUP(B260,Pricelist!A:D,4,FALSE))</f>
        <v/>
      </c>
      <c r="E260" s="160"/>
    </row>
    <row r="261" spans="2:5" ht="12" customHeight="1">
      <c r="B261" s="270"/>
      <c r="C261" s="371" t="str">
        <f>IF(ISNA(VLOOKUP(B261,Pricelist!A:D,2,FALSE)),"",VLOOKUP(B261,Pricelist!A:D,2,FALSE))</f>
        <v/>
      </c>
      <c r="D261" s="159" t="str">
        <f>IF(ISNA(VLOOKUP(B261,Pricelist!A:D,2,FALSE)),"",VLOOKUP(B261,Pricelist!A:D,4,FALSE))</f>
        <v/>
      </c>
      <c r="E261" s="160"/>
    </row>
    <row r="262" spans="2:5" ht="12" customHeight="1">
      <c r="B262" s="270"/>
      <c r="C262" s="371" t="str">
        <f>IF(ISNA(VLOOKUP(B262,Pricelist!A:D,2,FALSE)),"",VLOOKUP(B262,Pricelist!A:D,2,FALSE))</f>
        <v/>
      </c>
      <c r="D262" s="159" t="str">
        <f>IF(ISNA(VLOOKUP(B262,Pricelist!A:D,2,FALSE)),"",VLOOKUP(B262,Pricelist!A:D,4,FALSE))</f>
        <v/>
      </c>
      <c r="E262" s="160"/>
    </row>
    <row r="263" spans="2:5" ht="12" customHeight="1">
      <c r="B263" s="270"/>
      <c r="C263" s="371" t="str">
        <f>IF(ISNA(VLOOKUP(B263,Pricelist!A:D,2,FALSE)),"",VLOOKUP(B263,Pricelist!A:D,2,FALSE))</f>
        <v/>
      </c>
      <c r="D263" s="159" t="str">
        <f>IF(ISNA(VLOOKUP(B263,Pricelist!A:D,2,FALSE)),"",VLOOKUP(B263,Pricelist!A:D,4,FALSE))</f>
        <v/>
      </c>
      <c r="E263" s="160"/>
    </row>
    <row r="264" spans="2:5" ht="12" customHeight="1">
      <c r="B264" s="270"/>
      <c r="C264" s="371" t="str">
        <f>IF(ISNA(VLOOKUP(B264,Pricelist!A:D,2,FALSE)),"",VLOOKUP(B264,Pricelist!A:D,2,FALSE))</f>
        <v/>
      </c>
      <c r="D264" s="159" t="str">
        <f>IF(ISNA(VLOOKUP(B264,Pricelist!A:D,2,FALSE)),"",VLOOKUP(B264,Pricelist!A:D,4,FALSE))</f>
        <v/>
      </c>
      <c r="E264" s="160"/>
    </row>
    <row r="265" spans="2:5" ht="12" customHeight="1">
      <c r="B265" s="270"/>
      <c r="C265" s="371" t="str">
        <f>IF(ISNA(VLOOKUP(B265,Pricelist!A:D,2,FALSE)),"",VLOOKUP(B265,Pricelist!A:D,2,FALSE))</f>
        <v/>
      </c>
      <c r="D265" s="159" t="str">
        <f>IF(ISNA(VLOOKUP(B265,Pricelist!A:D,2,FALSE)),"",VLOOKUP(B265,Pricelist!A:D,4,FALSE))</f>
        <v/>
      </c>
      <c r="E265" s="160"/>
    </row>
    <row r="266" spans="2:5" ht="12" customHeight="1">
      <c r="B266" s="270"/>
      <c r="C266" s="371" t="str">
        <f>IF(ISNA(VLOOKUP(B266,Pricelist!A:D,2,FALSE)),"",VLOOKUP(B266,Pricelist!A:D,2,FALSE))</f>
        <v/>
      </c>
      <c r="D266" s="159" t="str">
        <f>IF(ISNA(VLOOKUP(B266,Pricelist!A:D,2,FALSE)),"",VLOOKUP(B266,Pricelist!A:D,4,FALSE))</f>
        <v/>
      </c>
      <c r="E266" s="160"/>
    </row>
    <row r="267" spans="2:5" ht="12" customHeight="1">
      <c r="B267" s="270"/>
      <c r="C267" s="371" t="str">
        <f>IF(ISNA(VLOOKUP(B267,Pricelist!A:D,2,FALSE)),"",VLOOKUP(B267,Pricelist!A:D,2,FALSE))</f>
        <v/>
      </c>
      <c r="D267" s="159" t="str">
        <f>IF(ISNA(VLOOKUP(B267,Pricelist!A:D,2,FALSE)),"",VLOOKUP(B267,Pricelist!A:D,4,FALSE))</f>
        <v/>
      </c>
      <c r="E267" s="160"/>
    </row>
    <row r="268" spans="2:5" ht="12" customHeight="1">
      <c r="B268" s="270"/>
      <c r="C268" s="371" t="str">
        <f>IF(ISNA(VLOOKUP(B268,Pricelist!A:D,2,FALSE)),"",VLOOKUP(B268,Pricelist!A:D,2,FALSE))</f>
        <v/>
      </c>
      <c r="D268" s="159" t="str">
        <f>IF(ISNA(VLOOKUP(B268,Pricelist!A:D,2,FALSE)),"",VLOOKUP(B268,Pricelist!A:D,4,FALSE))</f>
        <v/>
      </c>
      <c r="E268" s="160"/>
    </row>
    <row r="269" spans="2:5" ht="12" customHeight="1">
      <c r="B269" s="270"/>
      <c r="C269" s="371" t="str">
        <f>IF(ISNA(VLOOKUP(B269,Pricelist!A:D,2,FALSE)),"",VLOOKUP(B269,Pricelist!A:D,2,FALSE))</f>
        <v/>
      </c>
      <c r="D269" s="159" t="str">
        <f>IF(ISNA(VLOOKUP(B269,Pricelist!A:D,2,FALSE)),"",VLOOKUP(B269,Pricelist!A:D,4,FALSE))</f>
        <v/>
      </c>
      <c r="E269" s="160"/>
    </row>
    <row r="270" spans="2:5" ht="12" customHeight="1">
      <c r="B270" s="270"/>
      <c r="C270" s="371" t="str">
        <f>IF(ISNA(VLOOKUP(B270,Pricelist!A:D,2,FALSE)),"",VLOOKUP(B270,Pricelist!A:D,2,FALSE))</f>
        <v/>
      </c>
      <c r="D270" s="159" t="str">
        <f>IF(ISNA(VLOOKUP(B270,Pricelist!A:D,2,FALSE)),"",VLOOKUP(B270,Pricelist!A:D,4,FALSE))</f>
        <v/>
      </c>
      <c r="E270" s="160"/>
    </row>
    <row r="271" spans="2:5" ht="12" customHeight="1">
      <c r="B271" s="270"/>
      <c r="C271" s="371" t="str">
        <f>IF(ISNA(VLOOKUP(B271,Pricelist!A:D,2,FALSE)),"",VLOOKUP(B271,Pricelist!A:D,2,FALSE))</f>
        <v/>
      </c>
      <c r="D271" s="159" t="str">
        <f>IF(ISNA(VLOOKUP(B271,Pricelist!A:D,2,FALSE)),"",VLOOKUP(B271,Pricelist!A:D,4,FALSE))</f>
        <v/>
      </c>
      <c r="E271" s="160"/>
    </row>
    <row r="272" spans="2:5" ht="12" customHeight="1">
      <c r="B272" s="270"/>
      <c r="C272" s="371" t="str">
        <f>IF(ISNA(VLOOKUP(B272,Pricelist!A:D,2,FALSE)),"",VLOOKUP(B272,Pricelist!A:D,2,FALSE))</f>
        <v/>
      </c>
      <c r="D272" s="159" t="str">
        <f>IF(ISNA(VLOOKUP(B272,Pricelist!A:D,2,FALSE)),"",VLOOKUP(B272,Pricelist!A:D,4,FALSE))</f>
        <v/>
      </c>
      <c r="E272" s="160"/>
    </row>
    <row r="273" spans="1:5" ht="12" customHeight="1">
      <c r="B273" s="270"/>
      <c r="C273" s="371" t="str">
        <f>IF(ISNA(VLOOKUP(B273,Pricelist!A:D,2,FALSE)),"",VLOOKUP(B273,Pricelist!A:D,2,FALSE))</f>
        <v/>
      </c>
      <c r="D273" s="159" t="str">
        <f>IF(ISNA(VLOOKUP(B273,Pricelist!A:D,2,FALSE)),"",VLOOKUP(B273,Pricelist!A:D,4,FALSE))</f>
        <v/>
      </c>
      <c r="E273" s="160"/>
    </row>
    <row r="274" spans="1:5" ht="12" customHeight="1">
      <c r="B274" s="270"/>
      <c r="C274" s="371" t="str">
        <f>IF(ISNA(VLOOKUP(B274,Pricelist!A:D,2,FALSE)),"",VLOOKUP(B274,Pricelist!A:D,2,FALSE))</f>
        <v/>
      </c>
      <c r="D274" s="159" t="str">
        <f>IF(ISNA(VLOOKUP(B274,Pricelist!A:D,2,FALSE)),"",VLOOKUP(B274,Pricelist!A:D,4,FALSE))</f>
        <v/>
      </c>
      <c r="E274" s="160"/>
    </row>
    <row r="275" spans="1:5" ht="12" customHeight="1">
      <c r="B275" s="270"/>
      <c r="C275" s="371" t="str">
        <f>IF(ISNA(VLOOKUP(B275,Pricelist!A:D,2,FALSE)),"",VLOOKUP(B275,Pricelist!A:D,2,FALSE))</f>
        <v/>
      </c>
      <c r="D275" s="159" t="str">
        <f>IF(ISNA(VLOOKUP(B275,Pricelist!A:D,2,FALSE)),"",VLOOKUP(B275,Pricelist!A:D,4,FALSE))</f>
        <v/>
      </c>
      <c r="E275" s="160"/>
    </row>
    <row r="276" spans="1:5" ht="12" customHeight="1">
      <c r="B276" s="270"/>
      <c r="C276" s="371" t="str">
        <f>IF(ISNA(VLOOKUP(B276,Pricelist!A:D,2,FALSE)),"",VLOOKUP(B276,Pricelist!A:D,2,FALSE))</f>
        <v/>
      </c>
      <c r="D276" s="159" t="str">
        <f>IF(ISNA(VLOOKUP(B276,Pricelist!A:D,2,FALSE)),"",VLOOKUP(B276,Pricelist!A:D,4,FALSE))</f>
        <v/>
      </c>
      <c r="E276" s="160"/>
    </row>
    <row r="277" spans="1:5" ht="12" customHeight="1">
      <c r="A277" s="158" t="s">
        <v>681</v>
      </c>
      <c r="B277" s="270"/>
      <c r="C277" s="371" t="str">
        <f>IF(ISNA(VLOOKUP(B277,Pricelist!A:D,2,FALSE)),"",VLOOKUP(B277,Pricelist!A:D,2,FALSE))</f>
        <v/>
      </c>
      <c r="D277" s="159" t="str">
        <f>IF(ISNA(VLOOKUP(B277,Pricelist!A:D,2,FALSE)),"",VLOOKUP(B277,Pricelist!A:D,4,FALSE))</f>
        <v/>
      </c>
      <c r="E277" s="160"/>
    </row>
    <row r="278" spans="1:5" ht="12" customHeight="1">
      <c r="B278" s="270"/>
      <c r="C278" s="371" t="str">
        <f>IF(ISNA(VLOOKUP(B278,Pricelist!A:D,2,FALSE)),"",VLOOKUP(B278,Pricelist!A:D,2,FALSE))</f>
        <v/>
      </c>
      <c r="D278" s="159" t="str">
        <f>IF(ISNA(VLOOKUP(B278,Pricelist!A:D,2,FALSE)),"",VLOOKUP(B278,Pricelist!A:D,4,FALSE))</f>
        <v/>
      </c>
      <c r="E278" s="160"/>
    </row>
    <row r="279" spans="1:5" ht="12" customHeight="1">
      <c r="B279" s="270"/>
      <c r="C279" s="371" t="str">
        <f>IF(ISNA(VLOOKUP(B279,Pricelist!A:D,2,FALSE)),"",VLOOKUP(B279,Pricelist!A:D,2,FALSE))</f>
        <v/>
      </c>
      <c r="D279" s="159" t="str">
        <f>IF(ISNA(VLOOKUP(B279,Pricelist!A:D,2,FALSE)),"",VLOOKUP(B279,Pricelist!A:D,4,FALSE))</f>
        <v/>
      </c>
      <c r="E279" s="160"/>
    </row>
    <row r="280" spans="1:5" ht="12" customHeight="1">
      <c r="B280" s="270"/>
      <c r="C280" s="371" t="str">
        <f>IF(ISNA(VLOOKUP(B280,Pricelist!A:D,2,FALSE)),"",VLOOKUP(B280,Pricelist!A:D,2,FALSE))</f>
        <v/>
      </c>
      <c r="D280" s="159" t="str">
        <f>IF(ISNA(VLOOKUP(B280,Pricelist!A:D,2,FALSE)),"",VLOOKUP(B280,Pricelist!A:D,4,FALSE))</f>
        <v/>
      </c>
      <c r="E280" s="160"/>
    </row>
    <row r="281" spans="1:5" ht="12" customHeight="1">
      <c r="B281" s="270"/>
      <c r="C281" s="371" t="str">
        <f>IF(ISNA(VLOOKUP(B281,Pricelist!A:D,2,FALSE)),"",VLOOKUP(B281,Pricelist!A:D,2,FALSE))</f>
        <v/>
      </c>
      <c r="D281" s="159" t="str">
        <f>IF(ISNA(VLOOKUP(B281,Pricelist!A:D,2,FALSE)),"",VLOOKUP(B281,Pricelist!A:D,4,FALSE))</f>
        <v/>
      </c>
      <c r="E281" s="160"/>
    </row>
    <row r="282" spans="1:5" ht="12" customHeight="1">
      <c r="B282" s="270"/>
      <c r="C282" s="371" t="str">
        <f>IF(ISNA(VLOOKUP(B282,Pricelist!A:D,2,FALSE)),"",VLOOKUP(B282,Pricelist!A:D,2,FALSE))</f>
        <v/>
      </c>
      <c r="D282" s="159" t="str">
        <f>IF(ISNA(VLOOKUP(B282,Pricelist!A:D,2,FALSE)),"",VLOOKUP(B282,Pricelist!A:D,4,FALSE))</f>
        <v/>
      </c>
      <c r="E282" s="160"/>
    </row>
    <row r="283" spans="1:5" ht="12" customHeight="1">
      <c r="B283" s="270"/>
      <c r="C283" s="371" t="str">
        <f>IF(ISNA(VLOOKUP(B283,Pricelist!A:D,2,FALSE)),"",VLOOKUP(B283,Pricelist!A:D,2,FALSE))</f>
        <v/>
      </c>
      <c r="D283" s="159" t="str">
        <f>IF(ISNA(VLOOKUP(B283,Pricelist!A:D,2,FALSE)),"",VLOOKUP(B283,Pricelist!A:D,4,FALSE))</f>
        <v/>
      </c>
      <c r="E283" s="160"/>
    </row>
    <row r="284" spans="1:5" ht="12" customHeight="1">
      <c r="B284" s="270"/>
      <c r="C284" s="371" t="str">
        <f>IF(ISNA(VLOOKUP(B284,Pricelist!A:D,2,FALSE)),"",VLOOKUP(B284,Pricelist!A:D,2,FALSE))</f>
        <v/>
      </c>
      <c r="D284" s="159" t="str">
        <f>IF(ISNA(VLOOKUP(B284,Pricelist!A:D,2,FALSE)),"",VLOOKUP(B284,Pricelist!A:D,4,FALSE))</f>
        <v/>
      </c>
      <c r="E284" s="160"/>
    </row>
    <row r="285" spans="1:5" ht="12" customHeight="1">
      <c r="B285" s="270"/>
      <c r="C285" s="371" t="str">
        <f>IF(ISNA(VLOOKUP(B285,Pricelist!A:D,2,FALSE)),"",VLOOKUP(B285,Pricelist!A:D,2,FALSE))</f>
        <v/>
      </c>
      <c r="D285" s="159" t="str">
        <f>IF(ISNA(VLOOKUP(B285,Pricelist!A:D,2,FALSE)),"",VLOOKUP(B285,Pricelist!A:D,4,FALSE))</f>
        <v/>
      </c>
      <c r="E285" s="160"/>
    </row>
    <row r="286" spans="1:5" ht="12" customHeight="1">
      <c r="B286" s="270"/>
      <c r="C286" s="371" t="str">
        <f>IF(ISNA(VLOOKUP(B286,Pricelist!A:D,2,FALSE)),"",VLOOKUP(B286,Pricelist!A:D,2,FALSE))</f>
        <v/>
      </c>
      <c r="D286" s="159" t="str">
        <f>IF(ISNA(VLOOKUP(B286,Pricelist!A:D,2,FALSE)),"",VLOOKUP(B286,Pricelist!A:D,4,FALSE))</f>
        <v/>
      </c>
      <c r="E286" s="160"/>
    </row>
    <row r="287" spans="1:5" ht="12" customHeight="1">
      <c r="B287" s="270"/>
      <c r="C287" s="371" t="str">
        <f>IF(ISNA(VLOOKUP(B287,Pricelist!A:D,2,FALSE)),"",VLOOKUP(B287,Pricelist!A:D,2,FALSE))</f>
        <v/>
      </c>
      <c r="D287" s="159" t="str">
        <f>IF(ISNA(VLOOKUP(B287,Pricelist!A:D,2,FALSE)),"",VLOOKUP(B287,Pricelist!A:D,4,FALSE))</f>
        <v/>
      </c>
      <c r="E287" s="160"/>
    </row>
    <row r="288" spans="1:5" ht="12" customHeight="1">
      <c r="B288" s="270"/>
      <c r="C288" s="371" t="str">
        <f>IF(ISNA(VLOOKUP(B288,Pricelist!A:D,2,FALSE)),"",VLOOKUP(B288,Pricelist!A:D,2,FALSE))</f>
        <v/>
      </c>
      <c r="D288" s="159" t="str">
        <f>IF(ISNA(VLOOKUP(B288,Pricelist!A:D,2,FALSE)),"",VLOOKUP(B288,Pricelist!A:D,4,FALSE))</f>
        <v/>
      </c>
      <c r="E288" s="160"/>
    </row>
    <row r="289" spans="2:5" ht="12" customHeight="1">
      <c r="B289" s="270"/>
      <c r="C289" s="371" t="str">
        <f>IF(ISNA(VLOOKUP(B289,Pricelist!A:D,2,FALSE)),"",VLOOKUP(B289,Pricelist!A:D,2,FALSE))</f>
        <v/>
      </c>
      <c r="D289" s="159" t="str">
        <f>IF(ISNA(VLOOKUP(B289,Pricelist!A:D,2,FALSE)),"",VLOOKUP(B289,Pricelist!A:D,4,FALSE))</f>
        <v/>
      </c>
      <c r="E289" s="160"/>
    </row>
    <row r="290" spans="2:5" ht="12" customHeight="1">
      <c r="B290" s="270"/>
      <c r="C290" s="371" t="str">
        <f>IF(ISNA(VLOOKUP(B290,Pricelist!A:D,2,FALSE)),"",VLOOKUP(B290,Pricelist!A:D,2,FALSE))</f>
        <v/>
      </c>
      <c r="D290" s="159" t="str">
        <f>IF(ISNA(VLOOKUP(B290,Pricelist!A:D,2,FALSE)),"",VLOOKUP(B290,Pricelist!A:D,4,FALSE))</f>
        <v/>
      </c>
      <c r="E290" s="160"/>
    </row>
    <row r="291" spans="2:5" ht="12" customHeight="1">
      <c r="B291" s="270"/>
      <c r="C291" s="371" t="str">
        <f>IF(ISNA(VLOOKUP(B291,Pricelist!A:D,2,FALSE)),"",VLOOKUP(B291,Pricelist!A:D,2,FALSE))</f>
        <v/>
      </c>
      <c r="D291" s="159" t="str">
        <f>IF(ISNA(VLOOKUP(B291,Pricelist!A:D,2,FALSE)),"",VLOOKUP(B291,Pricelist!A:D,4,FALSE))</f>
        <v/>
      </c>
      <c r="E291" s="160"/>
    </row>
    <row r="292" spans="2:5" ht="12" customHeight="1">
      <c r="B292" s="270"/>
      <c r="C292" s="371" t="str">
        <f>IF(ISNA(VLOOKUP(B292,Pricelist!A:D,2,FALSE)),"",VLOOKUP(B292,Pricelist!A:D,2,FALSE))</f>
        <v/>
      </c>
      <c r="D292" s="159" t="str">
        <f>IF(ISNA(VLOOKUP(B292,Pricelist!A:D,2,FALSE)),"",VLOOKUP(B292,Pricelist!A:D,4,FALSE))</f>
        <v/>
      </c>
      <c r="E292" s="160"/>
    </row>
    <row r="293" spans="2:5" ht="12" customHeight="1">
      <c r="B293" s="270"/>
      <c r="C293" s="371" t="str">
        <f>IF(ISNA(VLOOKUP(B293,Pricelist!A:D,2,FALSE)),"",VLOOKUP(B293,Pricelist!A:D,2,FALSE))</f>
        <v/>
      </c>
      <c r="D293" s="159" t="str">
        <f>IF(ISNA(VLOOKUP(B293,Pricelist!A:D,2,FALSE)),"",VLOOKUP(B293,Pricelist!A:D,4,FALSE))</f>
        <v/>
      </c>
      <c r="E293" s="160"/>
    </row>
    <row r="294" spans="2:5" ht="12" customHeight="1">
      <c r="B294" s="270"/>
      <c r="C294" s="371" t="str">
        <f>IF(ISNA(VLOOKUP(B294,Pricelist!A:D,2,FALSE)),"",VLOOKUP(B294,Pricelist!A:D,2,FALSE))</f>
        <v/>
      </c>
      <c r="D294" s="159" t="str">
        <f>IF(ISNA(VLOOKUP(B294,Pricelist!A:D,2,FALSE)),"",VLOOKUP(B294,Pricelist!A:D,4,FALSE))</f>
        <v/>
      </c>
      <c r="E294" s="160"/>
    </row>
    <row r="295" spans="2:5" ht="12" customHeight="1">
      <c r="B295" s="270"/>
      <c r="C295" s="371" t="str">
        <f>IF(ISNA(VLOOKUP(B295,Pricelist!A:D,2,FALSE)),"",VLOOKUP(B295,Pricelist!A:D,2,FALSE))</f>
        <v/>
      </c>
      <c r="D295" s="159" t="str">
        <f>IF(ISNA(VLOOKUP(B295,Pricelist!A:D,2,FALSE)),"",VLOOKUP(B295,Pricelist!A:D,4,FALSE))</f>
        <v/>
      </c>
      <c r="E295" s="160"/>
    </row>
    <row r="296" spans="2:5" ht="12" customHeight="1">
      <c r="B296" s="270"/>
      <c r="C296" s="371" t="str">
        <f>IF(ISNA(VLOOKUP(B296,Pricelist!A:D,2,FALSE)),"",VLOOKUP(B296,Pricelist!A:D,2,FALSE))</f>
        <v/>
      </c>
      <c r="D296" s="159" t="str">
        <f>IF(ISNA(VLOOKUP(B296,Pricelist!A:D,2,FALSE)),"",VLOOKUP(B296,Pricelist!A:D,4,FALSE))</f>
        <v/>
      </c>
      <c r="E296" s="160"/>
    </row>
    <row r="297" spans="2:5" ht="12" customHeight="1">
      <c r="B297" s="270"/>
      <c r="C297" s="371" t="str">
        <f>IF(ISNA(VLOOKUP(B297,Pricelist!A:D,2,FALSE)),"",VLOOKUP(B297,Pricelist!A:D,2,FALSE))</f>
        <v/>
      </c>
      <c r="D297" s="159" t="str">
        <f>IF(ISNA(VLOOKUP(B297,Pricelist!A:D,2,FALSE)),"",VLOOKUP(B297,Pricelist!A:D,4,FALSE))</f>
        <v/>
      </c>
      <c r="E297" s="160"/>
    </row>
    <row r="298" spans="2:5" ht="12" customHeight="1">
      <c r="B298" s="270"/>
      <c r="C298" s="371" t="str">
        <f>IF(ISNA(VLOOKUP(B298,Pricelist!A:D,2,FALSE)),"",VLOOKUP(B298,Pricelist!A:D,2,FALSE))</f>
        <v/>
      </c>
      <c r="D298" s="159" t="str">
        <f>IF(ISNA(VLOOKUP(B298,Pricelist!A:D,2,FALSE)),"",VLOOKUP(B298,Pricelist!A:D,4,FALSE))</f>
        <v/>
      </c>
      <c r="E298" s="160"/>
    </row>
    <row r="299" spans="2:5" ht="12" customHeight="1">
      <c r="B299" s="270"/>
      <c r="C299" s="371" t="str">
        <f>IF(ISNA(VLOOKUP(B299,Pricelist!A:D,2,FALSE)),"",VLOOKUP(B299,Pricelist!A:D,2,FALSE))</f>
        <v/>
      </c>
      <c r="D299" s="159" t="str">
        <f>IF(ISNA(VLOOKUP(B299,Pricelist!A:D,2,FALSE)),"",VLOOKUP(B299,Pricelist!A:D,4,FALSE))</f>
        <v/>
      </c>
      <c r="E299" s="160"/>
    </row>
    <row r="300" spans="2:5" ht="12" customHeight="1">
      <c r="B300" s="270"/>
      <c r="C300" s="371" t="str">
        <f>IF(ISNA(VLOOKUP(B300,Pricelist!A:D,2,FALSE)),"",VLOOKUP(B300,Pricelist!A:D,2,FALSE))</f>
        <v/>
      </c>
      <c r="D300" s="159" t="str">
        <f>IF(ISNA(VLOOKUP(B300,Pricelist!A:D,2,FALSE)),"",VLOOKUP(B300,Pricelist!A:D,4,FALSE))</f>
        <v/>
      </c>
      <c r="E300" s="160"/>
    </row>
    <row r="301" spans="2:5" ht="12" customHeight="1">
      <c r="B301" s="270"/>
      <c r="C301" s="371" t="str">
        <f>IF(ISNA(VLOOKUP(B301,Pricelist!A:D,2,FALSE)),"",VLOOKUP(B301,Pricelist!A:D,2,FALSE))</f>
        <v/>
      </c>
      <c r="D301" s="159" t="str">
        <f>IF(ISNA(VLOOKUP(B301,Pricelist!A:D,2,FALSE)),"",VLOOKUP(B301,Pricelist!A:D,4,FALSE))</f>
        <v/>
      </c>
      <c r="E301" s="160"/>
    </row>
    <row r="302" spans="2:5" ht="12" customHeight="1">
      <c r="B302" s="270"/>
      <c r="C302" s="371" t="str">
        <f>IF(ISNA(VLOOKUP(B302,Pricelist!A:D,2,FALSE)),"",VLOOKUP(B302,Pricelist!A:D,2,FALSE))</f>
        <v/>
      </c>
      <c r="D302" s="159" t="str">
        <f>IF(ISNA(VLOOKUP(B302,Pricelist!A:D,2,FALSE)),"",VLOOKUP(B302,Pricelist!A:D,4,FALSE))</f>
        <v/>
      </c>
      <c r="E302" s="160"/>
    </row>
    <row r="303" spans="2:5" ht="12" customHeight="1">
      <c r="B303" s="270"/>
      <c r="C303" s="371" t="str">
        <f>IF(ISNA(VLOOKUP(B303,Pricelist!A:D,2,FALSE)),"",VLOOKUP(B303,Pricelist!A:D,2,FALSE))</f>
        <v/>
      </c>
      <c r="D303" s="159" t="str">
        <f>IF(ISNA(VLOOKUP(B303,Pricelist!A:D,2,FALSE)),"",VLOOKUP(B303,Pricelist!A:D,4,FALSE))</f>
        <v/>
      </c>
      <c r="E303" s="160"/>
    </row>
    <row r="304" spans="2:5" ht="12" customHeight="1">
      <c r="B304" s="270"/>
      <c r="C304" s="371" t="str">
        <f>IF(ISNA(VLOOKUP(B304,Pricelist!A:D,2,FALSE)),"",VLOOKUP(B304,Pricelist!A:D,2,FALSE))</f>
        <v/>
      </c>
      <c r="D304" s="159" t="str">
        <f>IF(ISNA(VLOOKUP(B304,Pricelist!A:D,2,FALSE)),"",VLOOKUP(B304,Pricelist!A:D,4,FALSE))</f>
        <v/>
      </c>
      <c r="E304" s="160"/>
    </row>
    <row r="305" spans="2:5" ht="12" customHeight="1">
      <c r="B305" s="270"/>
      <c r="C305" s="371" t="str">
        <f>IF(ISNA(VLOOKUP(B305,Pricelist!A:D,2,FALSE)),"",VLOOKUP(B305,Pricelist!A:D,2,FALSE))</f>
        <v/>
      </c>
      <c r="D305" s="159" t="str">
        <f>IF(ISNA(VLOOKUP(B305,Pricelist!A:D,2,FALSE)),"",VLOOKUP(B305,Pricelist!A:D,4,FALSE))</f>
        <v/>
      </c>
      <c r="E305" s="160"/>
    </row>
    <row r="306" spans="2:5" ht="12" customHeight="1">
      <c r="B306" s="270"/>
      <c r="C306" s="371" t="str">
        <f>IF(ISNA(VLOOKUP(B306,Pricelist!A:D,2,FALSE)),"",VLOOKUP(B306,Pricelist!A:D,2,FALSE))</f>
        <v/>
      </c>
      <c r="D306" s="159" t="str">
        <f>IF(ISNA(VLOOKUP(B306,Pricelist!A:D,2,FALSE)),"",VLOOKUP(B306,Pricelist!A:D,4,FALSE))</f>
        <v/>
      </c>
      <c r="E306" s="160"/>
    </row>
    <row r="307" spans="2:5" ht="12" customHeight="1">
      <c r="B307" s="270"/>
      <c r="C307" s="371" t="str">
        <f>IF(ISNA(VLOOKUP(B307,Pricelist!A:D,2,FALSE)),"",VLOOKUP(B307,Pricelist!A:D,2,FALSE))</f>
        <v/>
      </c>
      <c r="D307" s="159" t="str">
        <f>IF(ISNA(VLOOKUP(B307,Pricelist!A:D,2,FALSE)),"",VLOOKUP(B307,Pricelist!A:D,4,FALSE))</f>
        <v/>
      </c>
      <c r="E307" s="160"/>
    </row>
    <row r="308" spans="2:5" ht="12" customHeight="1">
      <c r="B308" s="270"/>
      <c r="C308" s="371" t="str">
        <f>IF(ISNA(VLOOKUP(B308,Pricelist!A:D,2,FALSE)),"",VLOOKUP(B308,Pricelist!A:D,2,FALSE))</f>
        <v/>
      </c>
      <c r="D308" s="159" t="str">
        <f>IF(ISNA(VLOOKUP(B308,Pricelist!A:D,2,FALSE)),"",VLOOKUP(B308,Pricelist!A:D,4,FALSE))</f>
        <v/>
      </c>
      <c r="E308" s="160"/>
    </row>
    <row r="309" spans="2:5" ht="12" customHeight="1">
      <c r="B309" s="270"/>
      <c r="C309" s="371" t="str">
        <f>IF(ISNA(VLOOKUP(B309,Pricelist!A:D,2,FALSE)),"",VLOOKUP(B309,Pricelist!A:D,2,FALSE))</f>
        <v/>
      </c>
      <c r="D309" s="159" t="str">
        <f>IF(ISNA(VLOOKUP(B309,Pricelist!A:D,2,FALSE)),"",VLOOKUP(B309,Pricelist!A:D,4,FALSE))</f>
        <v/>
      </c>
      <c r="E309" s="160"/>
    </row>
    <row r="310" spans="2:5" ht="12" customHeight="1">
      <c r="B310" s="270"/>
      <c r="C310" s="371" t="str">
        <f>IF(ISNA(VLOOKUP(B310,Pricelist!A:D,2,FALSE)),"",VLOOKUP(B310,Pricelist!A:D,2,FALSE))</f>
        <v/>
      </c>
      <c r="D310" s="159" t="str">
        <f>IF(ISNA(VLOOKUP(B310,Pricelist!A:D,2,FALSE)),"",VLOOKUP(B310,Pricelist!A:D,4,FALSE))</f>
        <v/>
      </c>
      <c r="E310" s="160"/>
    </row>
    <row r="311" spans="2:5" ht="12" customHeight="1">
      <c r="B311" s="270"/>
      <c r="C311" s="371" t="str">
        <f>IF(ISNA(VLOOKUP(B311,Pricelist!A:D,2,FALSE)),"",VLOOKUP(B311,Pricelist!A:D,2,FALSE))</f>
        <v/>
      </c>
      <c r="D311" s="159" t="str">
        <f>IF(ISNA(VLOOKUP(B311,Pricelist!A:D,2,FALSE)),"",VLOOKUP(B311,Pricelist!A:D,4,FALSE))</f>
        <v/>
      </c>
      <c r="E311" s="160"/>
    </row>
    <row r="312" spans="2:5" ht="12" customHeight="1">
      <c r="B312" s="270"/>
      <c r="C312" s="371" t="str">
        <f>IF(ISNA(VLOOKUP(B312,Pricelist!A:D,2,FALSE)),"",VLOOKUP(B312,Pricelist!A:D,2,FALSE))</f>
        <v/>
      </c>
      <c r="D312" s="159" t="str">
        <f>IF(ISNA(VLOOKUP(B312,Pricelist!A:D,2,FALSE)),"",VLOOKUP(B312,Pricelist!A:D,4,FALSE))</f>
        <v/>
      </c>
      <c r="E312" s="160"/>
    </row>
    <row r="313" spans="2:5" ht="12" customHeight="1">
      <c r="B313" s="270"/>
      <c r="C313" s="371" t="str">
        <f>IF(ISNA(VLOOKUP(B313,Pricelist!A:D,2,FALSE)),"",VLOOKUP(B313,Pricelist!A:D,2,FALSE))</f>
        <v/>
      </c>
      <c r="D313" s="159" t="str">
        <f>IF(ISNA(VLOOKUP(B313,Pricelist!A:D,2,FALSE)),"",VLOOKUP(B313,Pricelist!A:D,4,FALSE))</f>
        <v/>
      </c>
      <c r="E313" s="160"/>
    </row>
    <row r="314" spans="2:5" ht="12" customHeight="1">
      <c r="B314" s="270"/>
      <c r="C314" s="371" t="str">
        <f>IF(ISNA(VLOOKUP(B314,Pricelist!A:D,2,FALSE)),"",VLOOKUP(B314,Pricelist!A:D,2,FALSE))</f>
        <v/>
      </c>
      <c r="D314" s="159" t="str">
        <f>IF(ISNA(VLOOKUP(B314,Pricelist!A:D,2,FALSE)),"",VLOOKUP(B314,Pricelist!A:D,4,FALSE))</f>
        <v/>
      </c>
      <c r="E314" s="160"/>
    </row>
    <row r="315" spans="2:5" ht="12" customHeight="1">
      <c r="B315" s="270"/>
      <c r="C315" s="371" t="str">
        <f>IF(ISNA(VLOOKUP(B315,Pricelist!A:D,2,FALSE)),"",VLOOKUP(B315,Pricelist!A:D,2,FALSE))</f>
        <v/>
      </c>
      <c r="D315" s="159" t="str">
        <f>IF(ISNA(VLOOKUP(B315,Pricelist!A:D,2,FALSE)),"",VLOOKUP(B315,Pricelist!A:D,4,FALSE))</f>
        <v/>
      </c>
      <c r="E315" s="160"/>
    </row>
    <row r="316" spans="2:5" ht="12" customHeight="1">
      <c r="B316" s="270"/>
      <c r="C316" s="371" t="str">
        <f>IF(ISNA(VLOOKUP(B316,Pricelist!A:D,2,FALSE)),"",VLOOKUP(B316,Pricelist!A:D,2,FALSE))</f>
        <v/>
      </c>
      <c r="D316" s="159" t="str">
        <f>IF(ISNA(VLOOKUP(B316,Pricelist!A:D,2,FALSE)),"",VLOOKUP(B316,Pricelist!A:D,4,FALSE))</f>
        <v/>
      </c>
      <c r="E316" s="160"/>
    </row>
    <row r="317" spans="2:5" ht="12" customHeight="1">
      <c r="B317" s="270"/>
      <c r="C317" s="371" t="str">
        <f>IF(ISNA(VLOOKUP(B317,Pricelist!A:D,2,FALSE)),"",VLOOKUP(B317,Pricelist!A:D,2,FALSE))</f>
        <v/>
      </c>
      <c r="D317" s="159" t="str">
        <f>IF(ISNA(VLOOKUP(B317,Pricelist!A:D,2,FALSE)),"",VLOOKUP(B317,Pricelist!A:D,4,FALSE))</f>
        <v/>
      </c>
      <c r="E317" s="160"/>
    </row>
    <row r="318" spans="2:5" ht="12" customHeight="1">
      <c r="B318" s="270"/>
      <c r="C318" s="371" t="str">
        <f>IF(ISNA(VLOOKUP(B318,Pricelist!A:D,2,FALSE)),"",VLOOKUP(B318,Pricelist!A:D,2,FALSE))</f>
        <v/>
      </c>
      <c r="D318" s="159" t="str">
        <f>IF(ISNA(VLOOKUP(B318,Pricelist!A:D,2,FALSE)),"",VLOOKUP(B318,Pricelist!A:D,4,FALSE))</f>
        <v/>
      </c>
      <c r="E318" s="160"/>
    </row>
    <row r="319" spans="2:5" ht="12" customHeight="1">
      <c r="B319" s="270"/>
      <c r="C319" s="371" t="str">
        <f>IF(ISNA(VLOOKUP(B319,Pricelist!A:D,2,FALSE)),"",VLOOKUP(B319,Pricelist!A:D,2,FALSE))</f>
        <v/>
      </c>
      <c r="D319" s="159" t="str">
        <f>IF(ISNA(VLOOKUP(B319,Pricelist!A:D,2,FALSE)),"",VLOOKUP(B319,Pricelist!A:D,4,FALSE))</f>
        <v/>
      </c>
      <c r="E319" s="160"/>
    </row>
    <row r="320" spans="2:5" ht="12" customHeight="1">
      <c r="B320" s="270"/>
      <c r="C320" s="371" t="str">
        <f>IF(ISNA(VLOOKUP(B320,Pricelist!A:D,2,FALSE)),"",VLOOKUP(B320,Pricelist!A:D,2,FALSE))</f>
        <v/>
      </c>
      <c r="D320" s="159" t="str">
        <f>IF(ISNA(VLOOKUP(B320,Pricelist!A:D,2,FALSE)),"",VLOOKUP(B320,Pricelist!A:D,4,FALSE))</f>
        <v/>
      </c>
      <c r="E320" s="160"/>
    </row>
    <row r="321" spans="2:5" ht="12" customHeight="1">
      <c r="B321" s="270"/>
      <c r="C321" s="371" t="str">
        <f>IF(ISNA(VLOOKUP(B321,Pricelist!A:D,2,FALSE)),"",VLOOKUP(B321,Pricelist!A:D,2,FALSE))</f>
        <v/>
      </c>
      <c r="D321" s="159" t="str">
        <f>IF(ISNA(VLOOKUP(B321,Pricelist!A:D,2,FALSE)),"",VLOOKUP(B321,Pricelist!A:D,4,FALSE))</f>
        <v/>
      </c>
      <c r="E321" s="160"/>
    </row>
    <row r="322" spans="2:5" ht="12" customHeight="1">
      <c r="B322" s="270"/>
      <c r="C322" s="371" t="str">
        <f>IF(ISNA(VLOOKUP(B322,Pricelist!A:D,2,FALSE)),"",VLOOKUP(B322,Pricelist!A:D,2,FALSE))</f>
        <v/>
      </c>
      <c r="D322" s="159" t="str">
        <f>IF(ISNA(VLOOKUP(B322,Pricelist!A:D,2,FALSE)),"",VLOOKUP(B322,Pricelist!A:D,4,FALSE))</f>
        <v/>
      </c>
      <c r="E322" s="160"/>
    </row>
    <row r="323" spans="2:5" ht="12" customHeight="1">
      <c r="B323" s="270"/>
      <c r="C323" s="371" t="str">
        <f>IF(ISNA(VLOOKUP(B323,Pricelist!A:D,2,FALSE)),"",VLOOKUP(B323,Pricelist!A:D,2,FALSE))</f>
        <v/>
      </c>
      <c r="D323" s="159" t="str">
        <f>IF(ISNA(VLOOKUP(B323,Pricelist!A:D,2,FALSE)),"",VLOOKUP(B323,Pricelist!A:D,4,FALSE))</f>
        <v/>
      </c>
      <c r="E323" s="160"/>
    </row>
    <row r="324" spans="2:5" ht="12" customHeight="1">
      <c r="B324" s="270"/>
      <c r="C324" s="371" t="str">
        <f>IF(ISNA(VLOOKUP(B324,Pricelist!A:D,2,FALSE)),"",VLOOKUP(B324,Pricelist!A:D,2,FALSE))</f>
        <v/>
      </c>
      <c r="D324" s="159" t="str">
        <f>IF(ISNA(VLOOKUP(B324,Pricelist!A:D,2,FALSE)),"",VLOOKUP(B324,Pricelist!A:D,4,FALSE))</f>
        <v/>
      </c>
      <c r="E324" s="160"/>
    </row>
    <row r="325" spans="2:5" ht="12" customHeight="1">
      <c r="B325" s="270"/>
      <c r="C325" s="371" t="str">
        <f>IF(ISNA(VLOOKUP(B325,Pricelist!A:D,2,FALSE)),"",VLOOKUP(B325,Pricelist!A:D,2,FALSE))</f>
        <v/>
      </c>
      <c r="D325" s="159" t="str">
        <f>IF(ISNA(VLOOKUP(B325,Pricelist!A:D,2,FALSE)),"",VLOOKUP(B325,Pricelist!A:D,4,FALSE))</f>
        <v/>
      </c>
      <c r="E325" s="160"/>
    </row>
    <row r="326" spans="2:5" ht="12" customHeight="1">
      <c r="B326" s="270"/>
      <c r="C326" s="371" t="str">
        <f>IF(ISNA(VLOOKUP(B326,Pricelist!A:D,2,FALSE)),"",VLOOKUP(B326,Pricelist!A:D,2,FALSE))</f>
        <v/>
      </c>
      <c r="D326" s="159" t="str">
        <f>IF(ISNA(VLOOKUP(B326,Pricelist!A:D,2,FALSE)),"",VLOOKUP(B326,Pricelist!A:D,4,FALSE))</f>
        <v/>
      </c>
      <c r="E326" s="160"/>
    </row>
    <row r="327" spans="2:5" ht="12" customHeight="1">
      <c r="B327" s="270"/>
      <c r="C327" s="371" t="str">
        <f>IF(ISNA(VLOOKUP(B327,Pricelist!A:D,2,FALSE)),"",VLOOKUP(B327,Pricelist!A:D,2,FALSE))</f>
        <v/>
      </c>
      <c r="D327" s="159" t="str">
        <f>IF(ISNA(VLOOKUP(B327,Pricelist!A:D,2,FALSE)),"",VLOOKUP(B327,Pricelist!A:D,4,FALSE))</f>
        <v/>
      </c>
      <c r="E327" s="160"/>
    </row>
    <row r="328" spans="2:5" ht="12" customHeight="1">
      <c r="B328" s="270"/>
      <c r="C328" s="371" t="str">
        <f>IF(ISNA(VLOOKUP(B328,Pricelist!A:D,2,FALSE)),"",VLOOKUP(B328,Pricelist!A:D,2,FALSE))</f>
        <v/>
      </c>
      <c r="D328" s="159" t="str">
        <f>IF(ISNA(VLOOKUP(B328,Pricelist!A:D,2,FALSE)),"",VLOOKUP(B328,Pricelist!A:D,4,FALSE))</f>
        <v/>
      </c>
      <c r="E328" s="160"/>
    </row>
    <row r="329" spans="2:5" ht="12" customHeight="1">
      <c r="B329" s="270"/>
      <c r="C329" s="371" t="str">
        <f>IF(ISNA(VLOOKUP(B329,Pricelist!A:D,2,FALSE)),"",VLOOKUP(B329,Pricelist!A:D,2,FALSE))</f>
        <v/>
      </c>
      <c r="D329" s="159" t="str">
        <f>IF(ISNA(VLOOKUP(B329,Pricelist!A:D,2,FALSE)),"",VLOOKUP(B329,Pricelist!A:D,4,FALSE))</f>
        <v/>
      </c>
      <c r="E329" s="160"/>
    </row>
    <row r="330" spans="2:5" ht="12" customHeight="1">
      <c r="B330" s="270"/>
      <c r="C330" s="371" t="str">
        <f>IF(ISNA(VLOOKUP(B330,Pricelist!A:D,2,FALSE)),"",VLOOKUP(B330,Pricelist!A:D,2,FALSE))</f>
        <v/>
      </c>
      <c r="D330" s="159" t="str">
        <f>IF(ISNA(VLOOKUP(B330,Pricelist!A:D,2,FALSE)),"",VLOOKUP(B330,Pricelist!A:D,4,FALSE))</f>
        <v/>
      </c>
      <c r="E330" s="160"/>
    </row>
    <row r="331" spans="2:5" ht="12" customHeight="1">
      <c r="B331" s="270"/>
      <c r="C331" s="371" t="str">
        <f>IF(ISNA(VLOOKUP(B331,Pricelist!A:D,2,FALSE)),"",VLOOKUP(B331,Pricelist!A:D,2,FALSE))</f>
        <v/>
      </c>
      <c r="D331" s="159" t="str">
        <f>IF(ISNA(VLOOKUP(B331,Pricelist!A:D,2,FALSE)),"",VLOOKUP(B331,Pricelist!A:D,4,FALSE))</f>
        <v/>
      </c>
      <c r="E331" s="160"/>
    </row>
    <row r="332" spans="2:5" ht="12" customHeight="1">
      <c r="B332" s="270"/>
      <c r="C332" s="371" t="str">
        <f>IF(ISNA(VLOOKUP(B332,Pricelist!A:D,2,FALSE)),"",VLOOKUP(B332,Pricelist!A:D,2,FALSE))</f>
        <v/>
      </c>
      <c r="D332" s="159" t="str">
        <f>IF(ISNA(VLOOKUP(B332,Pricelist!A:D,2,FALSE)),"",VLOOKUP(B332,Pricelist!A:D,4,FALSE))</f>
        <v/>
      </c>
      <c r="E332" s="160"/>
    </row>
    <row r="333" spans="2:5" ht="12" customHeight="1">
      <c r="B333" s="270"/>
      <c r="C333" s="371" t="str">
        <f>IF(ISNA(VLOOKUP(B333,Pricelist!A:D,2,FALSE)),"",VLOOKUP(B333,Pricelist!A:D,2,FALSE))</f>
        <v/>
      </c>
      <c r="D333" s="159" t="str">
        <f>IF(ISNA(VLOOKUP(B333,Pricelist!A:D,2,FALSE)),"",VLOOKUP(B333,Pricelist!A:D,4,FALSE))</f>
        <v/>
      </c>
      <c r="E333" s="160"/>
    </row>
    <row r="334" spans="2:5" ht="12" customHeight="1">
      <c r="B334" s="270"/>
      <c r="C334" s="371" t="str">
        <f>IF(ISNA(VLOOKUP(B334,Pricelist!A:D,2,FALSE)),"",VLOOKUP(B334,Pricelist!A:D,2,FALSE))</f>
        <v/>
      </c>
      <c r="D334" s="159" t="str">
        <f>IF(ISNA(VLOOKUP(B334,Pricelist!A:D,2,FALSE)),"",VLOOKUP(B334,Pricelist!A:D,4,FALSE))</f>
        <v/>
      </c>
      <c r="E334" s="160"/>
    </row>
    <row r="335" spans="2:5" ht="12" customHeight="1">
      <c r="B335" s="270"/>
      <c r="C335" s="371" t="str">
        <f>IF(ISNA(VLOOKUP(B335,Pricelist!A:D,2,FALSE)),"",VLOOKUP(B335,Pricelist!A:D,2,FALSE))</f>
        <v/>
      </c>
      <c r="D335" s="159" t="str">
        <f>IF(ISNA(VLOOKUP(B335,Pricelist!A:D,2,FALSE)),"",VLOOKUP(B335,Pricelist!A:D,4,FALSE))</f>
        <v/>
      </c>
      <c r="E335" s="160"/>
    </row>
    <row r="336" spans="2:5" ht="12" customHeight="1">
      <c r="B336" s="270"/>
      <c r="C336" s="371" t="str">
        <f>IF(ISNA(VLOOKUP(B336,Pricelist!A:D,2,FALSE)),"",VLOOKUP(B336,Pricelist!A:D,2,FALSE))</f>
        <v/>
      </c>
      <c r="D336" s="159" t="str">
        <f>IF(ISNA(VLOOKUP(B336,Pricelist!A:D,2,FALSE)),"",VLOOKUP(B336,Pricelist!A:D,4,FALSE))</f>
        <v/>
      </c>
      <c r="E336" s="160"/>
    </row>
    <row r="337" spans="2:5" ht="12" customHeight="1">
      <c r="B337" s="270"/>
      <c r="C337" s="371" t="str">
        <f>IF(ISNA(VLOOKUP(B337,Pricelist!A:D,2,FALSE)),"",VLOOKUP(B337,Pricelist!A:D,2,FALSE))</f>
        <v/>
      </c>
      <c r="D337" s="159" t="str">
        <f>IF(ISNA(VLOOKUP(B337,Pricelist!A:D,2,FALSE)),"",VLOOKUP(B337,Pricelist!A:D,4,FALSE))</f>
        <v/>
      </c>
      <c r="E337" s="160"/>
    </row>
    <row r="338" spans="2:5" ht="12" customHeight="1">
      <c r="B338" s="270"/>
      <c r="C338" s="371" t="str">
        <f>IF(ISNA(VLOOKUP(B338,Pricelist!A:D,2,FALSE)),"",VLOOKUP(B338,Pricelist!A:D,2,FALSE))</f>
        <v/>
      </c>
      <c r="D338" s="159" t="str">
        <f>IF(ISNA(VLOOKUP(B338,Pricelist!A:D,2,FALSE)),"",VLOOKUP(B338,Pricelist!A:D,4,FALSE))</f>
        <v/>
      </c>
      <c r="E338" s="160"/>
    </row>
    <row r="339" spans="2:5" ht="12" customHeight="1">
      <c r="B339" s="270"/>
      <c r="C339" s="371" t="str">
        <f>IF(ISNA(VLOOKUP(B339,Pricelist!A:D,2,FALSE)),"",VLOOKUP(B339,Pricelist!A:D,2,FALSE))</f>
        <v/>
      </c>
      <c r="D339" s="159" t="str">
        <f>IF(ISNA(VLOOKUP(B339,Pricelist!A:D,2,FALSE)),"",VLOOKUP(B339,Pricelist!A:D,4,FALSE))</f>
        <v/>
      </c>
      <c r="E339" s="160"/>
    </row>
    <row r="340" spans="2:5" ht="12" customHeight="1">
      <c r="B340" s="270"/>
      <c r="C340" s="371" t="str">
        <f>IF(ISNA(VLOOKUP(B340,Pricelist!A:D,2,FALSE)),"",VLOOKUP(B340,Pricelist!A:D,2,FALSE))</f>
        <v/>
      </c>
      <c r="D340" s="159" t="str">
        <f>IF(ISNA(VLOOKUP(B340,Pricelist!A:D,2,FALSE)),"",VLOOKUP(B340,Pricelist!A:D,4,FALSE))</f>
        <v/>
      </c>
      <c r="E340" s="160"/>
    </row>
    <row r="341" spans="2:5" ht="12" customHeight="1">
      <c r="B341" s="270"/>
      <c r="C341" s="371" t="str">
        <f>IF(ISNA(VLOOKUP(B341,Pricelist!A:D,2,FALSE)),"",VLOOKUP(B341,Pricelist!A:D,2,FALSE))</f>
        <v/>
      </c>
      <c r="D341" s="159" t="str">
        <f>IF(ISNA(VLOOKUP(B341,Pricelist!A:D,2,FALSE)),"",VLOOKUP(B341,Pricelist!A:D,4,FALSE))</f>
        <v/>
      </c>
      <c r="E341" s="160"/>
    </row>
    <row r="342" spans="2:5" ht="12" customHeight="1">
      <c r="B342" s="270"/>
      <c r="C342" s="371" t="str">
        <f>IF(ISNA(VLOOKUP(B342,Pricelist!A:D,2,FALSE)),"",VLOOKUP(B342,Pricelist!A:D,2,FALSE))</f>
        <v/>
      </c>
      <c r="D342" s="159" t="str">
        <f>IF(ISNA(VLOOKUP(B342,Pricelist!A:D,2,FALSE)),"",VLOOKUP(B342,Pricelist!A:D,4,FALSE))</f>
        <v/>
      </c>
      <c r="E342" s="160"/>
    </row>
    <row r="343" spans="2:5" ht="12" customHeight="1">
      <c r="B343" s="270"/>
      <c r="C343" s="371" t="str">
        <f>IF(ISNA(VLOOKUP(B343,Pricelist!A:D,2,FALSE)),"",VLOOKUP(B343,Pricelist!A:D,2,FALSE))</f>
        <v/>
      </c>
      <c r="D343" s="159" t="str">
        <f>IF(ISNA(VLOOKUP(B343,Pricelist!A:D,2,FALSE)),"",VLOOKUP(B343,Pricelist!A:D,4,FALSE))</f>
        <v/>
      </c>
      <c r="E343" s="160"/>
    </row>
    <row r="344" spans="2:5" ht="12" customHeight="1">
      <c r="B344" s="270"/>
      <c r="C344" s="371" t="str">
        <f>IF(ISNA(VLOOKUP(B344,Pricelist!A:D,2,FALSE)),"",VLOOKUP(B344,Pricelist!A:D,2,FALSE))</f>
        <v/>
      </c>
      <c r="D344" s="159" t="str">
        <f>IF(ISNA(VLOOKUP(B344,Pricelist!A:D,2,FALSE)),"",VLOOKUP(B344,Pricelist!A:D,4,FALSE))</f>
        <v/>
      </c>
      <c r="E344" s="160"/>
    </row>
    <row r="345" spans="2:5" ht="12" customHeight="1">
      <c r="B345" s="270"/>
      <c r="C345" s="371" t="str">
        <f>IF(ISNA(VLOOKUP(B345,Pricelist!A:D,2,FALSE)),"",VLOOKUP(B345,Pricelist!A:D,2,FALSE))</f>
        <v/>
      </c>
      <c r="D345" s="159" t="str">
        <f>IF(ISNA(VLOOKUP(B345,Pricelist!A:D,2,FALSE)),"",VLOOKUP(B345,Pricelist!A:D,4,FALSE))</f>
        <v/>
      </c>
      <c r="E345" s="160"/>
    </row>
    <row r="346" spans="2:5" ht="12" customHeight="1">
      <c r="B346" s="270"/>
      <c r="C346" s="371" t="str">
        <f>IF(ISNA(VLOOKUP(B346,Pricelist!A:D,2,FALSE)),"",VLOOKUP(B346,Pricelist!A:D,2,FALSE))</f>
        <v/>
      </c>
      <c r="D346" s="159" t="str">
        <f>IF(ISNA(VLOOKUP(B346,Pricelist!A:D,2,FALSE)),"",VLOOKUP(B346,Pricelist!A:D,4,FALSE))</f>
        <v/>
      </c>
      <c r="E346" s="160"/>
    </row>
    <row r="347" spans="2:5" ht="12" customHeight="1">
      <c r="B347" s="270"/>
      <c r="C347" s="371" t="str">
        <f>IF(ISNA(VLOOKUP(B347,Pricelist!A:D,2,FALSE)),"",VLOOKUP(B347,Pricelist!A:D,2,FALSE))</f>
        <v/>
      </c>
      <c r="D347" s="159" t="str">
        <f>IF(ISNA(VLOOKUP(B347,Pricelist!A:D,2,FALSE)),"",VLOOKUP(B347,Pricelist!A:D,4,FALSE))</f>
        <v/>
      </c>
      <c r="E347" s="160"/>
    </row>
    <row r="348" spans="2:5" ht="12" customHeight="1">
      <c r="B348" s="270"/>
      <c r="C348" s="371" t="str">
        <f>IF(ISNA(VLOOKUP(B348,Pricelist!A:D,2,FALSE)),"",VLOOKUP(B348,Pricelist!A:D,2,FALSE))</f>
        <v/>
      </c>
      <c r="D348" s="159" t="str">
        <f>IF(ISNA(VLOOKUP(B348,Pricelist!A:D,2,FALSE)),"",VLOOKUP(B348,Pricelist!A:D,4,FALSE))</f>
        <v/>
      </c>
      <c r="E348" s="160"/>
    </row>
    <row r="349" spans="2:5" ht="12" customHeight="1">
      <c r="B349" s="270"/>
      <c r="C349" s="371" t="str">
        <f>IF(ISNA(VLOOKUP(B349,Pricelist!A:D,2,FALSE)),"",VLOOKUP(B349,Pricelist!A:D,2,FALSE))</f>
        <v/>
      </c>
      <c r="D349" s="159" t="str">
        <f>IF(ISNA(VLOOKUP(B349,Pricelist!A:D,2,FALSE)),"",VLOOKUP(B349,Pricelist!A:D,4,FALSE))</f>
        <v/>
      </c>
      <c r="E349" s="160"/>
    </row>
    <row r="350" spans="2:5" ht="12" customHeight="1">
      <c r="B350" s="270"/>
      <c r="C350" s="371" t="str">
        <f>IF(ISNA(VLOOKUP(B350,Pricelist!A:D,2,FALSE)),"",VLOOKUP(B350,Pricelist!A:D,2,FALSE))</f>
        <v/>
      </c>
      <c r="D350" s="159" t="str">
        <f>IF(ISNA(VLOOKUP(B350,Pricelist!A:D,2,FALSE)),"",VLOOKUP(B350,Pricelist!A:D,4,FALSE))</f>
        <v/>
      </c>
      <c r="E350" s="160"/>
    </row>
    <row r="351" spans="2:5" ht="12" customHeight="1">
      <c r="B351" s="270"/>
      <c r="C351" s="371" t="str">
        <f>IF(ISNA(VLOOKUP(B351,Pricelist!A:D,2,FALSE)),"",VLOOKUP(B351,Pricelist!A:D,2,FALSE))</f>
        <v/>
      </c>
      <c r="D351" s="159" t="str">
        <f>IF(ISNA(VLOOKUP(B351,Pricelist!A:D,2,FALSE)),"",VLOOKUP(B351,Pricelist!A:D,4,FALSE))</f>
        <v/>
      </c>
      <c r="E351" s="160"/>
    </row>
    <row r="352" spans="2:5" ht="12" customHeight="1">
      <c r="B352" s="270"/>
      <c r="C352" s="371" t="str">
        <f>IF(ISNA(VLOOKUP(B352,Pricelist!A:D,2,FALSE)),"",VLOOKUP(B352,Pricelist!A:D,2,FALSE))</f>
        <v/>
      </c>
      <c r="D352" s="159" t="str">
        <f>IF(ISNA(VLOOKUP(B352,Pricelist!A:D,2,FALSE)),"",VLOOKUP(B352,Pricelist!A:D,4,FALSE))</f>
        <v/>
      </c>
      <c r="E352" s="160"/>
    </row>
    <row r="353" spans="2:5" ht="12" customHeight="1">
      <c r="B353" s="270"/>
      <c r="C353" s="371" t="str">
        <f>IF(ISNA(VLOOKUP(B353,Pricelist!A:D,2,FALSE)),"",VLOOKUP(B353,Pricelist!A:D,2,FALSE))</f>
        <v/>
      </c>
      <c r="D353" s="159" t="str">
        <f>IF(ISNA(VLOOKUP(B353,Pricelist!A:D,2,FALSE)),"",VLOOKUP(B353,Pricelist!A:D,4,FALSE))</f>
        <v/>
      </c>
      <c r="E353" s="160"/>
    </row>
    <row r="354" spans="2:5" ht="12" customHeight="1">
      <c r="B354" s="270"/>
      <c r="C354" s="371" t="str">
        <f>IF(ISNA(VLOOKUP(B354,Pricelist!A:D,2,FALSE)),"",VLOOKUP(B354,Pricelist!A:D,2,FALSE))</f>
        <v/>
      </c>
      <c r="D354" s="159" t="str">
        <f>IF(ISNA(VLOOKUP(B354,Pricelist!A:D,2,FALSE)),"",VLOOKUP(B354,Pricelist!A:D,4,FALSE))</f>
        <v/>
      </c>
      <c r="E354" s="160"/>
    </row>
    <row r="355" spans="2:5" ht="12" customHeight="1">
      <c r="B355" s="270"/>
      <c r="C355" s="371" t="str">
        <f>IF(ISNA(VLOOKUP(B355,Pricelist!A:D,2,FALSE)),"",VLOOKUP(B355,Pricelist!A:D,2,FALSE))</f>
        <v/>
      </c>
      <c r="D355" s="159" t="str">
        <f>IF(ISNA(VLOOKUP(B355,Pricelist!A:D,2,FALSE)),"",VLOOKUP(B355,Pricelist!A:D,4,FALSE))</f>
        <v/>
      </c>
      <c r="E355" s="160"/>
    </row>
    <row r="356" spans="2:5" ht="12" customHeight="1">
      <c r="B356" s="270"/>
      <c r="C356" s="371" t="str">
        <f>IF(ISNA(VLOOKUP(B356,Pricelist!A:D,2,FALSE)),"",VLOOKUP(B356,Pricelist!A:D,2,FALSE))</f>
        <v/>
      </c>
      <c r="D356" s="159" t="str">
        <f>IF(ISNA(VLOOKUP(B356,Pricelist!A:D,2,FALSE)),"",VLOOKUP(B356,Pricelist!A:D,4,FALSE))</f>
        <v/>
      </c>
      <c r="E356" s="160"/>
    </row>
    <row r="357" spans="2:5" ht="12" customHeight="1">
      <c r="B357" s="270"/>
      <c r="C357" s="371" t="str">
        <f>IF(ISNA(VLOOKUP(B357,Pricelist!A:D,2,FALSE)),"",VLOOKUP(B357,Pricelist!A:D,2,FALSE))</f>
        <v/>
      </c>
      <c r="D357" s="159" t="str">
        <f>IF(ISNA(VLOOKUP(B357,Pricelist!A:D,2,FALSE)),"",VLOOKUP(B357,Pricelist!A:D,4,FALSE))</f>
        <v/>
      </c>
      <c r="E357" s="160"/>
    </row>
    <row r="358" spans="2:5" ht="12" customHeight="1">
      <c r="B358" s="270"/>
      <c r="C358" s="371" t="str">
        <f>IF(ISNA(VLOOKUP(B358,Pricelist!A:D,2,FALSE)),"",VLOOKUP(B358,Pricelist!A:D,2,FALSE))</f>
        <v/>
      </c>
      <c r="D358" s="159" t="str">
        <f>IF(ISNA(VLOOKUP(B358,Pricelist!A:D,2,FALSE)),"",VLOOKUP(B358,Pricelist!A:D,4,FALSE))</f>
        <v/>
      </c>
      <c r="E358" s="160"/>
    </row>
    <row r="359" spans="2:5" ht="12" customHeight="1">
      <c r="B359" s="270"/>
      <c r="C359" s="371" t="str">
        <f>IF(ISNA(VLOOKUP(B359,Pricelist!A:D,2,FALSE)),"",VLOOKUP(B359,Pricelist!A:D,2,FALSE))</f>
        <v/>
      </c>
      <c r="D359" s="159" t="str">
        <f>IF(ISNA(VLOOKUP(B359,Pricelist!A:D,2,FALSE)),"",VLOOKUP(B359,Pricelist!A:D,4,FALSE))</f>
        <v/>
      </c>
      <c r="E359" s="160"/>
    </row>
    <row r="360" spans="2:5" ht="12" customHeight="1">
      <c r="B360" s="270"/>
      <c r="C360" s="371" t="str">
        <f>IF(ISNA(VLOOKUP(B360,Pricelist!A:D,2,FALSE)),"",VLOOKUP(B360,Pricelist!A:D,2,FALSE))</f>
        <v/>
      </c>
      <c r="D360" s="159" t="str">
        <f>IF(ISNA(VLOOKUP(B360,Pricelist!A:D,2,FALSE)),"",VLOOKUP(B360,Pricelist!A:D,4,FALSE))</f>
        <v/>
      </c>
      <c r="E360" s="160"/>
    </row>
    <row r="361" spans="2:5" ht="12" customHeight="1">
      <c r="B361" s="270"/>
      <c r="C361" s="371" t="str">
        <f>IF(ISNA(VLOOKUP(B361,Pricelist!A:D,2,FALSE)),"",VLOOKUP(B361,Pricelist!A:D,2,FALSE))</f>
        <v/>
      </c>
      <c r="D361" s="159" t="str">
        <f>IF(ISNA(VLOOKUP(B361,Pricelist!A:D,2,FALSE)),"",VLOOKUP(B361,Pricelist!A:D,4,FALSE))</f>
        <v/>
      </c>
      <c r="E361" s="160"/>
    </row>
    <row r="362" spans="2:5" ht="12" customHeight="1">
      <c r="B362" s="270"/>
      <c r="C362" s="371" t="str">
        <f>IF(ISNA(VLOOKUP(B362,Pricelist!A:D,2,FALSE)),"",VLOOKUP(B362,Pricelist!A:D,2,FALSE))</f>
        <v/>
      </c>
      <c r="D362" s="159" t="str">
        <f>IF(ISNA(VLOOKUP(B362,Pricelist!A:D,2,FALSE)),"",VLOOKUP(B362,Pricelist!A:D,4,FALSE))</f>
        <v/>
      </c>
      <c r="E362" s="160"/>
    </row>
    <row r="363" spans="2:5" ht="12" customHeight="1">
      <c r="B363" s="270"/>
      <c r="C363" s="371" t="str">
        <f>IF(ISNA(VLOOKUP(B363,Pricelist!A:D,2,FALSE)),"",VLOOKUP(B363,Pricelist!A:D,2,FALSE))</f>
        <v/>
      </c>
      <c r="D363" s="159" t="str">
        <f>IF(ISNA(VLOOKUP(B363,Pricelist!A:D,2,FALSE)),"",VLOOKUP(B363,Pricelist!A:D,4,FALSE))</f>
        <v/>
      </c>
      <c r="E363" s="160"/>
    </row>
    <row r="364" spans="2:5" ht="12" customHeight="1">
      <c r="B364" s="270"/>
      <c r="C364" s="371" t="str">
        <f>IF(ISNA(VLOOKUP(B364,Pricelist!A:D,2,FALSE)),"",VLOOKUP(B364,Pricelist!A:D,2,FALSE))</f>
        <v/>
      </c>
      <c r="D364" s="159" t="str">
        <f>IF(ISNA(VLOOKUP(B364,Pricelist!A:D,2,FALSE)),"",VLOOKUP(B364,Pricelist!A:D,4,FALSE))</f>
        <v/>
      </c>
      <c r="E364" s="160"/>
    </row>
    <row r="365" spans="2:5" ht="12" customHeight="1">
      <c r="B365" s="270"/>
      <c r="C365" s="371" t="str">
        <f>IF(ISNA(VLOOKUP(B365,Pricelist!A:D,2,FALSE)),"",VLOOKUP(B365,Pricelist!A:D,2,FALSE))</f>
        <v/>
      </c>
      <c r="D365" s="159" t="str">
        <f>IF(ISNA(VLOOKUP(B365,Pricelist!A:D,2,FALSE)),"",VLOOKUP(B365,Pricelist!A:D,4,FALSE))</f>
        <v/>
      </c>
      <c r="E365" s="160"/>
    </row>
    <row r="366" spans="2:5" ht="12" customHeight="1">
      <c r="B366" s="270"/>
      <c r="C366" s="371" t="str">
        <f>IF(ISNA(VLOOKUP(B366,Pricelist!A:D,2,FALSE)),"",VLOOKUP(B366,Pricelist!A:D,2,FALSE))</f>
        <v/>
      </c>
      <c r="D366" s="159" t="str">
        <f>IF(ISNA(VLOOKUP(B366,Pricelist!A:D,2,FALSE)),"",VLOOKUP(B366,Pricelist!A:D,4,FALSE))</f>
        <v/>
      </c>
      <c r="E366" s="160"/>
    </row>
    <row r="367" spans="2:5" ht="12" customHeight="1">
      <c r="B367" s="270"/>
      <c r="C367" s="371" t="str">
        <f>IF(ISNA(VLOOKUP(B367,Pricelist!A:D,2,FALSE)),"",VLOOKUP(B367,Pricelist!A:D,2,FALSE))</f>
        <v/>
      </c>
      <c r="D367" s="159" t="str">
        <f>IF(ISNA(VLOOKUP(B367,Pricelist!A:D,2,FALSE)),"",VLOOKUP(B367,Pricelist!A:D,4,FALSE))</f>
        <v/>
      </c>
      <c r="E367" s="160"/>
    </row>
    <row r="368" spans="2:5" ht="12" customHeight="1">
      <c r="B368" s="270"/>
      <c r="C368" s="371" t="str">
        <f>IF(ISNA(VLOOKUP(B368,Pricelist!A:D,2,FALSE)),"",VLOOKUP(B368,Pricelist!A:D,2,FALSE))</f>
        <v/>
      </c>
      <c r="D368" s="159" t="str">
        <f>IF(ISNA(VLOOKUP(B368,Pricelist!A:D,2,FALSE)),"",VLOOKUP(B368,Pricelist!A:D,4,FALSE))</f>
        <v/>
      </c>
      <c r="E368" s="160"/>
    </row>
    <row r="369" spans="2:5" ht="12" customHeight="1">
      <c r="B369" s="270"/>
      <c r="C369" s="371" t="str">
        <f>IF(ISNA(VLOOKUP(B369,Pricelist!A:D,2,FALSE)),"",VLOOKUP(B369,Pricelist!A:D,2,FALSE))</f>
        <v/>
      </c>
      <c r="D369" s="159" t="str">
        <f>IF(ISNA(VLOOKUP(B369,Pricelist!A:D,2,FALSE)),"",VLOOKUP(B369,Pricelist!A:D,4,FALSE))</f>
        <v/>
      </c>
      <c r="E369" s="160"/>
    </row>
    <row r="370" spans="2:5" ht="12" customHeight="1">
      <c r="B370" s="270"/>
      <c r="C370" s="371" t="str">
        <f>IF(ISNA(VLOOKUP(B370,Pricelist!A:D,2,FALSE)),"",VLOOKUP(B370,Pricelist!A:D,2,FALSE))</f>
        <v/>
      </c>
      <c r="D370" s="159" t="str">
        <f>IF(ISNA(VLOOKUP(B370,Pricelist!A:D,2,FALSE)),"",VLOOKUP(B370,Pricelist!A:D,4,FALSE))</f>
        <v/>
      </c>
      <c r="E370" s="160"/>
    </row>
    <row r="371" spans="2:5" ht="12" customHeight="1">
      <c r="B371" s="270"/>
      <c r="C371" s="371" t="str">
        <f>IF(ISNA(VLOOKUP(B371,Pricelist!A:D,2,FALSE)),"",VLOOKUP(B371,Pricelist!A:D,2,FALSE))</f>
        <v/>
      </c>
      <c r="D371" s="159" t="str">
        <f>IF(ISNA(VLOOKUP(B371,Pricelist!A:D,2,FALSE)),"",VLOOKUP(B371,Pricelist!A:D,4,FALSE))</f>
        <v/>
      </c>
      <c r="E371" s="160"/>
    </row>
    <row r="372" spans="2:5" ht="12" customHeight="1">
      <c r="B372" s="270"/>
      <c r="C372" s="371" t="str">
        <f>IF(ISNA(VLOOKUP(B372,Pricelist!A:D,2,FALSE)),"",VLOOKUP(B372,Pricelist!A:D,2,FALSE))</f>
        <v/>
      </c>
      <c r="D372" s="159" t="str">
        <f>IF(ISNA(VLOOKUP(B372,Pricelist!A:D,2,FALSE)),"",VLOOKUP(B372,Pricelist!A:D,4,FALSE))</f>
        <v/>
      </c>
      <c r="E372" s="160"/>
    </row>
    <row r="373" spans="2:5" ht="12" customHeight="1">
      <c r="B373" s="270"/>
      <c r="C373" s="371" t="str">
        <f>IF(ISNA(VLOOKUP(B373,Pricelist!A:D,2,FALSE)),"",VLOOKUP(B373,Pricelist!A:D,2,FALSE))</f>
        <v/>
      </c>
      <c r="D373" s="159" t="str">
        <f>IF(ISNA(VLOOKUP(B373,Pricelist!A:D,2,FALSE)),"",VLOOKUP(B373,Pricelist!A:D,4,FALSE))</f>
        <v/>
      </c>
      <c r="E373" s="160"/>
    </row>
    <row r="374" spans="2:5" ht="12" customHeight="1">
      <c r="B374" s="270"/>
      <c r="C374" s="371" t="str">
        <f>IF(ISNA(VLOOKUP(B374,Pricelist!A:D,2,FALSE)),"",VLOOKUP(B374,Pricelist!A:D,2,FALSE))</f>
        <v/>
      </c>
      <c r="D374" s="159" t="str">
        <f>IF(ISNA(VLOOKUP(B374,Pricelist!A:D,2,FALSE)),"",VLOOKUP(B374,Pricelist!A:D,4,FALSE))</f>
        <v/>
      </c>
      <c r="E374" s="160"/>
    </row>
    <row r="375" spans="2:5" ht="12" customHeight="1">
      <c r="B375" s="270"/>
      <c r="C375" s="371" t="str">
        <f>IF(ISNA(VLOOKUP(B375,Pricelist!A:D,2,FALSE)),"",VLOOKUP(B375,Pricelist!A:D,2,FALSE))</f>
        <v/>
      </c>
      <c r="D375" s="159" t="str">
        <f>IF(ISNA(VLOOKUP(B375,Pricelist!A:D,2,FALSE)),"",VLOOKUP(B375,Pricelist!A:D,4,FALSE))</f>
        <v/>
      </c>
      <c r="E375" s="160"/>
    </row>
    <row r="376" spans="2:5" ht="12" customHeight="1">
      <c r="B376" s="270"/>
      <c r="C376" s="371" t="str">
        <f>IF(ISNA(VLOOKUP(B376,Pricelist!A:D,2,FALSE)),"",VLOOKUP(B376,Pricelist!A:D,2,FALSE))</f>
        <v/>
      </c>
      <c r="D376" s="159" t="str">
        <f>IF(ISNA(VLOOKUP(B376,Pricelist!A:D,2,FALSE)),"",VLOOKUP(B376,Pricelist!A:D,4,FALSE))</f>
        <v/>
      </c>
      <c r="E376" s="160"/>
    </row>
    <row r="377" spans="2:5" ht="12" customHeight="1">
      <c r="B377" s="270"/>
      <c r="C377" s="371" t="str">
        <f>IF(ISNA(VLOOKUP(B377,Pricelist!A:D,2,FALSE)),"",VLOOKUP(B377,Pricelist!A:D,2,FALSE))</f>
        <v/>
      </c>
      <c r="D377" s="159" t="str">
        <f>IF(ISNA(VLOOKUP(B377,Pricelist!A:D,2,FALSE)),"",VLOOKUP(B377,Pricelist!A:D,4,FALSE))</f>
        <v/>
      </c>
      <c r="E377" s="160"/>
    </row>
    <row r="378" spans="2:5" ht="12" customHeight="1">
      <c r="B378" s="270"/>
      <c r="C378" s="371" t="str">
        <f>IF(ISNA(VLOOKUP(B378,Pricelist!A:D,2,FALSE)),"",VLOOKUP(B378,Pricelist!A:D,2,FALSE))</f>
        <v/>
      </c>
      <c r="D378" s="159" t="str">
        <f>IF(ISNA(VLOOKUP(B378,Pricelist!A:D,2,FALSE)),"",VLOOKUP(B378,Pricelist!A:D,4,FALSE))</f>
        <v/>
      </c>
      <c r="E378" s="160"/>
    </row>
    <row r="379" spans="2:5" ht="12" customHeight="1">
      <c r="B379" s="270"/>
      <c r="C379" s="371" t="str">
        <f>IF(ISNA(VLOOKUP(B379,Pricelist!A:D,2,FALSE)),"",VLOOKUP(B379,Pricelist!A:D,2,FALSE))</f>
        <v/>
      </c>
      <c r="D379" s="159" t="str">
        <f>IF(ISNA(VLOOKUP(B379,Pricelist!A:D,2,FALSE)),"",VLOOKUP(B379,Pricelist!A:D,4,FALSE))</f>
        <v/>
      </c>
      <c r="E379" s="160"/>
    </row>
    <row r="380" spans="2:5" ht="12" customHeight="1">
      <c r="B380" s="270"/>
      <c r="C380" s="371" t="str">
        <f>IF(ISNA(VLOOKUP(B380,Pricelist!A:D,2,FALSE)),"",VLOOKUP(B380,Pricelist!A:D,2,FALSE))</f>
        <v/>
      </c>
      <c r="D380" s="159" t="str">
        <f>IF(ISNA(VLOOKUP(B380,Pricelist!A:D,2,FALSE)),"",VLOOKUP(B380,Pricelist!A:D,4,FALSE))</f>
        <v/>
      </c>
      <c r="E380" s="160"/>
    </row>
    <row r="381" spans="2:5" ht="12" customHeight="1">
      <c r="B381" s="270"/>
      <c r="C381" s="371" t="str">
        <f>IF(ISNA(VLOOKUP(B381,Pricelist!A:D,2,FALSE)),"",VLOOKUP(B381,Pricelist!A:D,2,FALSE))</f>
        <v/>
      </c>
      <c r="D381" s="159" t="str">
        <f>IF(ISNA(VLOOKUP(B381,Pricelist!A:D,2,FALSE)),"",VLOOKUP(B381,Pricelist!A:D,4,FALSE))</f>
        <v/>
      </c>
      <c r="E381" s="160"/>
    </row>
    <row r="382" spans="2:5" ht="12" customHeight="1">
      <c r="B382" s="270"/>
      <c r="C382" s="371" t="str">
        <f>IF(ISNA(VLOOKUP(B382,Pricelist!A:D,2,FALSE)),"",VLOOKUP(B382,Pricelist!A:D,2,FALSE))</f>
        <v/>
      </c>
      <c r="D382" s="159" t="str">
        <f>IF(ISNA(VLOOKUP(B382,Pricelist!A:D,2,FALSE)),"",VLOOKUP(B382,Pricelist!A:D,4,FALSE))</f>
        <v/>
      </c>
      <c r="E382" s="160"/>
    </row>
    <row r="383" spans="2:5" ht="12" customHeight="1">
      <c r="B383" s="270"/>
      <c r="C383" s="371" t="str">
        <f>IF(ISNA(VLOOKUP(B383,Pricelist!A:D,2,FALSE)),"",VLOOKUP(B383,Pricelist!A:D,2,FALSE))</f>
        <v/>
      </c>
      <c r="D383" s="159" t="str">
        <f>IF(ISNA(VLOOKUP(B383,Pricelist!A:D,2,FALSE)),"",VLOOKUP(B383,Pricelist!A:D,4,FALSE))</f>
        <v/>
      </c>
      <c r="E383" s="160"/>
    </row>
    <row r="384" spans="2:5" ht="12" customHeight="1">
      <c r="B384" s="270"/>
      <c r="C384" s="371" t="str">
        <f>IF(ISNA(VLOOKUP(B384,Pricelist!A:D,2,FALSE)),"",VLOOKUP(B384,Pricelist!A:D,2,FALSE))</f>
        <v/>
      </c>
      <c r="D384" s="159" t="str">
        <f>IF(ISNA(VLOOKUP(B384,Pricelist!A:D,2,FALSE)),"",VLOOKUP(B384,Pricelist!A:D,4,FALSE))</f>
        <v/>
      </c>
      <c r="E384" s="160"/>
    </row>
    <row r="385" spans="2:5" ht="12" customHeight="1">
      <c r="B385" s="270"/>
      <c r="C385" s="371" t="str">
        <f>IF(ISNA(VLOOKUP(B385,Pricelist!A:D,2,FALSE)),"",VLOOKUP(B385,Pricelist!A:D,2,FALSE))</f>
        <v/>
      </c>
      <c r="D385" s="159" t="str">
        <f>IF(ISNA(VLOOKUP(B385,Pricelist!A:D,2,FALSE)),"",VLOOKUP(B385,Pricelist!A:D,4,FALSE))</f>
        <v/>
      </c>
      <c r="E385" s="160"/>
    </row>
    <row r="386" spans="2:5" ht="12" customHeight="1">
      <c r="B386" s="270"/>
      <c r="C386" s="371" t="str">
        <f>IF(ISNA(VLOOKUP(B386,Pricelist!A:D,2,FALSE)),"",VLOOKUP(B386,Pricelist!A:D,2,FALSE))</f>
        <v/>
      </c>
      <c r="D386" s="159" t="str">
        <f>IF(ISNA(VLOOKUP(B386,Pricelist!A:D,2,FALSE)),"",VLOOKUP(B386,Pricelist!A:D,4,FALSE))</f>
        <v/>
      </c>
      <c r="E386" s="160"/>
    </row>
    <row r="387" spans="2:5" ht="12" customHeight="1">
      <c r="B387" s="270"/>
      <c r="C387" s="371" t="str">
        <f>IF(ISNA(VLOOKUP(B387,Pricelist!A:D,2,FALSE)),"",VLOOKUP(B387,Pricelist!A:D,2,FALSE))</f>
        <v/>
      </c>
      <c r="D387" s="159" t="str">
        <f>IF(ISNA(VLOOKUP(B387,Pricelist!A:D,2,FALSE)),"",VLOOKUP(B387,Pricelist!A:D,4,FALSE))</f>
        <v/>
      </c>
      <c r="E387" s="160"/>
    </row>
    <row r="388" spans="2:5" ht="12" customHeight="1">
      <c r="B388" s="270"/>
      <c r="C388" s="371" t="str">
        <f>IF(ISNA(VLOOKUP(B388,Pricelist!A:D,2,FALSE)),"",VLOOKUP(B388,Pricelist!A:D,2,FALSE))</f>
        <v/>
      </c>
      <c r="D388" s="159" t="str">
        <f>IF(ISNA(VLOOKUP(B388,Pricelist!A:D,2,FALSE)),"",VLOOKUP(B388,Pricelist!A:D,4,FALSE))</f>
        <v/>
      </c>
      <c r="E388" s="160"/>
    </row>
    <row r="389" spans="2:5" ht="12" customHeight="1">
      <c r="B389" s="270"/>
      <c r="C389" s="371" t="str">
        <f>IF(ISNA(VLOOKUP(B389,Pricelist!A:D,2,FALSE)),"",VLOOKUP(B389,Pricelist!A:D,2,FALSE))</f>
        <v/>
      </c>
      <c r="D389" s="159" t="str">
        <f>IF(ISNA(VLOOKUP(B389,Pricelist!A:D,2,FALSE)),"",VLOOKUP(B389,Pricelist!A:D,4,FALSE))</f>
        <v/>
      </c>
      <c r="E389" s="160"/>
    </row>
    <row r="390" spans="2:5" ht="12" customHeight="1">
      <c r="B390" s="270"/>
      <c r="C390" s="371" t="str">
        <f>IF(ISNA(VLOOKUP(B390,Pricelist!A:D,2,FALSE)),"",VLOOKUP(B390,Pricelist!A:D,2,FALSE))</f>
        <v/>
      </c>
      <c r="D390" s="159" t="str">
        <f>IF(ISNA(VLOOKUP(B390,Pricelist!A:D,2,FALSE)),"",VLOOKUP(B390,Pricelist!A:D,4,FALSE))</f>
        <v/>
      </c>
      <c r="E390" s="160"/>
    </row>
    <row r="391" spans="2:5" ht="12" customHeight="1">
      <c r="B391" s="270"/>
      <c r="C391" s="371" t="str">
        <f>IF(ISNA(VLOOKUP(B391,Pricelist!A:D,2,FALSE)),"",VLOOKUP(B391,Pricelist!A:D,2,FALSE))</f>
        <v/>
      </c>
      <c r="D391" s="159" t="str">
        <f>IF(ISNA(VLOOKUP(B391,Pricelist!A:D,2,FALSE)),"",VLOOKUP(B391,Pricelist!A:D,4,FALSE))</f>
        <v/>
      </c>
      <c r="E391" s="160"/>
    </row>
    <row r="392" spans="2:5" ht="12" customHeight="1">
      <c r="B392" s="270"/>
      <c r="C392" s="371" t="str">
        <f>IF(ISNA(VLOOKUP(B392,Pricelist!A:D,2,FALSE)),"",VLOOKUP(B392,Pricelist!A:D,2,FALSE))</f>
        <v/>
      </c>
      <c r="D392" s="159" t="str">
        <f>IF(ISNA(VLOOKUP(B392,Pricelist!A:D,2,FALSE)),"",VLOOKUP(B392,Pricelist!A:D,4,FALSE))</f>
        <v/>
      </c>
      <c r="E392" s="160"/>
    </row>
    <row r="393" spans="2:5" ht="12" customHeight="1">
      <c r="B393" s="270"/>
      <c r="C393" s="371" t="str">
        <f>IF(ISNA(VLOOKUP(B393,Pricelist!A:D,2,FALSE)),"",VLOOKUP(B393,Pricelist!A:D,2,FALSE))</f>
        <v/>
      </c>
      <c r="D393" s="159" t="str">
        <f>IF(ISNA(VLOOKUP(B393,Pricelist!A:D,2,FALSE)),"",VLOOKUP(B393,Pricelist!A:D,4,FALSE))</f>
        <v/>
      </c>
      <c r="E393" s="160"/>
    </row>
    <row r="394" spans="2:5" ht="12" customHeight="1">
      <c r="B394" s="270"/>
      <c r="C394" s="371" t="str">
        <f>IF(ISNA(VLOOKUP(B394,Pricelist!A:D,2,FALSE)),"",VLOOKUP(B394,Pricelist!A:D,2,FALSE))</f>
        <v/>
      </c>
      <c r="D394" s="159" t="str">
        <f>IF(ISNA(VLOOKUP(B394,Pricelist!A:D,2,FALSE)),"",VLOOKUP(B394,Pricelist!A:D,4,FALSE))</f>
        <v/>
      </c>
      <c r="E394" s="160"/>
    </row>
    <row r="395" spans="2:5" ht="12" customHeight="1">
      <c r="B395" s="270"/>
      <c r="C395" s="371" t="str">
        <f>IF(ISNA(VLOOKUP(B395,Pricelist!A:D,2,FALSE)),"",VLOOKUP(B395,Pricelist!A:D,2,FALSE))</f>
        <v/>
      </c>
      <c r="D395" s="159" t="str">
        <f>IF(ISNA(VLOOKUP(B395,Pricelist!A:D,2,FALSE)),"",VLOOKUP(B395,Pricelist!A:D,4,FALSE))</f>
        <v/>
      </c>
      <c r="E395" s="160"/>
    </row>
    <row r="396" spans="2:5" ht="12" customHeight="1">
      <c r="B396" s="270"/>
      <c r="C396" s="371" t="str">
        <f>IF(ISNA(VLOOKUP(B396,Pricelist!A:D,2,FALSE)),"",VLOOKUP(B396,Pricelist!A:D,2,FALSE))</f>
        <v/>
      </c>
      <c r="D396" s="159" t="str">
        <f>IF(ISNA(VLOOKUP(B396,Pricelist!A:D,2,FALSE)),"",VLOOKUP(B396,Pricelist!A:D,4,FALSE))</f>
        <v/>
      </c>
      <c r="E396" s="160"/>
    </row>
    <row r="397" spans="2:5" ht="12" customHeight="1">
      <c r="B397" s="270"/>
      <c r="C397" s="371" t="str">
        <f>IF(ISNA(VLOOKUP(B397,Pricelist!A:D,2,FALSE)),"",VLOOKUP(B397,Pricelist!A:D,2,FALSE))</f>
        <v/>
      </c>
      <c r="D397" s="159" t="str">
        <f>IF(ISNA(VLOOKUP(B397,Pricelist!A:D,2,FALSE)),"",VLOOKUP(B397,Pricelist!A:D,4,FALSE))</f>
        <v/>
      </c>
      <c r="E397" s="160"/>
    </row>
    <row r="398" spans="2:5" ht="12" customHeight="1">
      <c r="B398" s="270"/>
      <c r="C398" s="371" t="str">
        <f>IF(ISNA(VLOOKUP(B398,Pricelist!A:D,2,FALSE)),"",VLOOKUP(B398,Pricelist!A:D,2,FALSE))</f>
        <v/>
      </c>
      <c r="D398" s="159" t="str">
        <f>IF(ISNA(VLOOKUP(B398,Pricelist!A:D,2,FALSE)),"",VLOOKUP(B398,Pricelist!A:D,4,FALSE))</f>
        <v/>
      </c>
      <c r="E398" s="160"/>
    </row>
    <row r="399" spans="2:5" ht="12" customHeight="1">
      <c r="B399" s="270"/>
      <c r="C399" s="371" t="str">
        <f>IF(ISNA(VLOOKUP(B399,Pricelist!A:D,2,FALSE)),"",VLOOKUP(B399,Pricelist!A:D,2,FALSE))</f>
        <v/>
      </c>
      <c r="D399" s="159" t="str">
        <f>IF(ISNA(VLOOKUP(B399,Pricelist!A:D,2,FALSE)),"",VLOOKUP(B399,Pricelist!A:D,4,FALSE))</f>
        <v/>
      </c>
      <c r="E399" s="160"/>
    </row>
    <row r="400" spans="2:5" ht="12" customHeight="1">
      <c r="B400" s="270"/>
      <c r="C400" s="371" t="str">
        <f>IF(ISNA(VLOOKUP(B400,Pricelist!A:D,2,FALSE)),"",VLOOKUP(B400,Pricelist!A:D,2,FALSE))</f>
        <v/>
      </c>
      <c r="D400" s="159" t="str">
        <f>IF(ISNA(VLOOKUP(B400,Pricelist!A:D,2,FALSE)),"",VLOOKUP(B400,Pricelist!A:D,4,FALSE))</f>
        <v/>
      </c>
      <c r="E400" s="160"/>
    </row>
    <row r="401" spans="2:5" ht="12" customHeight="1">
      <c r="B401" s="270"/>
      <c r="C401" s="371" t="str">
        <f>IF(ISNA(VLOOKUP(B401,Pricelist!A:D,2,FALSE)),"",VLOOKUP(B401,Pricelist!A:D,2,FALSE))</f>
        <v/>
      </c>
      <c r="D401" s="159" t="str">
        <f>IF(ISNA(VLOOKUP(B401,Pricelist!A:D,2,FALSE)),"",VLOOKUP(B401,Pricelist!A:D,4,FALSE))</f>
        <v/>
      </c>
      <c r="E401" s="160"/>
    </row>
    <row r="402" spans="2:5" ht="12" customHeight="1">
      <c r="B402" s="270"/>
      <c r="C402" s="371" t="str">
        <f>IF(ISNA(VLOOKUP(B402,Pricelist!A:D,2,FALSE)),"",VLOOKUP(B402,Pricelist!A:D,2,FALSE))</f>
        <v/>
      </c>
      <c r="D402" s="159" t="str">
        <f>IF(ISNA(VLOOKUP(B402,Pricelist!A:D,2,FALSE)),"",VLOOKUP(B402,Pricelist!A:D,4,FALSE))</f>
        <v/>
      </c>
      <c r="E402" s="160"/>
    </row>
    <row r="403" spans="2:5" ht="12" customHeight="1">
      <c r="B403" s="270"/>
      <c r="C403" s="371" t="str">
        <f>IF(ISNA(VLOOKUP(B403,Pricelist!A:D,2,FALSE)),"",VLOOKUP(B403,Pricelist!A:D,2,FALSE))</f>
        <v/>
      </c>
      <c r="D403" s="159" t="str">
        <f>IF(ISNA(VLOOKUP(B403,Pricelist!A:D,2,FALSE)),"",VLOOKUP(B403,Pricelist!A:D,4,FALSE))</f>
        <v/>
      </c>
      <c r="E403" s="160"/>
    </row>
    <row r="404" spans="2:5" ht="12" customHeight="1">
      <c r="B404" s="270"/>
      <c r="C404" s="371" t="str">
        <f>IF(ISNA(VLOOKUP(B404,Pricelist!A:D,2,FALSE)),"",VLOOKUP(B404,Pricelist!A:D,2,FALSE))</f>
        <v/>
      </c>
      <c r="D404" s="159" t="str">
        <f>IF(ISNA(VLOOKUP(B404,Pricelist!A:D,2,FALSE)),"",VLOOKUP(B404,Pricelist!A:D,4,FALSE))</f>
        <v/>
      </c>
      <c r="E404" s="160"/>
    </row>
    <row r="405" spans="2:5" ht="12" customHeight="1">
      <c r="B405" s="270"/>
      <c r="C405" s="371" t="str">
        <f>IF(ISNA(VLOOKUP(B405,Pricelist!A:D,2,FALSE)),"",VLOOKUP(B405,Pricelist!A:D,2,FALSE))</f>
        <v/>
      </c>
      <c r="D405" s="159" t="str">
        <f>IF(ISNA(VLOOKUP(B405,Pricelist!A:D,2,FALSE)),"",VLOOKUP(B405,Pricelist!A:D,4,FALSE))</f>
        <v/>
      </c>
      <c r="E405" s="160"/>
    </row>
    <row r="406" spans="2:5" ht="12" customHeight="1">
      <c r="B406" s="270"/>
      <c r="C406" s="371" t="str">
        <f>IF(ISNA(VLOOKUP(B406,Pricelist!A:D,2,FALSE)),"",VLOOKUP(B406,Pricelist!A:D,2,FALSE))</f>
        <v/>
      </c>
      <c r="D406" s="159" t="str">
        <f>IF(ISNA(VLOOKUP(B406,Pricelist!A:D,2,FALSE)),"",VLOOKUP(B406,Pricelist!A:D,4,FALSE))</f>
        <v/>
      </c>
      <c r="E406" s="160"/>
    </row>
    <row r="407" spans="2:5" ht="12" customHeight="1">
      <c r="B407" s="270"/>
      <c r="C407" s="371" t="str">
        <f>IF(ISNA(VLOOKUP(B407,Pricelist!A:D,2,FALSE)),"",VLOOKUP(B407,Pricelist!A:D,2,FALSE))</f>
        <v/>
      </c>
      <c r="D407" s="159" t="str">
        <f>IF(ISNA(VLOOKUP(B407,Pricelist!A:D,2,FALSE)),"",VLOOKUP(B407,Pricelist!A:D,4,FALSE))</f>
        <v/>
      </c>
      <c r="E407" s="160"/>
    </row>
    <row r="408" spans="2:5" ht="12" customHeight="1">
      <c r="B408" s="270"/>
      <c r="C408" s="371" t="str">
        <f>IF(ISNA(VLOOKUP(B408,Pricelist!A:D,2,FALSE)),"",VLOOKUP(B408,Pricelist!A:D,2,FALSE))</f>
        <v/>
      </c>
      <c r="D408" s="159" t="str">
        <f>IF(ISNA(VLOOKUP(B408,Pricelist!A:D,2,FALSE)),"",VLOOKUP(B408,Pricelist!A:D,4,FALSE))</f>
        <v/>
      </c>
      <c r="E408" s="160"/>
    </row>
    <row r="409" spans="2:5" ht="12" customHeight="1">
      <c r="B409" s="270"/>
      <c r="C409" s="371" t="str">
        <f>IF(ISNA(VLOOKUP(B409,Pricelist!A:D,2,FALSE)),"",VLOOKUP(B409,Pricelist!A:D,2,FALSE))</f>
        <v/>
      </c>
      <c r="D409" s="159" t="str">
        <f>IF(ISNA(VLOOKUP(B409,Pricelist!A:D,2,FALSE)),"",VLOOKUP(B409,Pricelist!A:D,4,FALSE))</f>
        <v/>
      </c>
      <c r="E409" s="160"/>
    </row>
    <row r="410" spans="2:5" ht="12" customHeight="1">
      <c r="B410" s="270"/>
      <c r="C410" s="371" t="str">
        <f>IF(ISNA(VLOOKUP(B410,Pricelist!A:D,2,FALSE)),"",VLOOKUP(B410,Pricelist!A:D,2,FALSE))</f>
        <v/>
      </c>
      <c r="D410" s="159" t="str">
        <f>IF(ISNA(VLOOKUP(B410,Pricelist!A:D,2,FALSE)),"",VLOOKUP(B410,Pricelist!A:D,4,FALSE))</f>
        <v/>
      </c>
      <c r="E410" s="160"/>
    </row>
    <row r="411" spans="2:5" ht="12" customHeight="1">
      <c r="B411" s="270"/>
      <c r="C411" s="371" t="str">
        <f>IF(ISNA(VLOOKUP(B411,Pricelist!A:D,2,FALSE)),"",VLOOKUP(B411,Pricelist!A:D,2,FALSE))</f>
        <v/>
      </c>
      <c r="D411" s="159" t="str">
        <f>IF(ISNA(VLOOKUP(B411,Pricelist!A:D,2,FALSE)),"",VLOOKUP(B411,Pricelist!A:D,4,FALSE))</f>
        <v/>
      </c>
      <c r="E411" s="160"/>
    </row>
    <row r="412" spans="2:5" ht="12" customHeight="1">
      <c r="B412" s="270"/>
      <c r="C412" s="371" t="str">
        <f>IF(ISNA(VLOOKUP(B412,Pricelist!A:D,2,FALSE)),"",VLOOKUP(B412,Pricelist!A:D,2,FALSE))</f>
        <v/>
      </c>
      <c r="D412" s="159" t="str">
        <f>IF(ISNA(VLOOKUP(B412,Pricelist!A:D,2,FALSE)),"",VLOOKUP(B412,Pricelist!A:D,4,FALSE))</f>
        <v/>
      </c>
      <c r="E412" s="160"/>
    </row>
    <row r="413" spans="2:5" ht="12" customHeight="1">
      <c r="B413" s="270"/>
      <c r="C413" s="371" t="str">
        <f>IF(ISNA(VLOOKUP(B413,Pricelist!A:D,2,FALSE)),"",VLOOKUP(B413,Pricelist!A:D,2,FALSE))</f>
        <v/>
      </c>
      <c r="D413" s="159" t="str">
        <f>IF(ISNA(VLOOKUP(B413,Pricelist!A:D,2,FALSE)),"",VLOOKUP(B413,Pricelist!A:D,4,FALSE))</f>
        <v/>
      </c>
      <c r="E413" s="160"/>
    </row>
    <row r="414" spans="2:5" ht="12" customHeight="1">
      <c r="B414" s="270"/>
      <c r="C414" s="371" t="str">
        <f>IF(ISNA(VLOOKUP(B414,Pricelist!A:D,2,FALSE)),"",VLOOKUP(B414,Pricelist!A:D,2,FALSE))</f>
        <v/>
      </c>
      <c r="D414" s="159" t="str">
        <f>IF(ISNA(VLOOKUP(B414,Pricelist!A:D,2,FALSE)),"",VLOOKUP(B414,Pricelist!A:D,4,FALSE))</f>
        <v/>
      </c>
      <c r="E414" s="160"/>
    </row>
    <row r="415" spans="2:5" ht="12" customHeight="1">
      <c r="B415" s="270"/>
      <c r="C415" s="371" t="str">
        <f>IF(ISNA(VLOOKUP(B415,Pricelist!A:D,2,FALSE)),"",VLOOKUP(B415,Pricelist!A:D,2,FALSE))</f>
        <v/>
      </c>
      <c r="D415" s="159" t="str">
        <f>IF(ISNA(VLOOKUP(B415,Pricelist!A:D,2,FALSE)),"",VLOOKUP(B415,Pricelist!A:D,4,FALSE))</f>
        <v/>
      </c>
      <c r="E415" s="160"/>
    </row>
    <row r="416" spans="2:5" ht="12" customHeight="1">
      <c r="B416" s="270"/>
      <c r="C416" s="371" t="str">
        <f>IF(ISNA(VLOOKUP(B416,Pricelist!A:D,2,FALSE)),"",VLOOKUP(B416,Pricelist!A:D,2,FALSE))</f>
        <v/>
      </c>
      <c r="D416" s="159" t="str">
        <f>IF(ISNA(VLOOKUP(B416,Pricelist!A:D,2,FALSE)),"",VLOOKUP(B416,Pricelist!A:D,4,FALSE))</f>
        <v/>
      </c>
      <c r="E416" s="160"/>
    </row>
    <row r="417" spans="1:5" ht="12" customHeight="1">
      <c r="B417" s="270"/>
      <c r="C417" s="371" t="str">
        <f>IF(ISNA(VLOOKUP(B417,Pricelist!A:D,2,FALSE)),"",VLOOKUP(B417,Pricelist!A:D,2,FALSE))</f>
        <v/>
      </c>
      <c r="D417" s="159" t="str">
        <f>IF(ISNA(VLOOKUP(B417,Pricelist!A:D,2,FALSE)),"",VLOOKUP(B417,Pricelist!A:D,4,FALSE))</f>
        <v/>
      </c>
      <c r="E417" s="160"/>
    </row>
    <row r="418" spans="1:5" ht="12" customHeight="1">
      <c r="A418" s="158" t="s">
        <v>572</v>
      </c>
      <c r="B418" s="270"/>
      <c r="C418" s="371" t="str">
        <f>IF(ISNA(VLOOKUP(B418,Pricelist!A:D,2,FALSE)),"",VLOOKUP(B418,Pricelist!A:D,2,FALSE))</f>
        <v/>
      </c>
      <c r="D418" s="159" t="str">
        <f>IF(ISNA(VLOOKUP(B418,Pricelist!A:D,2,FALSE)),"",VLOOKUP(B418,Pricelist!A:D,4,FALSE))</f>
        <v/>
      </c>
      <c r="E418" s="160"/>
    </row>
    <row r="419" spans="1:5" ht="12" customHeight="1">
      <c r="A419" s="158">
        <f>COUNTA(B418:B493)</f>
        <v>0</v>
      </c>
      <c r="B419" s="270"/>
      <c r="C419" s="371" t="str">
        <f>IF(ISNA(VLOOKUP(B419,Pricelist!A:D,2,FALSE)),"",VLOOKUP(B419,Pricelist!A:D,2,FALSE))</f>
        <v/>
      </c>
      <c r="D419" s="159" t="str">
        <f>IF(ISNA(VLOOKUP(B419,Pricelist!A:D,2,FALSE)),"",VLOOKUP(B419,Pricelist!A:D,4,FALSE))</f>
        <v/>
      </c>
      <c r="E419" s="160"/>
    </row>
    <row r="420" spans="1:5" ht="12" customHeight="1">
      <c r="B420" s="270"/>
      <c r="C420" s="371" t="str">
        <f>IF(ISNA(VLOOKUP(B420,Pricelist!A:D,2,FALSE)),"",VLOOKUP(B420,Pricelist!A:D,2,FALSE))</f>
        <v/>
      </c>
      <c r="D420" s="159" t="str">
        <f>IF(ISNA(VLOOKUP(B420,Pricelist!A:D,2,FALSE)),"",VLOOKUP(B420,Pricelist!A:D,4,FALSE))</f>
        <v/>
      </c>
      <c r="E420" s="160"/>
    </row>
    <row r="421" spans="1:5" ht="12" customHeight="1">
      <c r="B421" s="270"/>
      <c r="C421" s="371" t="str">
        <f>IF(ISNA(VLOOKUP(B421,Pricelist!A:D,2,FALSE)),"",VLOOKUP(B421,Pricelist!A:D,2,FALSE))</f>
        <v/>
      </c>
      <c r="D421" s="159" t="str">
        <f>IF(ISNA(VLOOKUP(B421,Pricelist!A:D,2,FALSE)),"",VLOOKUP(B421,Pricelist!A:D,4,FALSE))</f>
        <v/>
      </c>
      <c r="E421" s="160"/>
    </row>
    <row r="422" spans="1:5" ht="12" customHeight="1">
      <c r="B422" s="270"/>
      <c r="C422" s="371" t="str">
        <f>IF(ISNA(VLOOKUP(B422,Pricelist!A:D,2,FALSE)),"",VLOOKUP(B422,Pricelist!A:D,2,FALSE))</f>
        <v/>
      </c>
      <c r="D422" s="159" t="str">
        <f>IF(ISNA(VLOOKUP(B422,Pricelist!A:D,2,FALSE)),"",VLOOKUP(B422,Pricelist!A:D,4,FALSE))</f>
        <v/>
      </c>
      <c r="E422" s="160"/>
    </row>
    <row r="423" spans="1:5" ht="12" customHeight="1">
      <c r="B423" s="270"/>
      <c r="C423" s="371" t="str">
        <f>IF(ISNA(VLOOKUP(B423,Pricelist!A:D,2,FALSE)),"",VLOOKUP(B423,Pricelist!A:D,2,FALSE))</f>
        <v/>
      </c>
      <c r="D423" s="159" t="str">
        <f>IF(ISNA(VLOOKUP(B423,Pricelist!A:D,2,FALSE)),"",VLOOKUP(B423,Pricelist!A:D,4,FALSE))</f>
        <v/>
      </c>
      <c r="E423" s="160"/>
    </row>
    <row r="424" spans="1:5" ht="12" customHeight="1">
      <c r="B424" s="270"/>
      <c r="C424" s="371" t="str">
        <f>IF(ISNA(VLOOKUP(B424,Pricelist!A:D,2,FALSE)),"",VLOOKUP(B424,Pricelist!A:D,2,FALSE))</f>
        <v/>
      </c>
      <c r="D424" s="159" t="str">
        <f>IF(ISNA(VLOOKUP(B424,Pricelist!A:D,2,FALSE)),"",VLOOKUP(B424,Pricelist!A:D,4,FALSE))</f>
        <v/>
      </c>
      <c r="E424" s="160"/>
    </row>
    <row r="425" spans="1:5" ht="12" customHeight="1">
      <c r="B425" s="270"/>
      <c r="C425" s="371" t="str">
        <f>IF(ISNA(VLOOKUP(B425,Pricelist!A:D,2,FALSE)),"",VLOOKUP(B425,Pricelist!A:D,2,FALSE))</f>
        <v/>
      </c>
      <c r="D425" s="159" t="str">
        <f>IF(ISNA(VLOOKUP(B425,Pricelist!A:D,2,FALSE)),"",VLOOKUP(B425,Pricelist!A:D,4,FALSE))</f>
        <v/>
      </c>
      <c r="E425" s="160"/>
    </row>
    <row r="426" spans="1:5" ht="12" customHeight="1">
      <c r="B426" s="270"/>
      <c r="C426" s="371" t="str">
        <f>IF(ISNA(VLOOKUP(B426,Pricelist!A:D,2,FALSE)),"",VLOOKUP(B426,Pricelist!A:D,2,FALSE))</f>
        <v/>
      </c>
      <c r="D426" s="159" t="str">
        <f>IF(ISNA(VLOOKUP(B426,Pricelist!A:D,2,FALSE)),"",VLOOKUP(B426,Pricelist!A:D,4,FALSE))</f>
        <v/>
      </c>
      <c r="E426" s="160"/>
    </row>
    <row r="427" spans="1:5" ht="12" customHeight="1">
      <c r="B427" s="270"/>
      <c r="C427" s="371" t="str">
        <f>IF(ISNA(VLOOKUP(B427,Pricelist!A:D,2,FALSE)),"",VLOOKUP(B427,Pricelist!A:D,2,FALSE))</f>
        <v/>
      </c>
      <c r="D427" s="159" t="str">
        <f>IF(ISNA(VLOOKUP(B427,Pricelist!A:D,2,FALSE)),"",VLOOKUP(B427,Pricelist!A:D,4,FALSE))</f>
        <v/>
      </c>
      <c r="E427" s="160"/>
    </row>
    <row r="428" spans="1:5" ht="12" customHeight="1">
      <c r="B428" s="270"/>
      <c r="C428" s="371" t="str">
        <f>IF(ISNA(VLOOKUP(B428,Pricelist!A:D,2,FALSE)),"",VLOOKUP(B428,Pricelist!A:D,2,FALSE))</f>
        <v/>
      </c>
      <c r="D428" s="159" t="str">
        <f>IF(ISNA(VLOOKUP(B428,Pricelist!A:D,2,FALSE)),"",VLOOKUP(B428,Pricelist!A:D,4,FALSE))</f>
        <v/>
      </c>
      <c r="E428" s="160"/>
    </row>
    <row r="429" spans="1:5" ht="12" customHeight="1">
      <c r="B429" s="270"/>
      <c r="C429" s="371" t="str">
        <f>IF(ISNA(VLOOKUP(B429,Pricelist!A:D,2,FALSE)),"",VLOOKUP(B429,Pricelist!A:D,2,FALSE))</f>
        <v/>
      </c>
      <c r="D429" s="159" t="str">
        <f>IF(ISNA(VLOOKUP(B429,Pricelist!A:D,2,FALSE)),"",VLOOKUP(B429,Pricelist!A:D,4,FALSE))</f>
        <v/>
      </c>
      <c r="E429" s="160"/>
    </row>
    <row r="430" spans="1:5" ht="12" customHeight="1">
      <c r="B430" s="270"/>
      <c r="C430" s="371" t="str">
        <f>IF(ISNA(VLOOKUP(B430,Pricelist!A:D,2,FALSE)),"",VLOOKUP(B430,Pricelist!A:D,2,FALSE))</f>
        <v/>
      </c>
      <c r="D430" s="159" t="str">
        <f>IF(ISNA(VLOOKUP(B430,Pricelist!A:D,2,FALSE)),"",VLOOKUP(B430,Pricelist!A:D,4,FALSE))</f>
        <v/>
      </c>
      <c r="E430" s="160"/>
    </row>
    <row r="431" spans="1:5" ht="12" customHeight="1">
      <c r="B431" s="270"/>
      <c r="C431" s="371" t="str">
        <f>IF(ISNA(VLOOKUP(B431,Pricelist!A:D,2,FALSE)),"",VLOOKUP(B431,Pricelist!A:D,2,FALSE))</f>
        <v/>
      </c>
      <c r="D431" s="159" t="str">
        <f>IF(ISNA(VLOOKUP(B431,Pricelist!A:D,2,FALSE)),"",VLOOKUP(B431,Pricelist!A:D,4,FALSE))</f>
        <v/>
      </c>
      <c r="E431" s="160"/>
    </row>
    <row r="432" spans="1:5" ht="12" customHeight="1">
      <c r="B432" s="270"/>
      <c r="C432" s="371" t="str">
        <f>IF(ISNA(VLOOKUP(B432,Pricelist!A:D,2,FALSE)),"",VLOOKUP(B432,Pricelist!A:D,2,FALSE))</f>
        <v/>
      </c>
      <c r="D432" s="159" t="str">
        <f>IF(ISNA(VLOOKUP(B432,Pricelist!A:D,2,FALSE)),"",VLOOKUP(B432,Pricelist!A:D,4,FALSE))</f>
        <v/>
      </c>
      <c r="E432" s="160"/>
    </row>
    <row r="433" spans="2:5" ht="12" customHeight="1">
      <c r="B433" s="270"/>
      <c r="C433" s="371" t="str">
        <f>IF(ISNA(VLOOKUP(B433,Pricelist!A:D,2,FALSE)),"",VLOOKUP(B433,Pricelist!A:D,2,FALSE))</f>
        <v/>
      </c>
      <c r="D433" s="159" t="str">
        <f>IF(ISNA(VLOOKUP(B433,Pricelist!A:D,2,FALSE)),"",VLOOKUP(B433,Pricelist!A:D,4,FALSE))</f>
        <v/>
      </c>
      <c r="E433" s="160"/>
    </row>
    <row r="434" spans="2:5" ht="12" customHeight="1">
      <c r="B434" s="270"/>
      <c r="C434" s="371" t="str">
        <f>IF(ISNA(VLOOKUP(B434,Pricelist!A:D,2,FALSE)),"",VLOOKUP(B434,Pricelist!A:D,2,FALSE))</f>
        <v/>
      </c>
      <c r="D434" s="159" t="str">
        <f>IF(ISNA(VLOOKUP(B434,Pricelist!A:D,2,FALSE)),"",VLOOKUP(B434,Pricelist!A:D,4,FALSE))</f>
        <v/>
      </c>
      <c r="E434" s="160"/>
    </row>
    <row r="435" spans="2:5" ht="12" customHeight="1">
      <c r="B435" s="270"/>
      <c r="C435" s="371" t="str">
        <f>IF(ISNA(VLOOKUP(B435,Pricelist!A:D,2,FALSE)),"",VLOOKUP(B435,Pricelist!A:D,2,FALSE))</f>
        <v/>
      </c>
      <c r="D435" s="159" t="str">
        <f>IF(ISNA(VLOOKUP(B435,Pricelist!A:D,2,FALSE)),"",VLOOKUP(B435,Pricelist!A:D,4,FALSE))</f>
        <v/>
      </c>
      <c r="E435" s="160"/>
    </row>
    <row r="436" spans="2:5" ht="12" customHeight="1">
      <c r="B436" s="270"/>
      <c r="C436" s="371" t="str">
        <f>IF(ISNA(VLOOKUP(B436,Pricelist!A:D,2,FALSE)),"",VLOOKUP(B436,Pricelist!A:D,2,FALSE))</f>
        <v/>
      </c>
      <c r="D436" s="159" t="str">
        <f>IF(ISNA(VLOOKUP(B436,Pricelist!A:D,2,FALSE)),"",VLOOKUP(B436,Pricelist!A:D,4,FALSE))</f>
        <v/>
      </c>
      <c r="E436" s="160"/>
    </row>
    <row r="437" spans="2:5" ht="12" customHeight="1">
      <c r="B437" s="270"/>
      <c r="C437" s="371" t="str">
        <f>IF(ISNA(VLOOKUP(B437,Pricelist!A:D,2,FALSE)),"",VLOOKUP(B437,Pricelist!A:D,2,FALSE))</f>
        <v/>
      </c>
      <c r="D437" s="159" t="str">
        <f>IF(ISNA(VLOOKUP(B437,Pricelist!A:D,2,FALSE)),"",VLOOKUP(B437,Pricelist!A:D,4,FALSE))</f>
        <v/>
      </c>
      <c r="E437" s="160"/>
    </row>
    <row r="438" spans="2:5" ht="12" customHeight="1">
      <c r="B438" s="270"/>
      <c r="C438" s="371" t="str">
        <f>IF(ISNA(VLOOKUP(B438,Pricelist!A:D,2,FALSE)),"",VLOOKUP(B438,Pricelist!A:D,2,FALSE))</f>
        <v/>
      </c>
      <c r="D438" s="159" t="str">
        <f>IF(ISNA(VLOOKUP(B438,Pricelist!A:D,2,FALSE)),"",VLOOKUP(B438,Pricelist!A:D,4,FALSE))</f>
        <v/>
      </c>
      <c r="E438" s="160"/>
    </row>
    <row r="439" spans="2:5" ht="12" customHeight="1">
      <c r="B439" s="270"/>
      <c r="C439" s="371" t="str">
        <f>IF(ISNA(VLOOKUP(B439,Pricelist!A:D,2,FALSE)),"",VLOOKUP(B439,Pricelist!A:D,2,FALSE))</f>
        <v/>
      </c>
      <c r="D439" s="159" t="str">
        <f>IF(ISNA(VLOOKUP(B439,Pricelist!A:D,2,FALSE)),"",VLOOKUP(B439,Pricelist!A:D,4,FALSE))</f>
        <v/>
      </c>
      <c r="E439" s="160"/>
    </row>
    <row r="440" spans="2:5" ht="12" customHeight="1">
      <c r="B440" s="270"/>
      <c r="C440" s="371" t="str">
        <f>IF(ISNA(VLOOKUP(B440,Pricelist!A:D,2,FALSE)),"",VLOOKUP(B440,Pricelist!A:D,2,FALSE))</f>
        <v/>
      </c>
      <c r="D440" s="159" t="str">
        <f>IF(ISNA(VLOOKUP(B440,Pricelist!A:D,2,FALSE)),"",VLOOKUP(B440,Pricelist!A:D,4,FALSE))</f>
        <v/>
      </c>
      <c r="E440" s="160"/>
    </row>
    <row r="441" spans="2:5" ht="12" customHeight="1">
      <c r="B441" s="270"/>
      <c r="C441" s="371" t="str">
        <f>IF(ISNA(VLOOKUP(B441,Pricelist!A:D,2,FALSE)),"",VLOOKUP(B441,Pricelist!A:D,2,FALSE))</f>
        <v/>
      </c>
      <c r="D441" s="159" t="str">
        <f>IF(ISNA(VLOOKUP(B441,Pricelist!A:D,2,FALSE)),"",VLOOKUP(B441,Pricelist!A:D,4,FALSE))</f>
        <v/>
      </c>
      <c r="E441" s="160"/>
    </row>
    <row r="442" spans="2:5" ht="12" customHeight="1">
      <c r="B442" s="270"/>
      <c r="C442" s="371" t="str">
        <f>IF(ISNA(VLOOKUP(B442,Pricelist!A:D,2,FALSE)),"",VLOOKUP(B442,Pricelist!A:D,2,FALSE))</f>
        <v/>
      </c>
      <c r="D442" s="159" t="str">
        <f>IF(ISNA(VLOOKUP(B442,Pricelist!A:D,2,FALSE)),"",VLOOKUP(B442,Pricelist!A:D,4,FALSE))</f>
        <v/>
      </c>
      <c r="E442" s="160"/>
    </row>
    <row r="443" spans="2:5" ht="12" customHeight="1">
      <c r="B443" s="270"/>
      <c r="C443" s="371" t="str">
        <f>IF(ISNA(VLOOKUP(B443,Pricelist!A:D,2,FALSE)),"",VLOOKUP(B443,Pricelist!A:D,2,FALSE))</f>
        <v/>
      </c>
      <c r="D443" s="159" t="str">
        <f>IF(ISNA(VLOOKUP(B443,Pricelist!A:D,2,FALSE)),"",VLOOKUP(B443,Pricelist!A:D,4,FALSE))</f>
        <v/>
      </c>
      <c r="E443" s="160"/>
    </row>
    <row r="444" spans="2:5" ht="12" customHeight="1">
      <c r="B444" s="270"/>
      <c r="C444" s="371" t="str">
        <f>IF(ISNA(VLOOKUP(B444,Pricelist!A:D,2,FALSE)),"",VLOOKUP(B444,Pricelist!A:D,2,FALSE))</f>
        <v/>
      </c>
      <c r="D444" s="159" t="str">
        <f>IF(ISNA(VLOOKUP(B444,Pricelist!A:D,2,FALSE)),"",VLOOKUP(B444,Pricelist!A:D,4,FALSE))</f>
        <v/>
      </c>
      <c r="E444" s="160"/>
    </row>
    <row r="445" spans="2:5" ht="12" customHeight="1">
      <c r="B445" s="270"/>
      <c r="C445" s="371" t="str">
        <f>IF(ISNA(VLOOKUP(B445,Pricelist!A:D,2,FALSE)),"",VLOOKUP(B445,Pricelist!A:D,2,FALSE))</f>
        <v/>
      </c>
      <c r="D445" s="159" t="str">
        <f>IF(ISNA(VLOOKUP(B445,Pricelist!A:D,2,FALSE)),"",VLOOKUP(B445,Pricelist!A:D,4,FALSE))</f>
        <v/>
      </c>
      <c r="E445" s="160"/>
    </row>
    <row r="446" spans="2:5" ht="12" customHeight="1">
      <c r="B446" s="270"/>
      <c r="C446" s="371" t="str">
        <f>IF(ISNA(VLOOKUP(B446,Pricelist!A:D,2,FALSE)),"",VLOOKUP(B446,Pricelist!A:D,2,FALSE))</f>
        <v/>
      </c>
      <c r="D446" s="159" t="str">
        <f>IF(ISNA(VLOOKUP(B446,Pricelist!A:D,2,FALSE)),"",VLOOKUP(B446,Pricelist!A:D,4,FALSE))</f>
        <v/>
      </c>
      <c r="E446" s="160"/>
    </row>
    <row r="447" spans="2:5" ht="12" customHeight="1">
      <c r="B447" s="270"/>
      <c r="C447" s="371" t="str">
        <f>IF(ISNA(VLOOKUP(B447,Pricelist!A:D,2,FALSE)),"",VLOOKUP(B447,Pricelist!A:D,2,FALSE))</f>
        <v/>
      </c>
      <c r="D447" s="159" t="str">
        <f>IF(ISNA(VLOOKUP(B447,Pricelist!A:D,2,FALSE)),"",VLOOKUP(B447,Pricelist!A:D,4,FALSE))</f>
        <v/>
      </c>
      <c r="E447" s="160"/>
    </row>
    <row r="448" spans="2:5" ht="12" customHeight="1">
      <c r="B448" s="270"/>
      <c r="C448" s="371" t="str">
        <f>IF(ISNA(VLOOKUP(B448,Pricelist!A:D,2,FALSE)),"",VLOOKUP(B448,Pricelist!A:D,2,FALSE))</f>
        <v/>
      </c>
      <c r="D448" s="159" t="str">
        <f>IF(ISNA(VLOOKUP(B448,Pricelist!A:D,2,FALSE)),"",VLOOKUP(B448,Pricelist!A:D,4,FALSE))</f>
        <v/>
      </c>
      <c r="E448" s="160"/>
    </row>
    <row r="449" spans="2:5" ht="12" customHeight="1">
      <c r="B449" s="270"/>
      <c r="C449" s="371" t="str">
        <f>IF(ISNA(VLOOKUP(B449,Pricelist!A:D,2,FALSE)),"",VLOOKUP(B449,Pricelist!A:D,2,FALSE))</f>
        <v/>
      </c>
      <c r="D449" s="159" t="str">
        <f>IF(ISNA(VLOOKUP(B449,Pricelist!A:D,2,FALSE)),"",VLOOKUP(B449,Pricelist!A:D,4,FALSE))</f>
        <v/>
      </c>
      <c r="E449" s="160"/>
    </row>
    <row r="450" spans="2:5" ht="12" customHeight="1">
      <c r="B450" s="270"/>
      <c r="C450" s="371" t="str">
        <f>IF(ISNA(VLOOKUP(B450,Pricelist!A:D,2,FALSE)),"",VLOOKUP(B450,Pricelist!A:D,2,FALSE))</f>
        <v/>
      </c>
      <c r="D450" s="159" t="str">
        <f>IF(ISNA(VLOOKUP(B450,Pricelist!A:D,2,FALSE)),"",VLOOKUP(B450,Pricelist!A:D,4,FALSE))</f>
        <v/>
      </c>
      <c r="E450" s="160"/>
    </row>
    <row r="451" spans="2:5" ht="12" customHeight="1">
      <c r="B451" s="270"/>
      <c r="C451" s="371" t="str">
        <f>IF(ISNA(VLOOKUP(B451,Pricelist!A:D,2,FALSE)),"",VLOOKUP(B451,Pricelist!A:D,2,FALSE))</f>
        <v/>
      </c>
      <c r="D451" s="159" t="str">
        <f>IF(ISNA(VLOOKUP(B451,Pricelist!A:D,2,FALSE)),"",VLOOKUP(B451,Pricelist!A:D,4,FALSE))</f>
        <v/>
      </c>
      <c r="E451" s="160"/>
    </row>
    <row r="452" spans="2:5" ht="12" customHeight="1">
      <c r="B452" s="270"/>
      <c r="C452" s="371" t="str">
        <f>IF(ISNA(VLOOKUP(B452,Pricelist!A:D,2,FALSE)),"",VLOOKUP(B452,Pricelist!A:D,2,FALSE))</f>
        <v/>
      </c>
      <c r="D452" s="159" t="str">
        <f>IF(ISNA(VLOOKUP(B452,Pricelist!A:D,2,FALSE)),"",VLOOKUP(B452,Pricelist!A:D,4,FALSE))</f>
        <v/>
      </c>
      <c r="E452" s="160"/>
    </row>
    <row r="453" spans="2:5" ht="12" customHeight="1">
      <c r="B453" s="270"/>
      <c r="C453" s="371" t="str">
        <f>IF(ISNA(VLOOKUP(B453,Pricelist!A:D,2,FALSE)),"",VLOOKUP(B453,Pricelist!A:D,2,FALSE))</f>
        <v/>
      </c>
      <c r="D453" s="159" t="str">
        <f>IF(ISNA(VLOOKUP(B453,Pricelist!A:D,2,FALSE)),"",VLOOKUP(B453,Pricelist!A:D,4,FALSE))</f>
        <v/>
      </c>
      <c r="E453" s="160"/>
    </row>
    <row r="454" spans="2:5" ht="12" customHeight="1">
      <c r="B454" s="270"/>
      <c r="C454" s="371" t="str">
        <f>IF(ISNA(VLOOKUP(B454,Pricelist!A:D,2,FALSE)),"",VLOOKUP(B454,Pricelist!A:D,2,FALSE))</f>
        <v/>
      </c>
      <c r="D454" s="159" t="str">
        <f>IF(ISNA(VLOOKUP(B454,Pricelist!A:D,2,FALSE)),"",VLOOKUP(B454,Pricelist!A:D,4,FALSE))</f>
        <v/>
      </c>
      <c r="E454" s="160"/>
    </row>
    <row r="455" spans="2:5" ht="12" customHeight="1">
      <c r="B455" s="270"/>
      <c r="C455" s="371" t="str">
        <f>IF(ISNA(VLOOKUP(B455,Pricelist!A:D,2,FALSE)),"",VLOOKUP(B455,Pricelist!A:D,2,FALSE))</f>
        <v/>
      </c>
      <c r="D455" s="159" t="str">
        <f>IF(ISNA(VLOOKUP(B455,Pricelist!A:D,2,FALSE)),"",VLOOKUP(B455,Pricelist!A:D,4,FALSE))</f>
        <v/>
      </c>
      <c r="E455" s="160"/>
    </row>
    <row r="456" spans="2:5" ht="12" customHeight="1">
      <c r="B456" s="270"/>
      <c r="C456" s="371" t="str">
        <f>IF(ISNA(VLOOKUP(B456,Pricelist!A:D,2,FALSE)),"",VLOOKUP(B456,Pricelist!A:D,2,FALSE))</f>
        <v/>
      </c>
      <c r="D456" s="159" t="str">
        <f>IF(ISNA(VLOOKUP(B456,Pricelist!A:D,2,FALSE)),"",VLOOKUP(B456,Pricelist!A:D,4,FALSE))</f>
        <v/>
      </c>
      <c r="E456" s="160"/>
    </row>
    <row r="457" spans="2:5" ht="12" customHeight="1">
      <c r="B457" s="270"/>
      <c r="C457" s="371" t="str">
        <f>IF(ISNA(VLOOKUP(B457,Pricelist!A:D,2,FALSE)),"",VLOOKUP(B457,Pricelist!A:D,2,FALSE))</f>
        <v/>
      </c>
      <c r="D457" s="159" t="str">
        <f>IF(ISNA(VLOOKUP(B457,Pricelist!A:D,2,FALSE)),"",VLOOKUP(B457,Pricelist!A:D,4,FALSE))</f>
        <v/>
      </c>
      <c r="E457" s="160"/>
    </row>
    <row r="458" spans="2:5" ht="12" customHeight="1">
      <c r="B458" s="270"/>
      <c r="C458" s="371" t="str">
        <f>IF(ISNA(VLOOKUP(B458,Pricelist!A:D,2,FALSE)),"",VLOOKUP(B458,Pricelist!A:D,2,FALSE))</f>
        <v/>
      </c>
      <c r="D458" s="159" t="str">
        <f>IF(ISNA(VLOOKUP(B458,Pricelist!A:D,2,FALSE)),"",VLOOKUP(B458,Pricelist!A:D,4,FALSE))</f>
        <v/>
      </c>
      <c r="E458" s="160"/>
    </row>
    <row r="459" spans="2:5" ht="12" customHeight="1">
      <c r="B459" s="270"/>
      <c r="C459" s="371" t="str">
        <f>IF(ISNA(VLOOKUP(B459,Pricelist!A:D,2,FALSE)),"",VLOOKUP(B459,Pricelist!A:D,2,FALSE))</f>
        <v/>
      </c>
      <c r="D459" s="159" t="str">
        <f>IF(ISNA(VLOOKUP(B459,Pricelist!A:D,2,FALSE)),"",VLOOKUP(B459,Pricelist!A:D,4,FALSE))</f>
        <v/>
      </c>
      <c r="E459" s="160"/>
    </row>
    <row r="460" spans="2:5" ht="12" customHeight="1">
      <c r="B460" s="270"/>
      <c r="C460" s="371" t="str">
        <f>IF(ISNA(VLOOKUP(B460,Pricelist!A:D,2,FALSE)),"",VLOOKUP(B460,Pricelist!A:D,2,FALSE))</f>
        <v/>
      </c>
      <c r="D460" s="159" t="str">
        <f>IF(ISNA(VLOOKUP(B460,Pricelist!A:D,2,FALSE)),"",VLOOKUP(B460,Pricelist!A:D,4,FALSE))</f>
        <v/>
      </c>
      <c r="E460" s="160"/>
    </row>
    <row r="461" spans="2:5" ht="12" customHeight="1">
      <c r="B461" s="270"/>
      <c r="C461" s="371" t="str">
        <f>IF(ISNA(VLOOKUP(B461,Pricelist!A:D,2,FALSE)),"",VLOOKUP(B461,Pricelist!A:D,2,FALSE))</f>
        <v/>
      </c>
      <c r="D461" s="159" t="str">
        <f>IF(ISNA(VLOOKUP(B461,Pricelist!A:D,2,FALSE)),"",VLOOKUP(B461,Pricelist!A:D,4,FALSE))</f>
        <v/>
      </c>
      <c r="E461" s="160"/>
    </row>
    <row r="462" spans="2:5" ht="12" customHeight="1">
      <c r="B462" s="270"/>
      <c r="C462" s="371" t="str">
        <f>IF(ISNA(VLOOKUP(B462,Pricelist!A:D,2,FALSE)),"",VLOOKUP(B462,Pricelist!A:D,2,FALSE))</f>
        <v/>
      </c>
      <c r="D462" s="159" t="str">
        <f>IF(ISNA(VLOOKUP(B462,Pricelist!A:D,2,FALSE)),"",VLOOKUP(B462,Pricelist!A:D,4,FALSE))</f>
        <v/>
      </c>
      <c r="E462" s="160"/>
    </row>
    <row r="463" spans="2:5" ht="12" customHeight="1">
      <c r="B463" s="270"/>
      <c r="C463" s="371" t="str">
        <f>IF(ISNA(VLOOKUP(B463,Pricelist!A:D,2,FALSE)),"",VLOOKUP(B463,Pricelist!A:D,2,FALSE))</f>
        <v/>
      </c>
      <c r="D463" s="159" t="str">
        <f>IF(ISNA(VLOOKUP(B463,Pricelist!A:D,2,FALSE)),"",VLOOKUP(B463,Pricelist!A:D,4,FALSE))</f>
        <v/>
      </c>
      <c r="E463" s="160"/>
    </row>
    <row r="464" spans="2:5" ht="12" customHeight="1">
      <c r="B464" s="270"/>
      <c r="C464" s="371" t="str">
        <f>IF(ISNA(VLOOKUP(B464,Pricelist!A:D,2,FALSE)),"",VLOOKUP(B464,Pricelist!A:D,2,FALSE))</f>
        <v/>
      </c>
      <c r="D464" s="159" t="str">
        <f>IF(ISNA(VLOOKUP(B464,Pricelist!A:D,2,FALSE)),"",VLOOKUP(B464,Pricelist!A:D,4,FALSE))</f>
        <v/>
      </c>
      <c r="E464" s="160"/>
    </row>
    <row r="465" spans="2:5" ht="12" customHeight="1">
      <c r="B465" s="270"/>
      <c r="C465" s="371" t="str">
        <f>IF(ISNA(VLOOKUP(B465,Pricelist!A:D,2,FALSE)),"",VLOOKUP(B465,Pricelist!A:D,2,FALSE))</f>
        <v/>
      </c>
      <c r="D465" s="159" t="str">
        <f>IF(ISNA(VLOOKUP(B465,Pricelist!A:D,2,FALSE)),"",VLOOKUP(B465,Pricelist!A:D,4,FALSE))</f>
        <v/>
      </c>
      <c r="E465" s="160"/>
    </row>
    <row r="466" spans="2:5" ht="12" customHeight="1">
      <c r="B466" s="270"/>
      <c r="C466" s="371" t="str">
        <f>IF(ISNA(VLOOKUP(B466,Pricelist!A:D,2,FALSE)),"",VLOOKUP(B466,Pricelist!A:D,2,FALSE))</f>
        <v/>
      </c>
      <c r="D466" s="159" t="str">
        <f>IF(ISNA(VLOOKUP(B466,Pricelist!A:D,2,FALSE)),"",VLOOKUP(B466,Pricelist!A:D,4,FALSE))</f>
        <v/>
      </c>
      <c r="E466" s="160"/>
    </row>
    <row r="467" spans="2:5" ht="12" customHeight="1">
      <c r="B467" s="270"/>
      <c r="C467" s="371" t="str">
        <f>IF(ISNA(VLOOKUP(B467,Pricelist!A:D,2,FALSE)),"",VLOOKUP(B467,Pricelist!A:D,2,FALSE))</f>
        <v/>
      </c>
      <c r="D467" s="159" t="str">
        <f>IF(ISNA(VLOOKUP(B467,Pricelist!A:D,2,FALSE)),"",VLOOKUP(B467,Pricelist!A:D,4,FALSE))</f>
        <v/>
      </c>
      <c r="E467" s="160"/>
    </row>
    <row r="468" spans="2:5" ht="12" customHeight="1">
      <c r="B468" s="270"/>
      <c r="C468" s="371" t="str">
        <f>IF(ISNA(VLOOKUP(B468,Pricelist!A:D,2,FALSE)),"",VLOOKUP(B468,Pricelist!A:D,2,FALSE))</f>
        <v/>
      </c>
      <c r="D468" s="159" t="str">
        <f>IF(ISNA(VLOOKUP(B468,Pricelist!A:D,2,FALSE)),"",VLOOKUP(B468,Pricelist!A:D,4,FALSE))</f>
        <v/>
      </c>
      <c r="E468" s="160"/>
    </row>
    <row r="469" spans="2:5" ht="12" customHeight="1">
      <c r="B469" s="270"/>
      <c r="C469" s="371" t="str">
        <f>IF(ISNA(VLOOKUP(B469,Pricelist!A:D,2,FALSE)),"",VLOOKUP(B469,Pricelist!A:D,2,FALSE))</f>
        <v/>
      </c>
      <c r="D469" s="159" t="str">
        <f>IF(ISNA(VLOOKUP(B469,Pricelist!A:D,2,FALSE)),"",VLOOKUP(B469,Pricelist!A:D,4,FALSE))</f>
        <v/>
      </c>
      <c r="E469" s="160"/>
    </row>
    <row r="470" spans="2:5" ht="12" customHeight="1">
      <c r="B470" s="270"/>
      <c r="C470" s="371" t="str">
        <f>IF(ISNA(VLOOKUP(B470,Pricelist!A:D,2,FALSE)),"",VLOOKUP(B470,Pricelist!A:D,2,FALSE))</f>
        <v/>
      </c>
      <c r="D470" s="159" t="str">
        <f>IF(ISNA(VLOOKUP(B470,Pricelist!A:D,2,FALSE)),"",VLOOKUP(B470,Pricelist!A:D,4,FALSE))</f>
        <v/>
      </c>
      <c r="E470" s="160"/>
    </row>
    <row r="471" spans="2:5" ht="12" customHeight="1">
      <c r="B471" s="270"/>
      <c r="C471" s="371" t="str">
        <f>IF(ISNA(VLOOKUP(B471,Pricelist!A:D,2,FALSE)),"",VLOOKUP(B471,Pricelist!A:D,2,FALSE))</f>
        <v/>
      </c>
      <c r="D471" s="159" t="str">
        <f>IF(ISNA(VLOOKUP(B471,Pricelist!A:D,2,FALSE)),"",VLOOKUP(B471,Pricelist!A:D,4,FALSE))</f>
        <v/>
      </c>
      <c r="E471" s="160"/>
    </row>
    <row r="472" spans="2:5" ht="12" customHeight="1">
      <c r="B472" s="270"/>
      <c r="C472" s="371" t="str">
        <f>IF(ISNA(VLOOKUP(B472,Pricelist!A:D,2,FALSE)),"",VLOOKUP(B472,Pricelist!A:D,2,FALSE))</f>
        <v/>
      </c>
      <c r="D472" s="159" t="str">
        <f>IF(ISNA(VLOOKUP(B472,Pricelist!A:D,2,FALSE)),"",VLOOKUP(B472,Pricelist!A:D,4,FALSE))</f>
        <v/>
      </c>
      <c r="E472" s="160"/>
    </row>
    <row r="473" spans="2:5" ht="12" customHeight="1">
      <c r="B473" s="270"/>
      <c r="C473" s="371" t="str">
        <f>IF(ISNA(VLOOKUP(B473,Pricelist!A:D,2,FALSE)),"",VLOOKUP(B473,Pricelist!A:D,2,FALSE))</f>
        <v/>
      </c>
      <c r="D473" s="159" t="str">
        <f>IF(ISNA(VLOOKUP(B473,Pricelist!A:D,2,FALSE)),"",VLOOKUP(B473,Pricelist!A:D,4,FALSE))</f>
        <v/>
      </c>
      <c r="E473" s="160"/>
    </row>
    <row r="474" spans="2:5" ht="12" customHeight="1">
      <c r="B474" s="270"/>
      <c r="C474" s="371" t="str">
        <f>IF(ISNA(VLOOKUP(B474,Pricelist!A:D,2,FALSE)),"",VLOOKUP(B474,Pricelist!A:D,2,FALSE))</f>
        <v/>
      </c>
      <c r="D474" s="159" t="str">
        <f>IF(ISNA(VLOOKUP(B474,Pricelist!A:D,2,FALSE)),"",VLOOKUP(B474,Pricelist!A:D,4,FALSE))</f>
        <v/>
      </c>
      <c r="E474" s="160"/>
    </row>
    <row r="475" spans="2:5" ht="12" customHeight="1">
      <c r="B475" s="270"/>
      <c r="C475" s="371" t="str">
        <f>IF(ISNA(VLOOKUP(B475,Pricelist!A:D,2,FALSE)),"",VLOOKUP(B475,Pricelist!A:D,2,FALSE))</f>
        <v/>
      </c>
      <c r="D475" s="159" t="str">
        <f>IF(ISNA(VLOOKUP(B475,Pricelist!A:D,2,FALSE)),"",VLOOKUP(B475,Pricelist!A:D,4,FALSE))</f>
        <v/>
      </c>
      <c r="E475" s="160"/>
    </row>
    <row r="476" spans="2:5" ht="12" customHeight="1">
      <c r="B476" s="270"/>
      <c r="C476" s="371" t="str">
        <f>IF(ISNA(VLOOKUP(B476,Pricelist!A:D,2,FALSE)),"",VLOOKUP(B476,Pricelist!A:D,2,FALSE))</f>
        <v/>
      </c>
      <c r="D476" s="159" t="str">
        <f>IF(ISNA(VLOOKUP(B476,Pricelist!A:D,2,FALSE)),"",VLOOKUP(B476,Pricelist!A:D,4,FALSE))</f>
        <v/>
      </c>
      <c r="E476" s="160"/>
    </row>
    <row r="477" spans="2:5" ht="12" customHeight="1">
      <c r="B477" s="270"/>
      <c r="C477" s="371" t="str">
        <f>IF(ISNA(VLOOKUP(B477,Pricelist!A:D,2,FALSE)),"",VLOOKUP(B477,Pricelist!A:D,2,FALSE))</f>
        <v/>
      </c>
      <c r="D477" s="159" t="str">
        <f>IF(ISNA(VLOOKUP(B477,Pricelist!A:D,2,FALSE)),"",VLOOKUP(B477,Pricelist!A:D,4,FALSE))</f>
        <v/>
      </c>
      <c r="E477" s="160"/>
    </row>
    <row r="478" spans="2:5" ht="12" customHeight="1">
      <c r="B478" s="270"/>
      <c r="C478" s="371" t="str">
        <f>IF(ISNA(VLOOKUP(B478,Pricelist!A:D,2,FALSE)),"",VLOOKUP(B478,Pricelist!A:D,2,FALSE))</f>
        <v/>
      </c>
      <c r="D478" s="159" t="str">
        <f>IF(ISNA(VLOOKUP(B478,Pricelist!A:D,2,FALSE)),"",VLOOKUP(B478,Pricelist!A:D,4,FALSE))</f>
        <v/>
      </c>
      <c r="E478" s="160"/>
    </row>
    <row r="479" spans="2:5" ht="12" customHeight="1">
      <c r="B479" s="270"/>
      <c r="C479" s="371" t="str">
        <f>IF(ISNA(VLOOKUP(B479,Pricelist!A:D,2,FALSE)),"",VLOOKUP(B479,Pricelist!A:D,2,FALSE))</f>
        <v/>
      </c>
      <c r="D479" s="159" t="str">
        <f>IF(ISNA(VLOOKUP(B479,Pricelist!A:D,2,FALSE)),"",VLOOKUP(B479,Pricelist!A:D,4,FALSE))</f>
        <v/>
      </c>
      <c r="E479" s="160"/>
    </row>
    <row r="480" spans="2:5" ht="12" customHeight="1">
      <c r="B480" s="270"/>
      <c r="C480" s="371" t="str">
        <f>IF(ISNA(VLOOKUP(B480,Pricelist!A:D,2,FALSE)),"",VLOOKUP(B480,Pricelist!A:D,2,FALSE))</f>
        <v/>
      </c>
      <c r="D480" s="159" t="str">
        <f>IF(ISNA(VLOOKUP(B480,Pricelist!A:D,2,FALSE)),"",VLOOKUP(B480,Pricelist!A:D,4,FALSE))</f>
        <v/>
      </c>
      <c r="E480" s="160"/>
    </row>
    <row r="481" spans="1:5" ht="12" customHeight="1">
      <c r="B481" s="270"/>
      <c r="C481" s="371" t="str">
        <f>IF(ISNA(VLOOKUP(B481,Pricelist!A:D,2,FALSE)),"",VLOOKUP(B481,Pricelist!A:D,2,FALSE))</f>
        <v/>
      </c>
      <c r="D481" s="159" t="str">
        <f>IF(ISNA(VLOOKUP(B481,Pricelist!A:D,2,FALSE)),"",VLOOKUP(B481,Pricelist!A:D,4,FALSE))</f>
        <v/>
      </c>
      <c r="E481" s="160"/>
    </row>
    <row r="482" spans="1:5" ht="12" customHeight="1">
      <c r="B482" s="270"/>
      <c r="C482" s="371" t="str">
        <f>IF(ISNA(VLOOKUP(B482,Pricelist!A:D,2,FALSE)),"",VLOOKUP(B482,Pricelist!A:D,2,FALSE))</f>
        <v/>
      </c>
      <c r="D482" s="159" t="str">
        <f>IF(ISNA(VLOOKUP(B482,Pricelist!A:D,2,FALSE)),"",VLOOKUP(B482,Pricelist!A:D,4,FALSE))</f>
        <v/>
      </c>
      <c r="E482" s="160"/>
    </row>
    <row r="483" spans="1:5" ht="12" customHeight="1">
      <c r="B483" s="270"/>
      <c r="C483" s="371" t="str">
        <f>IF(ISNA(VLOOKUP(B483,Pricelist!A:D,2,FALSE)),"",VLOOKUP(B483,Pricelist!A:D,2,FALSE))</f>
        <v/>
      </c>
      <c r="D483" s="159" t="str">
        <f>IF(ISNA(VLOOKUP(B483,Pricelist!A:D,2,FALSE)),"",VLOOKUP(B483,Pricelist!A:D,4,FALSE))</f>
        <v/>
      </c>
      <c r="E483" s="160"/>
    </row>
    <row r="484" spans="1:5" ht="12" customHeight="1">
      <c r="B484" s="270"/>
      <c r="C484" s="371" t="str">
        <f>IF(ISNA(VLOOKUP(B484,Pricelist!A:D,2,FALSE)),"",VLOOKUP(B484,Pricelist!A:D,2,FALSE))</f>
        <v/>
      </c>
      <c r="D484" s="159" t="str">
        <f>IF(ISNA(VLOOKUP(B484,Pricelist!A:D,2,FALSE)),"",VLOOKUP(B484,Pricelist!A:D,4,FALSE))</f>
        <v/>
      </c>
      <c r="E484" s="160"/>
    </row>
    <row r="485" spans="1:5" ht="12" customHeight="1">
      <c r="B485" s="270"/>
      <c r="C485" s="371" t="str">
        <f>IF(ISNA(VLOOKUP(B485,Pricelist!A:D,2,FALSE)),"",VLOOKUP(B485,Pricelist!A:D,2,FALSE))</f>
        <v/>
      </c>
      <c r="D485" s="159" t="str">
        <f>IF(ISNA(VLOOKUP(B485,Pricelist!A:D,2,FALSE)),"",VLOOKUP(B485,Pricelist!A:D,4,FALSE))</f>
        <v/>
      </c>
      <c r="E485" s="160"/>
    </row>
    <row r="486" spans="1:5" ht="12" customHeight="1">
      <c r="B486" s="270"/>
      <c r="C486" s="371" t="str">
        <f>IF(ISNA(VLOOKUP(B486,Pricelist!A:D,2,FALSE)),"",VLOOKUP(B486,Pricelist!A:D,2,FALSE))</f>
        <v/>
      </c>
      <c r="D486" s="159" t="str">
        <f>IF(ISNA(VLOOKUP(B486,Pricelist!A:D,2,FALSE)),"",VLOOKUP(B486,Pricelist!A:D,4,FALSE))</f>
        <v/>
      </c>
      <c r="E486" s="160"/>
    </row>
    <row r="487" spans="1:5" ht="12" customHeight="1">
      <c r="B487" s="270"/>
      <c r="C487" s="371" t="str">
        <f>IF(ISNA(VLOOKUP(B487,Pricelist!A:D,2,FALSE)),"",VLOOKUP(B487,Pricelist!A:D,2,FALSE))</f>
        <v/>
      </c>
      <c r="D487" s="159" t="str">
        <f>IF(ISNA(VLOOKUP(B487,Pricelist!A:D,2,FALSE)),"",VLOOKUP(B487,Pricelist!A:D,4,FALSE))</f>
        <v/>
      </c>
      <c r="E487" s="160"/>
    </row>
    <row r="488" spans="1:5" ht="12" customHeight="1">
      <c r="B488" s="270"/>
      <c r="C488" s="371" t="str">
        <f>IF(ISNA(VLOOKUP(B488,Pricelist!A:D,2,FALSE)),"",VLOOKUP(B488,Pricelist!A:D,2,FALSE))</f>
        <v/>
      </c>
      <c r="D488" s="159" t="str">
        <f>IF(ISNA(VLOOKUP(B488,Pricelist!A:D,2,FALSE)),"",VLOOKUP(B488,Pricelist!A:D,4,FALSE))</f>
        <v/>
      </c>
      <c r="E488" s="160"/>
    </row>
    <row r="489" spans="1:5" ht="12" customHeight="1">
      <c r="B489" s="270"/>
      <c r="C489" s="371" t="str">
        <f>IF(ISNA(VLOOKUP(B489,Pricelist!A:D,2,FALSE)),"",VLOOKUP(B489,Pricelist!A:D,2,FALSE))</f>
        <v/>
      </c>
      <c r="D489" s="159" t="str">
        <f>IF(ISNA(VLOOKUP(B489,Pricelist!A:D,2,FALSE)),"",VLOOKUP(B489,Pricelist!A:D,4,FALSE))</f>
        <v/>
      </c>
      <c r="E489" s="160"/>
    </row>
    <row r="490" spans="1:5" ht="12" customHeight="1">
      <c r="B490" s="270"/>
      <c r="C490" s="371" t="str">
        <f>IF(ISNA(VLOOKUP(B490,Pricelist!A:D,2,FALSE)),"",VLOOKUP(B490,Pricelist!A:D,2,FALSE))</f>
        <v/>
      </c>
      <c r="D490" s="159" t="str">
        <f>IF(ISNA(VLOOKUP(B490,Pricelist!A:D,2,FALSE)),"",VLOOKUP(B490,Pricelist!A:D,4,FALSE))</f>
        <v/>
      </c>
      <c r="E490" s="160"/>
    </row>
    <row r="491" spans="1:5" ht="12" customHeight="1">
      <c r="B491" s="270"/>
      <c r="C491" s="371" t="str">
        <f>IF(ISNA(VLOOKUP(B491,Pricelist!A:D,2,FALSE)),"",VLOOKUP(B491,Pricelist!A:D,2,FALSE))</f>
        <v/>
      </c>
      <c r="D491" s="159" t="str">
        <f>IF(ISNA(VLOOKUP(B491,Pricelist!A:D,2,FALSE)),"",VLOOKUP(B491,Pricelist!A:D,4,FALSE))</f>
        <v/>
      </c>
      <c r="E491" s="160"/>
    </row>
    <row r="492" spans="1:5" ht="12" customHeight="1">
      <c r="B492" s="270"/>
      <c r="C492" s="371" t="str">
        <f>IF(ISNA(VLOOKUP(B492,Pricelist!A:D,2,FALSE)),"",VLOOKUP(B492,Pricelist!A:D,2,FALSE))</f>
        <v/>
      </c>
      <c r="D492" s="159" t="str">
        <f>IF(ISNA(VLOOKUP(B492,Pricelist!A:D,2,FALSE)),"",VLOOKUP(B492,Pricelist!A:D,4,FALSE))</f>
        <v/>
      </c>
      <c r="E492" s="160"/>
    </row>
    <row r="493" spans="1:5" ht="12" customHeight="1">
      <c r="B493" s="270"/>
      <c r="C493" s="371" t="str">
        <f>IF(ISNA(VLOOKUP(B493,Pricelist!A:D,2,FALSE)),"",VLOOKUP(B493,Pricelist!A:D,2,FALSE))</f>
        <v/>
      </c>
      <c r="D493" s="159" t="str">
        <f>IF(ISNA(VLOOKUP(B493,Pricelist!A:D,2,FALSE)),"",VLOOKUP(B493,Pricelist!A:D,4,FALSE))</f>
        <v/>
      </c>
      <c r="E493" s="160"/>
    </row>
    <row r="494" spans="1:5" ht="12" customHeight="1">
      <c r="B494" s="270"/>
      <c r="C494" s="371" t="str">
        <f>IF(ISNA(VLOOKUP(B494,Pricelist!A:D,2,FALSE)),"",VLOOKUP(B494,Pricelist!A:D,2,FALSE))</f>
        <v/>
      </c>
      <c r="D494" s="159" t="str">
        <f>IF(ISNA(VLOOKUP(B494,Pricelist!A:D,2,FALSE)),"",VLOOKUP(B494,Pricelist!A:D,4,FALSE))</f>
        <v/>
      </c>
      <c r="E494" s="160"/>
    </row>
    <row r="495" spans="1:5" ht="12" customHeight="1">
      <c r="B495" s="270"/>
      <c r="C495" s="371" t="str">
        <f>IF(ISNA(VLOOKUP(B495,Pricelist!A:D,2,FALSE)),"",VLOOKUP(B495,Pricelist!A:D,2,FALSE))</f>
        <v/>
      </c>
      <c r="D495" s="159" t="str">
        <f>IF(ISNA(VLOOKUP(B495,Pricelist!A:D,2,FALSE)),"",VLOOKUP(B495,Pricelist!A:D,4,FALSE))</f>
        <v/>
      </c>
      <c r="E495" s="160"/>
    </row>
    <row r="496" spans="1:5" ht="12" customHeight="1">
      <c r="A496" s="158" t="s">
        <v>633</v>
      </c>
      <c r="B496" s="270"/>
      <c r="C496" s="371" t="str">
        <f>IF(ISNA(VLOOKUP(B496,Pricelist!A:D,2,FALSE)),"",VLOOKUP(B496,Pricelist!A:D,2,FALSE))</f>
        <v/>
      </c>
      <c r="D496" s="159" t="str">
        <f>IF(ISNA(VLOOKUP(B496,Pricelist!A:D,2,FALSE)),"",VLOOKUP(B496,Pricelist!A:D,4,FALSE))</f>
        <v/>
      </c>
      <c r="E496" s="160"/>
    </row>
    <row r="497" spans="2:5" ht="12" customHeight="1">
      <c r="B497" s="270"/>
      <c r="C497" s="371" t="str">
        <f>IF(ISNA(VLOOKUP(B497,Pricelist!A:D,2,FALSE)),"",VLOOKUP(B497,Pricelist!A:D,2,FALSE))</f>
        <v/>
      </c>
      <c r="D497" s="159" t="str">
        <f>IF(ISNA(VLOOKUP(B497,Pricelist!A:D,2,FALSE)),"",VLOOKUP(B497,Pricelist!A:D,4,FALSE))</f>
        <v/>
      </c>
      <c r="E497" s="160"/>
    </row>
    <row r="498" spans="2:5" ht="12" customHeight="1">
      <c r="B498" s="270"/>
      <c r="C498" s="371" t="str">
        <f>IF(ISNA(VLOOKUP(B498,Pricelist!A:D,2,FALSE)),"",VLOOKUP(B498,Pricelist!A:D,2,FALSE))</f>
        <v/>
      </c>
      <c r="D498" s="159" t="str">
        <f>IF(ISNA(VLOOKUP(B498,Pricelist!A:D,2,FALSE)),"",VLOOKUP(B498,Pricelist!A:D,4,FALSE))</f>
        <v/>
      </c>
      <c r="E498" s="160"/>
    </row>
    <row r="499" spans="2:5" ht="12" customHeight="1">
      <c r="B499" s="270"/>
      <c r="C499" s="371" t="str">
        <f>IF(ISNA(VLOOKUP(B499,Pricelist!A:D,2,FALSE)),"",VLOOKUP(B499,Pricelist!A:D,2,FALSE))</f>
        <v/>
      </c>
      <c r="D499" s="159" t="str">
        <f>IF(ISNA(VLOOKUP(B499,Pricelist!A:D,2,FALSE)),"",VLOOKUP(B499,Pricelist!A:D,4,FALSE))</f>
        <v/>
      </c>
      <c r="E499" s="160"/>
    </row>
    <row r="500" spans="2:5" ht="12" customHeight="1">
      <c r="B500" s="270"/>
      <c r="C500" s="371" t="str">
        <f>IF(ISNA(VLOOKUP(B500,Pricelist!A:D,2,FALSE)),"",VLOOKUP(B500,Pricelist!A:D,2,FALSE))</f>
        <v/>
      </c>
      <c r="D500" s="159" t="str">
        <f>IF(ISNA(VLOOKUP(B500,Pricelist!A:D,2,FALSE)),"",VLOOKUP(B500,Pricelist!A:D,4,FALSE))</f>
        <v/>
      </c>
      <c r="E500" s="160"/>
    </row>
    <row r="501" spans="2:5" ht="12" customHeight="1">
      <c r="B501" s="270"/>
      <c r="C501" s="371" t="str">
        <f>IF(ISNA(VLOOKUP(B501,Pricelist!A:D,2,FALSE)),"",VLOOKUP(B501,Pricelist!A:D,2,FALSE))</f>
        <v/>
      </c>
      <c r="D501" s="159" t="str">
        <f>IF(ISNA(VLOOKUP(B501,Pricelist!A:D,2,FALSE)),"",VLOOKUP(B501,Pricelist!A:D,4,FALSE))</f>
        <v/>
      </c>
      <c r="E501" s="160"/>
    </row>
    <row r="502" spans="2:5" ht="12" customHeight="1">
      <c r="B502" s="270"/>
      <c r="C502" s="371" t="str">
        <f>IF(ISNA(VLOOKUP(B502,Pricelist!A:D,2,FALSE)),"",VLOOKUP(B502,Pricelist!A:D,2,FALSE))</f>
        <v/>
      </c>
      <c r="D502" s="159" t="str">
        <f>IF(ISNA(VLOOKUP(B502,Pricelist!A:D,2,FALSE)),"",VLOOKUP(B502,Pricelist!A:D,4,FALSE))</f>
        <v/>
      </c>
      <c r="E502" s="160"/>
    </row>
    <row r="503" spans="2:5" ht="12" customHeight="1">
      <c r="B503" s="270"/>
      <c r="C503" s="371" t="str">
        <f>IF(ISNA(VLOOKUP(B503,Pricelist!A:D,2,FALSE)),"",VLOOKUP(B503,Pricelist!A:D,2,FALSE))</f>
        <v/>
      </c>
      <c r="D503" s="159" t="str">
        <f>IF(ISNA(VLOOKUP(B503,Pricelist!A:D,2,FALSE)),"",VLOOKUP(B503,Pricelist!A:D,4,FALSE))</f>
        <v/>
      </c>
      <c r="E503" s="160"/>
    </row>
    <row r="504" spans="2:5" ht="12" customHeight="1">
      <c r="B504" s="270"/>
      <c r="C504" s="371" t="str">
        <f>IF(ISNA(VLOOKUP(B504,Pricelist!A:D,2,FALSE)),"",VLOOKUP(B504,Pricelist!A:D,2,FALSE))</f>
        <v/>
      </c>
      <c r="D504" s="159" t="str">
        <f>IF(ISNA(VLOOKUP(B504,Pricelist!A:D,2,FALSE)),"",VLOOKUP(B504,Pricelist!A:D,4,FALSE))</f>
        <v/>
      </c>
      <c r="E504" s="160"/>
    </row>
    <row r="505" spans="2:5" ht="12" customHeight="1">
      <c r="B505" s="270"/>
      <c r="C505" s="371" t="str">
        <f>IF(ISNA(VLOOKUP(B505,Pricelist!A:D,2,FALSE)),"",VLOOKUP(B505,Pricelist!A:D,2,FALSE))</f>
        <v/>
      </c>
      <c r="D505" s="159" t="str">
        <f>IF(ISNA(VLOOKUP(B505,Pricelist!A:D,2,FALSE)),"",VLOOKUP(B505,Pricelist!A:D,4,FALSE))</f>
        <v/>
      </c>
      <c r="E505" s="160"/>
    </row>
    <row r="506" spans="2:5" ht="12" customHeight="1">
      <c r="B506" s="270"/>
      <c r="C506" s="371" t="str">
        <f>IF(ISNA(VLOOKUP(B506,Pricelist!A:D,2,FALSE)),"",VLOOKUP(B506,Pricelist!A:D,2,FALSE))</f>
        <v/>
      </c>
      <c r="D506" s="159" t="str">
        <f>IF(ISNA(VLOOKUP(B506,Pricelist!A:D,2,FALSE)),"",VLOOKUP(B506,Pricelist!A:D,4,FALSE))</f>
        <v/>
      </c>
      <c r="E506" s="160"/>
    </row>
    <row r="507" spans="2:5" ht="12" customHeight="1">
      <c r="B507" s="270"/>
      <c r="C507" s="371" t="str">
        <f>IF(ISNA(VLOOKUP(B507,Pricelist!A:D,2,FALSE)),"",VLOOKUP(B507,Pricelist!A:D,2,FALSE))</f>
        <v/>
      </c>
      <c r="D507" s="159" t="str">
        <f>IF(ISNA(VLOOKUP(B507,Pricelist!A:D,2,FALSE)),"",VLOOKUP(B507,Pricelist!A:D,4,FALSE))</f>
        <v/>
      </c>
      <c r="E507" s="160"/>
    </row>
    <row r="508" spans="2:5" ht="12" customHeight="1">
      <c r="B508" s="270"/>
      <c r="C508" s="371" t="str">
        <f>IF(ISNA(VLOOKUP(B508,Pricelist!A:D,2,FALSE)),"",VLOOKUP(B508,Pricelist!A:D,2,FALSE))</f>
        <v/>
      </c>
      <c r="D508" s="159" t="str">
        <f>IF(ISNA(VLOOKUP(B508,Pricelist!A:D,2,FALSE)),"",VLOOKUP(B508,Pricelist!A:D,4,FALSE))</f>
        <v/>
      </c>
      <c r="E508" s="160"/>
    </row>
    <row r="509" spans="2:5" ht="12" customHeight="1">
      <c r="B509" s="270"/>
      <c r="C509" s="371" t="str">
        <f>IF(ISNA(VLOOKUP(B509,Pricelist!A:D,2,FALSE)),"",VLOOKUP(B509,Pricelist!A:D,2,FALSE))</f>
        <v/>
      </c>
      <c r="D509" s="159" t="str">
        <f>IF(ISNA(VLOOKUP(B509,Pricelist!A:D,2,FALSE)),"",VLOOKUP(B509,Pricelist!A:D,4,FALSE))</f>
        <v/>
      </c>
      <c r="E509" s="160"/>
    </row>
    <row r="510" spans="2:5" ht="12" customHeight="1">
      <c r="B510" s="270"/>
      <c r="C510" s="371" t="str">
        <f>IF(ISNA(VLOOKUP(B510,Pricelist!A:D,2,FALSE)),"",VLOOKUP(B510,Pricelist!A:D,2,FALSE))</f>
        <v/>
      </c>
      <c r="D510" s="159" t="str">
        <f>IF(ISNA(VLOOKUP(B510,Pricelist!A:D,2,FALSE)),"",VLOOKUP(B510,Pricelist!A:D,4,FALSE))</f>
        <v/>
      </c>
      <c r="E510" s="160"/>
    </row>
    <row r="511" spans="2:5" ht="12" customHeight="1">
      <c r="B511" s="270"/>
      <c r="C511" s="371" t="str">
        <f>IF(ISNA(VLOOKUP(B511,Pricelist!A:D,2,FALSE)),"",VLOOKUP(B511,Pricelist!A:D,2,FALSE))</f>
        <v/>
      </c>
      <c r="D511" s="159" t="str">
        <f>IF(ISNA(VLOOKUP(B511,Pricelist!A:D,2,FALSE)),"",VLOOKUP(B511,Pricelist!A:D,4,FALSE))</f>
        <v/>
      </c>
      <c r="E511" s="160"/>
    </row>
    <row r="512" spans="2:5" ht="12" customHeight="1">
      <c r="B512" s="270"/>
      <c r="C512" s="371" t="str">
        <f>IF(ISNA(VLOOKUP(B512,Pricelist!A:D,2,FALSE)),"",VLOOKUP(B512,Pricelist!A:D,2,FALSE))</f>
        <v/>
      </c>
      <c r="D512" s="159" t="str">
        <f>IF(ISNA(VLOOKUP(B512,Pricelist!A:D,2,FALSE)),"",VLOOKUP(B512,Pricelist!A:D,4,FALSE))</f>
        <v/>
      </c>
      <c r="E512" s="160"/>
    </row>
    <row r="513" spans="2:5" ht="12" customHeight="1">
      <c r="B513" s="270"/>
      <c r="C513" s="371" t="str">
        <f>IF(ISNA(VLOOKUP(B513,Pricelist!A:D,2,FALSE)),"",VLOOKUP(B513,Pricelist!A:D,2,FALSE))</f>
        <v/>
      </c>
      <c r="D513" s="159" t="str">
        <f>IF(ISNA(VLOOKUP(B513,Pricelist!A:D,2,FALSE)),"",VLOOKUP(B513,Pricelist!A:D,4,FALSE))</f>
        <v/>
      </c>
      <c r="E513" s="160"/>
    </row>
    <row r="514" spans="2:5" ht="12" customHeight="1">
      <c r="B514" s="270"/>
      <c r="C514" s="371" t="str">
        <f>IF(ISNA(VLOOKUP(B514,Pricelist!A:D,2,FALSE)),"",VLOOKUP(B514,Pricelist!A:D,2,FALSE))</f>
        <v/>
      </c>
      <c r="D514" s="159" t="str">
        <f>IF(ISNA(VLOOKUP(B514,Pricelist!A:D,2,FALSE)),"",VLOOKUP(B514,Pricelist!A:D,4,FALSE))</f>
        <v/>
      </c>
      <c r="E514" s="160"/>
    </row>
    <row r="515" spans="2:5" ht="12" customHeight="1">
      <c r="B515" s="270"/>
      <c r="C515" s="371" t="str">
        <f>IF(ISNA(VLOOKUP(B515,Pricelist!A:D,2,FALSE)),"",VLOOKUP(B515,Pricelist!A:D,2,FALSE))</f>
        <v/>
      </c>
      <c r="D515" s="159" t="str">
        <f>IF(ISNA(VLOOKUP(B515,Pricelist!A:D,2,FALSE)),"",VLOOKUP(B515,Pricelist!A:D,4,FALSE))</f>
        <v/>
      </c>
      <c r="E515" s="160"/>
    </row>
    <row r="516" spans="2:5" ht="12" customHeight="1">
      <c r="B516" s="270"/>
      <c r="C516" s="371" t="str">
        <f>IF(ISNA(VLOOKUP(B516,Pricelist!A:D,2,FALSE)),"",VLOOKUP(B516,Pricelist!A:D,2,FALSE))</f>
        <v/>
      </c>
      <c r="D516" s="159" t="str">
        <f>IF(ISNA(VLOOKUP(B516,Pricelist!A:D,2,FALSE)),"",VLOOKUP(B516,Pricelist!A:D,4,FALSE))</f>
        <v/>
      </c>
      <c r="E516" s="160"/>
    </row>
    <row r="517" spans="2:5" ht="12" customHeight="1">
      <c r="B517" s="270"/>
      <c r="C517" s="371" t="str">
        <f>IF(ISNA(VLOOKUP(B517,Pricelist!A:D,2,FALSE)),"",VLOOKUP(B517,Pricelist!A:D,2,FALSE))</f>
        <v/>
      </c>
      <c r="D517" s="159" t="str">
        <f>IF(ISNA(VLOOKUP(B517,Pricelist!A:D,2,FALSE)),"",VLOOKUP(B517,Pricelist!A:D,4,FALSE))</f>
        <v/>
      </c>
      <c r="E517" s="160"/>
    </row>
    <row r="518" spans="2:5" ht="12" customHeight="1">
      <c r="B518" s="270"/>
      <c r="C518" s="371" t="str">
        <f>IF(ISNA(VLOOKUP(B518,Pricelist!A:D,2,FALSE)),"",VLOOKUP(B518,Pricelist!A:D,2,FALSE))</f>
        <v/>
      </c>
      <c r="D518" s="159" t="str">
        <f>IF(ISNA(VLOOKUP(B518,Pricelist!A:D,2,FALSE)),"",VLOOKUP(B518,Pricelist!A:D,4,FALSE))</f>
        <v/>
      </c>
      <c r="E518" s="160"/>
    </row>
    <row r="519" spans="2:5" ht="12" customHeight="1">
      <c r="B519" s="270"/>
      <c r="C519" s="371" t="str">
        <f>IF(ISNA(VLOOKUP(B519,Pricelist!A:D,2,FALSE)),"",VLOOKUP(B519,Pricelist!A:D,2,FALSE))</f>
        <v/>
      </c>
      <c r="D519" s="159" t="str">
        <f>IF(ISNA(VLOOKUP(B519,Pricelist!A:D,2,FALSE)),"",VLOOKUP(B519,Pricelist!A:D,4,FALSE))</f>
        <v/>
      </c>
      <c r="E519" s="160"/>
    </row>
    <row r="520" spans="2:5" ht="12" customHeight="1">
      <c r="B520" s="270"/>
      <c r="C520" s="371" t="str">
        <f>IF(ISNA(VLOOKUP(B520,Pricelist!A:D,2,FALSE)),"",VLOOKUP(B520,Pricelist!A:D,2,FALSE))</f>
        <v/>
      </c>
      <c r="D520" s="159" t="str">
        <f>IF(ISNA(VLOOKUP(B520,Pricelist!A:D,2,FALSE)),"",VLOOKUP(B520,Pricelist!A:D,4,FALSE))</f>
        <v/>
      </c>
      <c r="E520" s="160"/>
    </row>
    <row r="521" spans="2:5" ht="12" customHeight="1">
      <c r="B521" s="270"/>
      <c r="C521" s="371" t="str">
        <f>IF(ISNA(VLOOKUP(B521,Pricelist!A:D,2,FALSE)),"",VLOOKUP(B521,Pricelist!A:D,2,FALSE))</f>
        <v/>
      </c>
      <c r="D521" s="159" t="str">
        <f>IF(ISNA(VLOOKUP(B521,Pricelist!A:D,2,FALSE)),"",VLOOKUP(B521,Pricelist!A:D,4,FALSE))</f>
        <v/>
      </c>
      <c r="E521" s="160"/>
    </row>
    <row r="522" spans="2:5" ht="12" customHeight="1">
      <c r="B522" s="270"/>
      <c r="C522" s="371" t="str">
        <f>IF(ISNA(VLOOKUP(B522,Pricelist!A:D,2,FALSE)),"",VLOOKUP(B522,Pricelist!A:D,2,FALSE))</f>
        <v/>
      </c>
      <c r="D522" s="159" t="str">
        <f>IF(ISNA(VLOOKUP(B522,Pricelist!A:D,2,FALSE)),"",VLOOKUP(B522,Pricelist!A:D,4,FALSE))</f>
        <v/>
      </c>
      <c r="E522" s="160"/>
    </row>
    <row r="523" spans="2:5" ht="12" customHeight="1">
      <c r="B523" s="270"/>
      <c r="C523" s="371" t="str">
        <f>IF(ISNA(VLOOKUP(B523,Pricelist!A:D,2,FALSE)),"",VLOOKUP(B523,Pricelist!A:D,2,FALSE))</f>
        <v/>
      </c>
      <c r="D523" s="159" t="str">
        <f>IF(ISNA(VLOOKUP(B523,Pricelist!A:D,2,FALSE)),"",VLOOKUP(B523,Pricelist!A:D,4,FALSE))</f>
        <v/>
      </c>
      <c r="E523" s="160"/>
    </row>
    <row r="524" spans="2:5" ht="12" customHeight="1">
      <c r="B524" s="270"/>
      <c r="C524" s="371" t="str">
        <f>IF(ISNA(VLOOKUP(B524,Pricelist!A:D,2,FALSE)),"",VLOOKUP(B524,Pricelist!A:D,2,FALSE))</f>
        <v/>
      </c>
      <c r="D524" s="159" t="str">
        <f>IF(ISNA(VLOOKUP(B524,Pricelist!A:D,2,FALSE)),"",VLOOKUP(B524,Pricelist!A:D,4,FALSE))</f>
        <v/>
      </c>
      <c r="E524" s="160"/>
    </row>
    <row r="525" spans="2:5" ht="12" customHeight="1">
      <c r="B525" s="270"/>
      <c r="C525" s="371" t="str">
        <f>IF(ISNA(VLOOKUP(B525,Pricelist!A:D,2,FALSE)),"",VLOOKUP(B525,Pricelist!A:D,2,FALSE))</f>
        <v/>
      </c>
      <c r="D525" s="159" t="str">
        <f>IF(ISNA(VLOOKUP(B525,Pricelist!A:D,2,FALSE)),"",VLOOKUP(B525,Pricelist!A:D,4,FALSE))</f>
        <v/>
      </c>
      <c r="E525" s="160"/>
    </row>
    <row r="526" spans="2:5" ht="12" customHeight="1">
      <c r="B526" s="270"/>
      <c r="C526" s="371" t="str">
        <f>IF(ISNA(VLOOKUP(B526,Pricelist!A:D,2,FALSE)),"",VLOOKUP(B526,Pricelist!A:D,2,FALSE))</f>
        <v/>
      </c>
      <c r="D526" s="159" t="str">
        <f>IF(ISNA(VLOOKUP(B526,Pricelist!A:D,2,FALSE)),"",VLOOKUP(B526,Pricelist!A:D,4,FALSE))</f>
        <v/>
      </c>
      <c r="E526" s="160"/>
    </row>
    <row r="527" spans="2:5" ht="12" customHeight="1">
      <c r="B527" s="270"/>
      <c r="C527" s="371" t="str">
        <f>IF(ISNA(VLOOKUP(B527,Pricelist!A:D,2,FALSE)),"",VLOOKUP(B527,Pricelist!A:D,2,FALSE))</f>
        <v/>
      </c>
      <c r="D527" s="159" t="str">
        <f>IF(ISNA(VLOOKUP(B527,Pricelist!A:D,2,FALSE)),"",VLOOKUP(B527,Pricelist!A:D,4,FALSE))</f>
        <v/>
      </c>
      <c r="E527" s="160"/>
    </row>
    <row r="528" spans="2:5" ht="12" customHeight="1">
      <c r="B528" s="270"/>
      <c r="C528" s="371" t="str">
        <f>IF(ISNA(VLOOKUP(B528,Pricelist!A:D,2,FALSE)),"",VLOOKUP(B528,Pricelist!A:D,2,FALSE))</f>
        <v/>
      </c>
      <c r="D528" s="159" t="str">
        <f>IF(ISNA(VLOOKUP(B528,Pricelist!A:D,2,FALSE)),"",VLOOKUP(B528,Pricelist!A:D,4,FALSE))</f>
        <v/>
      </c>
      <c r="E528" s="160"/>
    </row>
    <row r="529" spans="2:5" ht="12" customHeight="1">
      <c r="B529" s="270"/>
      <c r="C529" s="371" t="str">
        <f>IF(ISNA(VLOOKUP(B529,Pricelist!A:D,2,FALSE)),"",VLOOKUP(B529,Pricelist!A:D,2,FALSE))</f>
        <v/>
      </c>
      <c r="D529" s="159" t="str">
        <f>IF(ISNA(VLOOKUP(B529,Pricelist!A:D,2,FALSE)),"",VLOOKUP(B529,Pricelist!A:D,4,FALSE))</f>
        <v/>
      </c>
      <c r="E529" s="160"/>
    </row>
    <row r="530" spans="2:5" ht="12" customHeight="1">
      <c r="B530" s="270"/>
      <c r="C530" s="371" t="str">
        <f>IF(ISNA(VLOOKUP(B530,Pricelist!A:D,2,FALSE)),"",VLOOKUP(B530,Pricelist!A:D,2,FALSE))</f>
        <v/>
      </c>
      <c r="D530" s="159" t="str">
        <f>IF(ISNA(VLOOKUP(B530,Pricelist!A:D,2,FALSE)),"",VLOOKUP(B530,Pricelist!A:D,4,FALSE))</f>
        <v/>
      </c>
      <c r="E530" s="160"/>
    </row>
    <row r="531" spans="2:5" ht="12" customHeight="1">
      <c r="B531" s="270"/>
      <c r="C531" s="371" t="str">
        <f>IF(ISNA(VLOOKUP(B531,Pricelist!A:D,2,FALSE)),"",VLOOKUP(B531,Pricelist!A:D,2,FALSE))</f>
        <v/>
      </c>
      <c r="D531" s="159" t="str">
        <f>IF(ISNA(VLOOKUP(B531,Pricelist!A:D,2,FALSE)),"",VLOOKUP(B531,Pricelist!A:D,4,FALSE))</f>
        <v/>
      </c>
      <c r="E531" s="160"/>
    </row>
    <row r="532" spans="2:5" ht="12" customHeight="1">
      <c r="B532" s="270"/>
      <c r="C532" s="371" t="str">
        <f>IF(ISNA(VLOOKUP(B532,Pricelist!A:D,2,FALSE)),"",VLOOKUP(B532,Pricelist!A:D,2,FALSE))</f>
        <v/>
      </c>
      <c r="D532" s="159" t="str">
        <f>IF(ISNA(VLOOKUP(B532,Pricelist!A:D,2,FALSE)),"",VLOOKUP(B532,Pricelist!A:D,4,FALSE))</f>
        <v/>
      </c>
      <c r="E532" s="160"/>
    </row>
    <row r="533" spans="2:5" ht="12" customHeight="1">
      <c r="B533" s="270"/>
      <c r="C533" s="371" t="str">
        <f>IF(ISNA(VLOOKUP(B533,Pricelist!A:D,2,FALSE)),"",VLOOKUP(B533,Pricelist!A:D,2,FALSE))</f>
        <v/>
      </c>
      <c r="D533" s="159" t="str">
        <f>IF(ISNA(VLOOKUP(B533,Pricelist!A:D,2,FALSE)),"",VLOOKUP(B533,Pricelist!A:D,4,FALSE))</f>
        <v/>
      </c>
      <c r="E533" s="160"/>
    </row>
    <row r="534" spans="2:5" ht="12" customHeight="1">
      <c r="B534" s="270"/>
      <c r="C534" s="371" t="str">
        <f>IF(ISNA(VLOOKUP(B534,Pricelist!A:D,2,FALSE)),"",VLOOKUP(B534,Pricelist!A:D,2,FALSE))</f>
        <v/>
      </c>
      <c r="D534" s="159" t="str">
        <f>IF(ISNA(VLOOKUP(B534,Pricelist!A:D,2,FALSE)),"",VLOOKUP(B534,Pricelist!A:D,4,FALSE))</f>
        <v/>
      </c>
      <c r="E534" s="160"/>
    </row>
    <row r="535" spans="2:5" ht="12" customHeight="1">
      <c r="B535" s="270"/>
      <c r="C535" s="371" t="str">
        <f>IF(ISNA(VLOOKUP(B535,Pricelist!A:D,2,FALSE)),"",VLOOKUP(B535,Pricelist!A:D,2,FALSE))</f>
        <v/>
      </c>
      <c r="D535" s="159" t="str">
        <f>IF(ISNA(VLOOKUP(B535,Pricelist!A:D,2,FALSE)),"",VLOOKUP(B535,Pricelist!A:D,4,FALSE))</f>
        <v/>
      </c>
      <c r="E535" s="160"/>
    </row>
    <row r="536" spans="2:5" ht="12" customHeight="1">
      <c r="B536" s="270"/>
      <c r="C536" s="371" t="str">
        <f>IF(ISNA(VLOOKUP(B536,Pricelist!A:D,2,FALSE)),"",VLOOKUP(B536,Pricelist!A:D,2,FALSE))</f>
        <v/>
      </c>
      <c r="D536" s="159" t="str">
        <f>IF(ISNA(VLOOKUP(B536,Pricelist!A:D,2,FALSE)),"",VLOOKUP(B536,Pricelist!A:D,4,FALSE))</f>
        <v/>
      </c>
      <c r="E536" s="160"/>
    </row>
    <row r="537" spans="2:5" ht="12" customHeight="1">
      <c r="B537" s="270"/>
      <c r="C537" s="371" t="str">
        <f>IF(ISNA(VLOOKUP(B537,Pricelist!A:D,2,FALSE)),"",VLOOKUP(B537,Pricelist!A:D,2,FALSE))</f>
        <v/>
      </c>
      <c r="D537" s="159" t="str">
        <f>IF(ISNA(VLOOKUP(B537,Pricelist!A:D,2,FALSE)),"",VLOOKUP(B537,Pricelist!A:D,4,FALSE))</f>
        <v/>
      </c>
      <c r="E537" s="160"/>
    </row>
    <row r="538" spans="2:5" ht="12" customHeight="1">
      <c r="B538" s="270"/>
      <c r="C538" s="371" t="str">
        <f>IF(ISNA(VLOOKUP(B538,Pricelist!A:D,2,FALSE)),"",VLOOKUP(B538,Pricelist!A:D,2,FALSE))</f>
        <v/>
      </c>
      <c r="D538" s="159" t="str">
        <f>IF(ISNA(VLOOKUP(B538,Pricelist!A:D,2,FALSE)),"",VLOOKUP(B538,Pricelist!A:D,4,FALSE))</f>
        <v/>
      </c>
      <c r="E538" s="160"/>
    </row>
    <row r="539" spans="2:5" ht="12" customHeight="1">
      <c r="B539" s="270"/>
      <c r="C539" s="371" t="str">
        <f>IF(ISNA(VLOOKUP(B539,Pricelist!A:D,2,FALSE)),"",VLOOKUP(B539,Pricelist!A:D,2,FALSE))</f>
        <v/>
      </c>
      <c r="D539" s="159" t="str">
        <f>IF(ISNA(VLOOKUP(B539,Pricelist!A:D,2,FALSE)),"",VLOOKUP(B539,Pricelist!A:D,4,FALSE))</f>
        <v/>
      </c>
      <c r="E539" s="160"/>
    </row>
    <row r="540" spans="2:5" ht="12" customHeight="1">
      <c r="B540" s="270"/>
      <c r="C540" s="371" t="str">
        <f>IF(ISNA(VLOOKUP(B540,Pricelist!A:D,2,FALSE)),"",VLOOKUP(B540,Pricelist!A:D,2,FALSE))</f>
        <v/>
      </c>
      <c r="D540" s="159" t="str">
        <f>IF(ISNA(VLOOKUP(B540,Pricelist!A:D,2,FALSE)),"",VLOOKUP(B540,Pricelist!A:D,4,FALSE))</f>
        <v/>
      </c>
      <c r="E540" s="160"/>
    </row>
    <row r="541" spans="2:5" ht="12" customHeight="1">
      <c r="B541" s="270"/>
      <c r="C541" s="371" t="str">
        <f>IF(ISNA(VLOOKUP(B541,Pricelist!A:D,2,FALSE)),"",VLOOKUP(B541,Pricelist!A:D,2,FALSE))</f>
        <v/>
      </c>
      <c r="D541" s="159" t="str">
        <f>IF(ISNA(VLOOKUP(B541,Pricelist!A:D,2,FALSE)),"",VLOOKUP(B541,Pricelist!A:D,4,FALSE))</f>
        <v/>
      </c>
      <c r="E541" s="160"/>
    </row>
    <row r="542" spans="2:5" ht="12" customHeight="1">
      <c r="B542" s="270"/>
      <c r="C542" s="371" t="str">
        <f>IF(ISNA(VLOOKUP(B542,Pricelist!A:D,2,FALSE)),"",VLOOKUP(B542,Pricelist!A:D,2,FALSE))</f>
        <v/>
      </c>
      <c r="D542" s="159" t="str">
        <f>IF(ISNA(VLOOKUP(B542,Pricelist!A:D,2,FALSE)),"",VLOOKUP(B542,Pricelist!A:D,4,FALSE))</f>
        <v/>
      </c>
      <c r="E542" s="160"/>
    </row>
    <row r="543" spans="2:5" ht="12" customHeight="1">
      <c r="B543" s="270"/>
      <c r="C543" s="371" t="str">
        <f>IF(ISNA(VLOOKUP(B543,Pricelist!A:D,2,FALSE)),"",VLOOKUP(B543,Pricelist!A:D,2,FALSE))</f>
        <v/>
      </c>
      <c r="D543" s="159" t="str">
        <f>IF(ISNA(VLOOKUP(B543,Pricelist!A:D,2,FALSE)),"",VLOOKUP(B543,Pricelist!A:D,4,FALSE))</f>
        <v/>
      </c>
      <c r="E543" s="160"/>
    </row>
    <row r="544" spans="2:5" ht="12" customHeight="1">
      <c r="B544" s="270"/>
      <c r="C544" s="371" t="str">
        <f>IF(ISNA(VLOOKUP(B544,Pricelist!A:D,2,FALSE)),"",VLOOKUP(B544,Pricelist!A:D,2,FALSE))</f>
        <v/>
      </c>
      <c r="D544" s="159" t="str">
        <f>IF(ISNA(VLOOKUP(B544,Pricelist!A:D,2,FALSE)),"",VLOOKUP(B544,Pricelist!A:D,4,FALSE))</f>
        <v/>
      </c>
      <c r="E544" s="160"/>
    </row>
    <row r="545" spans="2:5" ht="12" customHeight="1">
      <c r="B545" s="270"/>
      <c r="C545" s="371" t="str">
        <f>IF(ISNA(VLOOKUP(B545,Pricelist!A:D,2,FALSE)),"",VLOOKUP(B545,Pricelist!A:D,2,FALSE))</f>
        <v/>
      </c>
      <c r="D545" s="159" t="str">
        <f>IF(ISNA(VLOOKUP(B545,Pricelist!A:D,2,FALSE)),"",VLOOKUP(B545,Pricelist!A:D,4,FALSE))</f>
        <v/>
      </c>
      <c r="E545" s="160"/>
    </row>
    <row r="546" spans="2:5" ht="12" customHeight="1">
      <c r="B546" s="270"/>
      <c r="C546" s="371" t="str">
        <f>IF(ISNA(VLOOKUP(B546,Pricelist!A:D,2,FALSE)),"",VLOOKUP(B546,Pricelist!A:D,2,FALSE))</f>
        <v/>
      </c>
      <c r="D546" s="159" t="str">
        <f>IF(ISNA(VLOOKUP(B546,Pricelist!A:D,2,FALSE)),"",VLOOKUP(B546,Pricelist!A:D,4,FALSE))</f>
        <v/>
      </c>
      <c r="E546" s="160"/>
    </row>
    <row r="547" spans="2:5" ht="12" customHeight="1">
      <c r="B547" s="270"/>
      <c r="C547" s="371" t="str">
        <f>IF(ISNA(VLOOKUP(B547,Pricelist!A:D,2,FALSE)),"",VLOOKUP(B547,Pricelist!A:D,2,FALSE))</f>
        <v/>
      </c>
      <c r="D547" s="159" t="str">
        <f>IF(ISNA(VLOOKUP(B547,Pricelist!A:D,2,FALSE)),"",VLOOKUP(B547,Pricelist!A:D,4,FALSE))</f>
        <v/>
      </c>
      <c r="E547" s="160"/>
    </row>
    <row r="548" spans="2:5" ht="12" customHeight="1">
      <c r="B548" s="270"/>
      <c r="C548" s="371" t="str">
        <f>IF(ISNA(VLOOKUP(B548,Pricelist!A:D,2,FALSE)),"",VLOOKUP(B548,Pricelist!A:D,2,FALSE))</f>
        <v/>
      </c>
      <c r="D548" s="159" t="str">
        <f>IF(ISNA(VLOOKUP(B548,Pricelist!A:D,2,FALSE)),"",VLOOKUP(B548,Pricelist!A:D,4,FALSE))</f>
        <v/>
      </c>
      <c r="E548" s="160"/>
    </row>
    <row r="549" spans="2:5" ht="12" customHeight="1">
      <c r="B549" s="270"/>
      <c r="C549" s="371" t="str">
        <f>IF(ISNA(VLOOKUP(B549,Pricelist!A:D,2,FALSE)),"",VLOOKUP(B549,Pricelist!A:D,2,FALSE))</f>
        <v/>
      </c>
      <c r="D549" s="159" t="str">
        <f>IF(ISNA(VLOOKUP(B549,Pricelist!A:D,2,FALSE)),"",VLOOKUP(B549,Pricelist!A:D,4,FALSE))</f>
        <v/>
      </c>
      <c r="E549" s="160"/>
    </row>
    <row r="550" spans="2:5" ht="12" customHeight="1">
      <c r="B550" s="270"/>
      <c r="C550" s="371" t="str">
        <f>IF(ISNA(VLOOKUP(B550,Pricelist!A:D,2,FALSE)),"",VLOOKUP(B550,Pricelist!A:D,2,FALSE))</f>
        <v/>
      </c>
      <c r="D550" s="159" t="str">
        <f>IF(ISNA(VLOOKUP(B550,Pricelist!A:D,2,FALSE)),"",VLOOKUP(B550,Pricelist!A:D,4,FALSE))</f>
        <v/>
      </c>
      <c r="E550" s="160"/>
    </row>
    <row r="551" spans="2:5" ht="12" customHeight="1">
      <c r="B551" s="270"/>
      <c r="C551" s="371" t="str">
        <f>IF(ISNA(VLOOKUP(B551,Pricelist!A:D,2,FALSE)),"",VLOOKUP(B551,Pricelist!A:D,2,FALSE))</f>
        <v/>
      </c>
      <c r="D551" s="159" t="str">
        <f>IF(ISNA(VLOOKUP(B551,Pricelist!A:D,2,FALSE)),"",VLOOKUP(B551,Pricelist!A:D,4,FALSE))</f>
        <v/>
      </c>
      <c r="E551" s="160"/>
    </row>
    <row r="552" spans="2:5" ht="12" customHeight="1">
      <c r="B552" s="270"/>
      <c r="C552" s="371" t="str">
        <f>IF(ISNA(VLOOKUP(B552,Pricelist!A:D,2,FALSE)),"",VLOOKUP(B552,Pricelist!A:D,2,FALSE))</f>
        <v/>
      </c>
      <c r="D552" s="159" t="str">
        <f>IF(ISNA(VLOOKUP(B552,Pricelist!A:D,2,FALSE)),"",VLOOKUP(B552,Pricelist!A:D,4,FALSE))</f>
        <v/>
      </c>
      <c r="E552" s="160"/>
    </row>
    <row r="553" spans="2:5" ht="12" customHeight="1">
      <c r="B553" s="270"/>
      <c r="C553" s="371" t="str">
        <f>IF(ISNA(VLOOKUP(B553,Pricelist!A:D,2,FALSE)),"",VLOOKUP(B553,Pricelist!A:D,2,FALSE))</f>
        <v/>
      </c>
      <c r="D553" s="159" t="str">
        <f>IF(ISNA(VLOOKUP(B553,Pricelist!A:D,2,FALSE)),"",VLOOKUP(B553,Pricelist!A:D,4,FALSE))</f>
        <v/>
      </c>
      <c r="E553" s="160"/>
    </row>
    <row r="554" spans="2:5" ht="12" customHeight="1">
      <c r="B554" s="270"/>
      <c r="C554" s="371" t="str">
        <f>IF(ISNA(VLOOKUP(B554,Pricelist!A:D,2,FALSE)),"",VLOOKUP(B554,Pricelist!A:D,2,FALSE))</f>
        <v/>
      </c>
      <c r="D554" s="159" t="str">
        <f>IF(ISNA(VLOOKUP(B554,Pricelist!A:D,2,FALSE)),"",VLOOKUP(B554,Pricelist!A:D,4,FALSE))</f>
        <v/>
      </c>
      <c r="E554" s="160"/>
    </row>
    <row r="555" spans="2:5" ht="12" customHeight="1">
      <c r="B555" s="270"/>
      <c r="C555" s="371" t="str">
        <f>IF(ISNA(VLOOKUP(B555,Pricelist!A:D,2,FALSE)),"",VLOOKUP(B555,Pricelist!A:D,2,FALSE))</f>
        <v/>
      </c>
      <c r="D555" s="159" t="str">
        <f>IF(ISNA(VLOOKUP(B555,Pricelist!A:D,2,FALSE)),"",VLOOKUP(B555,Pricelist!A:D,4,FALSE))</f>
        <v/>
      </c>
      <c r="E555" s="160"/>
    </row>
    <row r="556" spans="2:5" ht="12" customHeight="1">
      <c r="B556" s="270"/>
      <c r="C556" s="371" t="str">
        <f>IF(ISNA(VLOOKUP(B556,Pricelist!A:D,2,FALSE)),"",VLOOKUP(B556,Pricelist!A:D,2,FALSE))</f>
        <v/>
      </c>
      <c r="D556" s="159" t="str">
        <f>IF(ISNA(VLOOKUP(B556,Pricelist!A:D,2,FALSE)),"",VLOOKUP(B556,Pricelist!A:D,4,FALSE))</f>
        <v/>
      </c>
      <c r="E556" s="160"/>
    </row>
    <row r="557" spans="2:5" ht="12" customHeight="1">
      <c r="B557" s="270"/>
      <c r="C557" s="371" t="str">
        <f>IF(ISNA(VLOOKUP(B557,Pricelist!A:D,2,FALSE)),"",VLOOKUP(B557,Pricelist!A:D,2,FALSE))</f>
        <v/>
      </c>
      <c r="D557" s="159" t="str">
        <f>IF(ISNA(VLOOKUP(B557,Pricelist!A:D,2,FALSE)),"",VLOOKUP(B557,Pricelist!A:D,4,FALSE))</f>
        <v/>
      </c>
      <c r="E557" s="160"/>
    </row>
    <row r="558" spans="2:5" ht="12" customHeight="1">
      <c r="B558" s="270"/>
      <c r="C558" s="371" t="str">
        <f>IF(ISNA(VLOOKUP(B558,Pricelist!A:D,2,FALSE)),"",VLOOKUP(B558,Pricelist!A:D,2,FALSE))</f>
        <v/>
      </c>
      <c r="D558" s="159" t="str">
        <f>IF(ISNA(VLOOKUP(B558,Pricelist!A:D,2,FALSE)),"",VLOOKUP(B558,Pricelist!A:D,4,FALSE))</f>
        <v/>
      </c>
      <c r="E558" s="160"/>
    </row>
    <row r="559" spans="2:5" ht="12" customHeight="1">
      <c r="B559" s="270"/>
      <c r="C559" s="371" t="str">
        <f>IF(ISNA(VLOOKUP(B559,Pricelist!A:D,2,FALSE)),"",VLOOKUP(B559,Pricelist!A:D,2,FALSE))</f>
        <v/>
      </c>
      <c r="D559" s="159" t="str">
        <f>IF(ISNA(VLOOKUP(B559,Pricelist!A:D,2,FALSE)),"",VLOOKUP(B559,Pricelist!A:D,4,FALSE))</f>
        <v/>
      </c>
      <c r="E559" s="160"/>
    </row>
    <row r="560" spans="2:5" ht="12" customHeight="1">
      <c r="B560" s="270"/>
      <c r="C560" s="371" t="str">
        <f>IF(ISNA(VLOOKUP(B560,Pricelist!A:D,2,FALSE)),"",VLOOKUP(B560,Pricelist!A:D,2,FALSE))</f>
        <v/>
      </c>
      <c r="D560" s="159" t="str">
        <f>IF(ISNA(VLOOKUP(B560,Pricelist!A:D,2,FALSE)),"",VLOOKUP(B560,Pricelist!A:D,4,FALSE))</f>
        <v/>
      </c>
      <c r="E560" s="160"/>
    </row>
    <row r="561" spans="1:5" ht="12" customHeight="1">
      <c r="B561" s="270"/>
      <c r="C561" s="371" t="str">
        <f>IF(ISNA(VLOOKUP(B561,Pricelist!A:D,2,FALSE)),"",VLOOKUP(B561,Pricelist!A:D,2,FALSE))</f>
        <v/>
      </c>
      <c r="D561" s="159" t="str">
        <f>IF(ISNA(VLOOKUP(B561,Pricelist!A:D,2,FALSE)),"",VLOOKUP(B561,Pricelist!A:D,4,FALSE))</f>
        <v/>
      </c>
      <c r="E561" s="160"/>
    </row>
    <row r="562" spans="1:5" ht="12" customHeight="1">
      <c r="B562" s="270"/>
      <c r="C562" s="371" t="str">
        <f>IF(ISNA(VLOOKUP(B562,Pricelist!A:D,2,FALSE)),"",VLOOKUP(B562,Pricelist!A:D,2,FALSE))</f>
        <v/>
      </c>
      <c r="D562" s="159" t="str">
        <f>IF(ISNA(VLOOKUP(B562,Pricelist!A:D,2,FALSE)),"",VLOOKUP(B562,Pricelist!A:D,4,FALSE))</f>
        <v/>
      </c>
      <c r="E562" s="160"/>
    </row>
    <row r="563" spans="1:5" ht="12" customHeight="1">
      <c r="B563" s="270"/>
      <c r="C563" s="371" t="str">
        <f>IF(ISNA(VLOOKUP(B563,Pricelist!A:D,2,FALSE)),"",VLOOKUP(B563,Pricelist!A:D,2,FALSE))</f>
        <v/>
      </c>
      <c r="D563" s="159" t="str">
        <f>IF(ISNA(VLOOKUP(B563,Pricelist!A:D,2,FALSE)),"",VLOOKUP(B563,Pricelist!A:D,4,FALSE))</f>
        <v/>
      </c>
      <c r="E563" s="160"/>
    </row>
    <row r="564" spans="1:5" ht="12" customHeight="1">
      <c r="B564" s="270"/>
      <c r="C564" s="371" t="str">
        <f>IF(ISNA(VLOOKUP(B564,Pricelist!A:D,2,FALSE)),"",VLOOKUP(B564,Pricelist!A:D,2,FALSE))</f>
        <v/>
      </c>
      <c r="D564" s="159" t="str">
        <f>IF(ISNA(VLOOKUP(B564,Pricelist!A:D,2,FALSE)),"",VLOOKUP(B564,Pricelist!A:D,4,FALSE))</f>
        <v/>
      </c>
      <c r="E564" s="160"/>
    </row>
    <row r="565" spans="1:5" ht="12" customHeight="1">
      <c r="B565" s="270"/>
      <c r="C565" s="371" t="str">
        <f>IF(ISNA(VLOOKUP(B565,Pricelist!A:D,2,FALSE)),"",VLOOKUP(B565,Pricelist!A:D,2,FALSE))</f>
        <v/>
      </c>
      <c r="D565" s="159" t="str">
        <f>IF(ISNA(VLOOKUP(B565,Pricelist!A:D,2,FALSE)),"",VLOOKUP(B565,Pricelist!A:D,4,FALSE))</f>
        <v/>
      </c>
      <c r="E565" s="160"/>
    </row>
    <row r="566" spans="1:5" ht="12" customHeight="1">
      <c r="B566" s="270"/>
      <c r="C566" s="371" t="str">
        <f>IF(ISNA(VLOOKUP(B566,Pricelist!A:D,2,FALSE)),"",VLOOKUP(B566,Pricelist!A:D,2,FALSE))</f>
        <v/>
      </c>
      <c r="D566" s="159" t="str">
        <f>IF(ISNA(VLOOKUP(B566,Pricelist!A:D,2,FALSE)),"",VLOOKUP(B566,Pricelist!A:D,4,FALSE))</f>
        <v/>
      </c>
      <c r="E566" s="160"/>
    </row>
    <row r="567" spans="1:5" ht="12" customHeight="1">
      <c r="B567" s="270"/>
      <c r="C567" s="371" t="str">
        <f>IF(ISNA(VLOOKUP(B567,Pricelist!A:D,2,FALSE)),"",VLOOKUP(B567,Pricelist!A:D,2,FALSE))</f>
        <v/>
      </c>
      <c r="D567" s="159" t="str">
        <f>IF(ISNA(VLOOKUP(B567,Pricelist!A:D,2,FALSE)),"",VLOOKUP(B567,Pricelist!A:D,4,FALSE))</f>
        <v/>
      </c>
      <c r="E567" s="160"/>
    </row>
    <row r="568" spans="1:5" ht="12" customHeight="1">
      <c r="A568" s="158" t="s">
        <v>1086</v>
      </c>
      <c r="B568" s="270"/>
      <c r="C568" s="371" t="str">
        <f>IF(ISNA(VLOOKUP(B568,Pricelist!A:D,2,FALSE)),"",VLOOKUP(B568,Pricelist!A:D,2,FALSE))</f>
        <v/>
      </c>
      <c r="D568" s="159" t="str">
        <f>IF(ISNA(VLOOKUP(B568,Pricelist!A:D,2,FALSE)),"",VLOOKUP(B568,Pricelist!A:D,4,FALSE))</f>
        <v/>
      </c>
    </row>
    <row r="569" spans="1:5" ht="12" customHeight="1">
      <c r="B569" s="270"/>
      <c r="C569" s="371" t="str">
        <f>IF(ISNA(VLOOKUP(B569,Pricelist!A:D,2,FALSE)),"",VLOOKUP(B569,Pricelist!A:D,2,FALSE))</f>
        <v/>
      </c>
      <c r="D569" s="159" t="str">
        <f>IF(ISNA(VLOOKUP(B569,Pricelist!A:D,2,FALSE)),"",VLOOKUP(B569,Pricelist!A:D,4,FALSE))</f>
        <v/>
      </c>
    </row>
    <row r="570" spans="1:5" ht="12" customHeight="1">
      <c r="B570" s="270"/>
      <c r="C570" s="371" t="str">
        <f>IF(ISNA(VLOOKUP(B570,Pricelist!A:D,2,FALSE)),"",VLOOKUP(B570,Pricelist!A:D,2,FALSE))</f>
        <v/>
      </c>
      <c r="D570" s="159" t="str">
        <f>IF(ISNA(VLOOKUP(B570,Pricelist!A:D,2,FALSE)),"",VLOOKUP(B570,Pricelist!A:D,4,FALSE))</f>
        <v/>
      </c>
    </row>
    <row r="571" spans="1:5" ht="12" customHeight="1">
      <c r="B571" s="270"/>
      <c r="C571" s="371" t="str">
        <f>IF(ISNA(VLOOKUP(B571,Pricelist!A:D,2,FALSE)),"",VLOOKUP(B571,Pricelist!A:D,2,FALSE))</f>
        <v/>
      </c>
      <c r="D571" s="159" t="str">
        <f>IF(ISNA(VLOOKUP(B571,Pricelist!A:D,2,FALSE)),"",VLOOKUP(B571,Pricelist!A:D,4,FALSE))</f>
        <v/>
      </c>
    </row>
    <row r="572" spans="1:5" ht="12" customHeight="1">
      <c r="B572" s="270"/>
      <c r="C572" s="371" t="str">
        <f>IF(ISNA(VLOOKUP(B572,Pricelist!A:D,2,FALSE)),"",VLOOKUP(B572,Pricelist!A:D,2,FALSE))</f>
        <v/>
      </c>
      <c r="D572" s="159" t="str">
        <f>IF(ISNA(VLOOKUP(B572,Pricelist!A:D,2,FALSE)),"",VLOOKUP(B572,Pricelist!A:D,4,FALSE))</f>
        <v/>
      </c>
    </row>
    <row r="573" spans="1:5" ht="12" customHeight="1">
      <c r="B573" s="270"/>
      <c r="C573" s="371" t="str">
        <f>IF(ISNA(VLOOKUP(B573,Pricelist!A:D,2,FALSE)),"",VLOOKUP(B573,Pricelist!A:D,2,FALSE))</f>
        <v/>
      </c>
      <c r="D573" s="159" t="str">
        <f>IF(ISNA(VLOOKUP(B573,Pricelist!A:D,2,FALSE)),"",VLOOKUP(B573,Pricelist!A:D,4,FALSE))</f>
        <v/>
      </c>
    </row>
    <row r="574" spans="1:5" ht="12" customHeight="1">
      <c r="B574" s="270"/>
      <c r="C574" s="371" t="str">
        <f>IF(ISNA(VLOOKUP(B574,Pricelist!A:D,2,FALSE)),"",VLOOKUP(B574,Pricelist!A:D,2,FALSE))</f>
        <v/>
      </c>
      <c r="D574" s="159" t="str">
        <f>IF(ISNA(VLOOKUP(B574,Pricelist!A:D,2,FALSE)),"",VLOOKUP(B574,Pricelist!A:D,4,FALSE))</f>
        <v/>
      </c>
    </row>
    <row r="575" spans="1:5" ht="12" customHeight="1">
      <c r="B575" s="270"/>
      <c r="C575" s="371" t="str">
        <f>IF(ISNA(VLOOKUP(B575,Pricelist!A:D,2,FALSE)),"",VLOOKUP(B575,Pricelist!A:D,2,FALSE))</f>
        <v/>
      </c>
      <c r="D575" s="159" t="str">
        <f>IF(ISNA(VLOOKUP(B575,Pricelist!A:D,2,FALSE)),"",VLOOKUP(B575,Pricelist!A:D,4,FALSE))</f>
        <v/>
      </c>
    </row>
    <row r="576" spans="1:5" ht="12" customHeight="1">
      <c r="B576" s="270"/>
      <c r="C576" s="371" t="str">
        <f>IF(ISNA(VLOOKUP(B576,Pricelist!A:D,2,FALSE)),"",VLOOKUP(B576,Pricelist!A:D,2,FALSE))</f>
        <v/>
      </c>
      <c r="D576" s="159" t="str">
        <f>IF(ISNA(VLOOKUP(B576,Pricelist!A:D,2,FALSE)),"",VLOOKUP(B576,Pricelist!A:D,4,FALSE))</f>
        <v/>
      </c>
    </row>
    <row r="577" spans="2:4" ht="12" customHeight="1">
      <c r="B577" s="270"/>
      <c r="C577" s="371" t="str">
        <f>IF(ISNA(VLOOKUP(B577,Pricelist!A:D,2,FALSE)),"",VLOOKUP(B577,Pricelist!A:D,2,FALSE))</f>
        <v/>
      </c>
      <c r="D577" s="159" t="str">
        <f>IF(ISNA(VLOOKUP(B577,Pricelist!A:D,2,FALSE)),"",VLOOKUP(B577,Pricelist!A:D,4,FALSE))</f>
        <v/>
      </c>
    </row>
    <row r="578" spans="2:4" ht="12" customHeight="1">
      <c r="B578" s="270"/>
      <c r="C578" s="371" t="str">
        <f>IF(ISNA(VLOOKUP(B578,Pricelist!A:D,2,FALSE)),"",VLOOKUP(B578,Pricelist!A:D,2,FALSE))</f>
        <v/>
      </c>
      <c r="D578" s="159" t="str">
        <f>IF(ISNA(VLOOKUP(B578,Pricelist!A:D,2,FALSE)),"",VLOOKUP(B578,Pricelist!A:D,4,FALSE))</f>
        <v/>
      </c>
    </row>
    <row r="579" spans="2:4" ht="12" customHeight="1">
      <c r="B579" s="270"/>
      <c r="C579" s="371" t="str">
        <f>IF(ISNA(VLOOKUP(B579,Pricelist!A:D,2,FALSE)),"",VLOOKUP(B579,Pricelist!A:D,2,FALSE))</f>
        <v/>
      </c>
      <c r="D579" s="159" t="str">
        <f>IF(ISNA(VLOOKUP(B579,Pricelist!A:D,2,FALSE)),"",VLOOKUP(B579,Pricelist!A:D,4,FALSE))</f>
        <v/>
      </c>
    </row>
    <row r="580" spans="2:4" ht="12" customHeight="1">
      <c r="B580" s="270"/>
      <c r="C580" s="371" t="str">
        <f>IF(ISNA(VLOOKUP(B580,Pricelist!A:D,2,FALSE)),"",VLOOKUP(B580,Pricelist!A:D,2,FALSE))</f>
        <v/>
      </c>
      <c r="D580" s="159" t="str">
        <f>IF(ISNA(VLOOKUP(B580,Pricelist!A:D,2,FALSE)),"",VLOOKUP(B580,Pricelist!A:D,4,FALSE))</f>
        <v/>
      </c>
    </row>
    <row r="581" spans="2:4" ht="12" customHeight="1">
      <c r="B581" s="270"/>
      <c r="C581" s="371" t="str">
        <f>IF(ISNA(VLOOKUP(B581,Pricelist!A:D,2,FALSE)),"",VLOOKUP(B581,Pricelist!A:D,2,FALSE))</f>
        <v/>
      </c>
      <c r="D581" s="159" t="str">
        <f>IF(ISNA(VLOOKUP(B581,Pricelist!A:D,2,FALSE)),"",VLOOKUP(B581,Pricelist!A:D,4,FALSE))</f>
        <v/>
      </c>
    </row>
    <row r="582" spans="2:4" ht="12" customHeight="1">
      <c r="B582" s="270"/>
      <c r="C582" s="371" t="str">
        <f>IF(ISNA(VLOOKUP(B582,Pricelist!A:D,2,FALSE)),"",VLOOKUP(B582,Pricelist!A:D,2,FALSE))</f>
        <v/>
      </c>
      <c r="D582" s="159" t="str">
        <f>IF(ISNA(VLOOKUP(B582,Pricelist!A:D,2,FALSE)),"",VLOOKUP(B582,Pricelist!A:D,4,FALSE))</f>
        <v/>
      </c>
    </row>
    <row r="583" spans="2:4" ht="12" customHeight="1">
      <c r="B583" s="270"/>
      <c r="C583" s="371" t="str">
        <f>IF(ISNA(VLOOKUP(B583,Pricelist!A:D,2,FALSE)),"",VLOOKUP(B583,Pricelist!A:D,2,FALSE))</f>
        <v/>
      </c>
      <c r="D583" s="159" t="str">
        <f>IF(ISNA(VLOOKUP(B583,Pricelist!A:D,2,FALSE)),"",VLOOKUP(B583,Pricelist!A:D,4,FALSE))</f>
        <v/>
      </c>
    </row>
    <row r="584" spans="2:4" ht="12" customHeight="1">
      <c r="B584" s="270"/>
      <c r="C584" s="371" t="str">
        <f>IF(ISNA(VLOOKUP(B584,Pricelist!A:D,2,FALSE)),"",VLOOKUP(B584,Pricelist!A:D,2,FALSE))</f>
        <v/>
      </c>
      <c r="D584" s="159" t="str">
        <f>IF(ISNA(VLOOKUP(B584,Pricelist!A:D,2,FALSE)),"",VLOOKUP(B584,Pricelist!A:D,4,FALSE))</f>
        <v/>
      </c>
    </row>
    <row r="585" spans="2:4" ht="12" customHeight="1">
      <c r="B585" s="270"/>
      <c r="C585" s="371" t="str">
        <f>IF(ISNA(VLOOKUP(B585,Pricelist!A:D,2,FALSE)),"",VLOOKUP(B585,Pricelist!A:D,2,FALSE))</f>
        <v/>
      </c>
      <c r="D585" s="159" t="str">
        <f>IF(ISNA(VLOOKUP(B585,Pricelist!A:D,2,FALSE)),"",VLOOKUP(B585,Pricelist!A:D,4,FALSE))</f>
        <v/>
      </c>
    </row>
    <row r="586" spans="2:4" ht="12" customHeight="1">
      <c r="B586" s="270"/>
      <c r="C586" s="371" t="str">
        <f>IF(ISNA(VLOOKUP(B586,Pricelist!A:D,2,FALSE)),"",VLOOKUP(B586,Pricelist!A:D,2,FALSE))</f>
        <v/>
      </c>
      <c r="D586" s="159" t="str">
        <f>IF(ISNA(VLOOKUP(B586,Pricelist!A:D,2,FALSE)),"",VLOOKUP(B586,Pricelist!A:D,4,FALSE))</f>
        <v/>
      </c>
    </row>
    <row r="587" spans="2:4" ht="12" customHeight="1">
      <c r="B587" s="270"/>
      <c r="C587" s="371" t="str">
        <f>IF(ISNA(VLOOKUP(B587,Pricelist!A:D,2,FALSE)),"",VLOOKUP(B587,Pricelist!A:D,2,FALSE))</f>
        <v/>
      </c>
      <c r="D587" s="159" t="str">
        <f>IF(ISNA(VLOOKUP(B587,Pricelist!A:D,2,FALSE)),"",VLOOKUP(B587,Pricelist!A:D,4,FALSE))</f>
        <v/>
      </c>
    </row>
    <row r="588" spans="2:4" ht="12" customHeight="1">
      <c r="B588" s="270"/>
      <c r="C588" s="371" t="str">
        <f>IF(ISNA(VLOOKUP(B588,Pricelist!A:D,2,FALSE)),"",VLOOKUP(B588,Pricelist!A:D,2,FALSE))</f>
        <v/>
      </c>
      <c r="D588" s="159" t="str">
        <f>IF(ISNA(VLOOKUP(B588,Pricelist!A:D,2,FALSE)),"",VLOOKUP(B588,Pricelist!A:D,4,FALSE))</f>
        <v/>
      </c>
    </row>
    <row r="589" spans="2:4" ht="12" customHeight="1">
      <c r="B589" s="270"/>
      <c r="C589" s="371" t="str">
        <f>IF(ISNA(VLOOKUP(B589,Pricelist!A:D,2,FALSE)),"",VLOOKUP(B589,Pricelist!A:D,2,FALSE))</f>
        <v/>
      </c>
      <c r="D589" s="159" t="str">
        <f>IF(ISNA(VLOOKUP(B589,Pricelist!A:D,2,FALSE)),"",VLOOKUP(B589,Pricelist!A:D,4,FALSE))</f>
        <v/>
      </c>
    </row>
    <row r="590" spans="2:4" ht="12" customHeight="1">
      <c r="B590" s="270"/>
      <c r="C590" s="371" t="str">
        <f>IF(ISNA(VLOOKUP(B590,Pricelist!A:D,2,FALSE)),"",VLOOKUP(B590,Pricelist!A:D,2,FALSE))</f>
        <v/>
      </c>
      <c r="D590" s="159" t="str">
        <f>IF(ISNA(VLOOKUP(B590,Pricelist!A:D,2,FALSE)),"",VLOOKUP(B590,Pricelist!A:D,4,FALSE))</f>
        <v/>
      </c>
    </row>
    <row r="591" spans="2:4" ht="12" customHeight="1">
      <c r="B591" s="270"/>
      <c r="C591" s="371" t="str">
        <f>IF(ISNA(VLOOKUP(B591,Pricelist!A:D,2,FALSE)),"",VLOOKUP(B591,Pricelist!A:D,2,FALSE))</f>
        <v/>
      </c>
      <c r="D591" s="159" t="str">
        <f>IF(ISNA(VLOOKUP(B591,Pricelist!A:D,2,FALSE)),"",VLOOKUP(B591,Pricelist!A:D,4,FALSE))</f>
        <v/>
      </c>
    </row>
    <row r="592" spans="2:4" ht="12" customHeight="1">
      <c r="B592" s="270"/>
      <c r="C592" s="371" t="str">
        <f>IF(ISNA(VLOOKUP(B592,Pricelist!A:D,2,FALSE)),"",VLOOKUP(B592,Pricelist!A:D,2,FALSE))</f>
        <v/>
      </c>
      <c r="D592" s="159" t="str">
        <f>IF(ISNA(VLOOKUP(B592,Pricelist!A:D,2,FALSE)),"",VLOOKUP(B592,Pricelist!A:D,4,FALSE))</f>
        <v/>
      </c>
    </row>
    <row r="593" spans="2:4" ht="12" customHeight="1">
      <c r="B593" s="270"/>
      <c r="C593" s="371" t="str">
        <f>IF(ISNA(VLOOKUP(B593,Pricelist!A:D,2,FALSE)),"",VLOOKUP(B593,Pricelist!A:D,2,FALSE))</f>
        <v/>
      </c>
      <c r="D593" s="159" t="str">
        <f>IF(ISNA(VLOOKUP(B593,Pricelist!A:D,2,FALSE)),"",VLOOKUP(B593,Pricelist!A:D,4,FALSE))</f>
        <v/>
      </c>
    </row>
    <row r="594" spans="2:4" ht="12" customHeight="1">
      <c r="B594" s="270"/>
      <c r="C594" s="371" t="str">
        <f>IF(ISNA(VLOOKUP(B594,Pricelist!A:D,2,FALSE)),"",VLOOKUP(B594,Pricelist!A:D,2,FALSE))</f>
        <v/>
      </c>
      <c r="D594" s="159" t="str">
        <f>IF(ISNA(VLOOKUP(B594,Pricelist!A:D,2,FALSE)),"",VLOOKUP(B594,Pricelist!A:D,4,FALSE))</f>
        <v/>
      </c>
    </row>
    <row r="595" spans="2:4" ht="12" customHeight="1">
      <c r="B595" s="270"/>
      <c r="C595" s="371" t="str">
        <f>IF(ISNA(VLOOKUP(B595,Pricelist!A:D,2,FALSE)),"",VLOOKUP(B595,Pricelist!A:D,2,FALSE))</f>
        <v/>
      </c>
      <c r="D595" s="159" t="str">
        <f>IF(ISNA(VLOOKUP(B595,Pricelist!A:D,2,FALSE)),"",VLOOKUP(B595,Pricelist!A:D,4,FALSE))</f>
        <v/>
      </c>
    </row>
    <row r="596" spans="2:4" ht="12" customHeight="1">
      <c r="B596" s="270"/>
      <c r="C596" s="371" t="str">
        <f>IF(ISNA(VLOOKUP(B596,Pricelist!A:D,2,FALSE)),"",VLOOKUP(B596,Pricelist!A:D,2,FALSE))</f>
        <v/>
      </c>
      <c r="D596" s="159" t="str">
        <f>IF(ISNA(VLOOKUP(B596,Pricelist!A:D,2,FALSE)),"",VLOOKUP(B596,Pricelist!A:D,4,FALSE))</f>
        <v/>
      </c>
    </row>
    <row r="597" spans="2:4" ht="12" customHeight="1">
      <c r="B597" s="270"/>
      <c r="C597" s="371" t="str">
        <f>IF(ISNA(VLOOKUP(B597,Pricelist!A:D,2,FALSE)),"",VLOOKUP(B597,Pricelist!A:D,2,FALSE))</f>
        <v/>
      </c>
      <c r="D597" s="159" t="str">
        <f>IF(ISNA(VLOOKUP(B597,Pricelist!A:D,2,FALSE)),"",VLOOKUP(B597,Pricelist!A:D,4,FALSE))</f>
        <v/>
      </c>
    </row>
    <row r="598" spans="2:4" ht="12" customHeight="1">
      <c r="B598" s="270"/>
      <c r="C598" s="371" t="str">
        <f>IF(ISNA(VLOOKUP(B598,Pricelist!A:D,2,FALSE)),"",VLOOKUP(B598,Pricelist!A:D,2,FALSE))</f>
        <v/>
      </c>
      <c r="D598" s="159" t="str">
        <f>IF(ISNA(VLOOKUP(B598,Pricelist!A:D,2,FALSE)),"",VLOOKUP(B598,Pricelist!A:D,4,FALSE))</f>
        <v/>
      </c>
    </row>
    <row r="599" spans="2:4" ht="12" customHeight="1">
      <c r="B599" s="270"/>
      <c r="C599" s="371" t="str">
        <f>IF(ISNA(VLOOKUP(B599,Pricelist!A:D,2,FALSE)),"",VLOOKUP(B599,Pricelist!A:D,2,FALSE))</f>
        <v/>
      </c>
      <c r="D599" s="159" t="str">
        <f>IF(ISNA(VLOOKUP(B599,Pricelist!A:D,2,FALSE)),"",VLOOKUP(B599,Pricelist!A:D,4,FALSE))</f>
        <v/>
      </c>
    </row>
    <row r="600" spans="2:4" ht="12" customHeight="1">
      <c r="B600" s="270"/>
      <c r="C600" s="371" t="str">
        <f>IF(ISNA(VLOOKUP(B600,Pricelist!A:D,2,FALSE)),"",VLOOKUP(B600,Pricelist!A:D,2,FALSE))</f>
        <v/>
      </c>
      <c r="D600" s="159" t="str">
        <f>IF(ISNA(VLOOKUP(B600,Pricelist!A:D,2,FALSE)),"",VLOOKUP(B600,Pricelist!A:D,4,FALSE))</f>
        <v/>
      </c>
    </row>
    <row r="601" spans="2:4" ht="12" customHeight="1">
      <c r="B601" s="270"/>
      <c r="C601" s="371" t="str">
        <f>IF(ISNA(VLOOKUP(B601,Pricelist!A:D,2,FALSE)),"",VLOOKUP(B601,Pricelist!A:D,2,FALSE))</f>
        <v/>
      </c>
      <c r="D601" s="159" t="str">
        <f>IF(ISNA(VLOOKUP(B601,Pricelist!A:D,2,FALSE)),"",VLOOKUP(B601,Pricelist!A:D,4,FALSE))</f>
        <v/>
      </c>
    </row>
    <row r="602" spans="2:4" ht="12" customHeight="1">
      <c r="B602" s="270"/>
      <c r="C602" s="371" t="str">
        <f>IF(ISNA(VLOOKUP(B602,Pricelist!A:D,2,FALSE)),"",VLOOKUP(B602,Pricelist!A:D,2,FALSE))</f>
        <v/>
      </c>
      <c r="D602" s="159" t="str">
        <f>IF(ISNA(VLOOKUP(B602,Pricelist!A:D,2,FALSE)),"",VLOOKUP(B602,Pricelist!A:D,4,FALSE))</f>
        <v/>
      </c>
    </row>
    <row r="603" spans="2:4" ht="12" customHeight="1">
      <c r="B603" s="270"/>
      <c r="C603" s="371" t="str">
        <f>IF(ISNA(VLOOKUP(B603,Pricelist!A:D,2,FALSE)),"",VLOOKUP(B603,Pricelist!A:D,2,FALSE))</f>
        <v/>
      </c>
      <c r="D603" s="159" t="str">
        <f>IF(ISNA(VLOOKUP(B603,Pricelist!A:D,2,FALSE)),"",VLOOKUP(B603,Pricelist!A:D,4,FALSE))</f>
        <v/>
      </c>
    </row>
    <row r="604" spans="2:4" ht="12" customHeight="1">
      <c r="B604" s="270"/>
      <c r="C604" s="371" t="str">
        <f>IF(ISNA(VLOOKUP(B604,Pricelist!A:D,2,FALSE)),"",VLOOKUP(B604,Pricelist!A:D,2,FALSE))</f>
        <v/>
      </c>
      <c r="D604" s="159" t="str">
        <f>IF(ISNA(VLOOKUP(B604,Pricelist!A:D,2,FALSE)),"",VLOOKUP(B604,Pricelist!A:D,4,FALSE))</f>
        <v/>
      </c>
    </row>
    <row r="605" spans="2:4" ht="12" customHeight="1">
      <c r="B605" s="270"/>
      <c r="C605" s="371" t="str">
        <f>IF(ISNA(VLOOKUP(B605,Pricelist!A:D,2,FALSE)),"",VLOOKUP(B605,Pricelist!A:D,2,FALSE))</f>
        <v/>
      </c>
      <c r="D605" s="159" t="str">
        <f>IF(ISNA(VLOOKUP(B605,Pricelist!A:D,2,FALSE)),"",VLOOKUP(B605,Pricelist!A:D,4,FALSE))</f>
        <v/>
      </c>
    </row>
    <row r="606" spans="2:4" ht="12" customHeight="1">
      <c r="B606" s="270"/>
      <c r="C606" s="371" t="str">
        <f>IF(ISNA(VLOOKUP(B606,Pricelist!A:D,2,FALSE)),"",VLOOKUP(B606,Pricelist!A:D,2,FALSE))</f>
        <v/>
      </c>
      <c r="D606" s="159" t="str">
        <f>IF(ISNA(VLOOKUP(B606,Pricelist!A:D,2,FALSE)),"",VLOOKUP(B606,Pricelist!A:D,4,FALSE))</f>
        <v/>
      </c>
    </row>
    <row r="607" spans="2:4" ht="12" customHeight="1">
      <c r="B607" s="270"/>
      <c r="C607" s="371" t="str">
        <f>IF(ISNA(VLOOKUP(B607,Pricelist!A:D,2,FALSE)),"",VLOOKUP(B607,Pricelist!A:D,2,FALSE))</f>
        <v/>
      </c>
      <c r="D607" s="159" t="str">
        <f>IF(ISNA(VLOOKUP(B607,Pricelist!A:D,2,FALSE)),"",VLOOKUP(B607,Pricelist!A:D,4,FALSE))</f>
        <v/>
      </c>
    </row>
    <row r="608" spans="2:4" ht="12" customHeight="1">
      <c r="B608" s="270"/>
      <c r="C608" s="371" t="str">
        <f>IF(ISNA(VLOOKUP(B608,Pricelist!A:D,2,FALSE)),"",VLOOKUP(B608,Pricelist!A:D,2,FALSE))</f>
        <v/>
      </c>
      <c r="D608" s="159" t="str">
        <f>IF(ISNA(VLOOKUP(B608,Pricelist!A:D,2,FALSE)),"",VLOOKUP(B608,Pricelist!A:D,4,FALSE))</f>
        <v/>
      </c>
    </row>
    <row r="609" spans="2:4" ht="12" customHeight="1">
      <c r="B609" s="270"/>
      <c r="C609" s="371" t="str">
        <f>IF(ISNA(VLOOKUP(B609,Pricelist!A:D,2,FALSE)),"",VLOOKUP(B609,Pricelist!A:D,2,FALSE))</f>
        <v/>
      </c>
      <c r="D609" s="159" t="str">
        <f>IF(ISNA(VLOOKUP(B609,Pricelist!A:D,2,FALSE)),"",VLOOKUP(B609,Pricelist!A:D,4,FALSE))</f>
        <v/>
      </c>
    </row>
    <row r="610" spans="2:4" ht="12" customHeight="1">
      <c r="B610" s="270"/>
      <c r="C610" s="371" t="str">
        <f>IF(ISNA(VLOOKUP(B610,Pricelist!A:D,2,FALSE)),"",VLOOKUP(B610,Pricelist!A:D,2,FALSE))</f>
        <v/>
      </c>
      <c r="D610" s="159" t="str">
        <f>IF(ISNA(VLOOKUP(B610,Pricelist!A:D,2,FALSE)),"",VLOOKUP(B610,Pricelist!A:D,4,FALSE))</f>
        <v/>
      </c>
    </row>
    <row r="611" spans="2:4" ht="12" customHeight="1">
      <c r="B611" s="270"/>
      <c r="C611" s="371" t="str">
        <f>IF(ISNA(VLOOKUP(B611,Pricelist!A:D,2,FALSE)),"",VLOOKUP(B611,Pricelist!A:D,2,FALSE))</f>
        <v/>
      </c>
      <c r="D611" s="159" t="str">
        <f>IF(ISNA(VLOOKUP(B611,Pricelist!A:D,2,FALSE)),"",VLOOKUP(B611,Pricelist!A:D,4,FALSE))</f>
        <v/>
      </c>
    </row>
    <row r="612" spans="2:4" ht="12" customHeight="1">
      <c r="B612" s="270"/>
      <c r="C612" s="371" t="str">
        <f>IF(ISNA(VLOOKUP(B612,Pricelist!A:D,2,FALSE)),"",VLOOKUP(B612,Pricelist!A:D,2,FALSE))</f>
        <v/>
      </c>
      <c r="D612" s="159" t="str">
        <f>IF(ISNA(VLOOKUP(B612,Pricelist!A:D,2,FALSE)),"",VLOOKUP(B612,Pricelist!A:D,4,FALSE))</f>
        <v/>
      </c>
    </row>
    <row r="613" spans="2:4" ht="12" customHeight="1">
      <c r="B613" s="270"/>
      <c r="C613" s="371" t="str">
        <f>IF(ISNA(VLOOKUP(B613,Pricelist!A:D,2,FALSE)),"",VLOOKUP(B613,Pricelist!A:D,2,FALSE))</f>
        <v/>
      </c>
      <c r="D613" s="159" t="str">
        <f>IF(ISNA(VLOOKUP(B613,Pricelist!A:D,2,FALSE)),"",VLOOKUP(B613,Pricelist!A:D,4,FALSE))</f>
        <v/>
      </c>
    </row>
    <row r="614" spans="2:4" ht="12" customHeight="1">
      <c r="B614" s="270"/>
      <c r="C614" s="371" t="str">
        <f>IF(ISNA(VLOOKUP(B614,Pricelist!A:D,2,FALSE)),"",VLOOKUP(B614,Pricelist!A:D,2,FALSE))</f>
        <v/>
      </c>
      <c r="D614" s="159" t="str">
        <f>IF(ISNA(VLOOKUP(B614,Pricelist!A:D,2,FALSE)),"",VLOOKUP(B614,Pricelist!A:D,4,FALSE))</f>
        <v/>
      </c>
    </row>
    <row r="615" spans="2:4" ht="12" customHeight="1">
      <c r="B615" s="270"/>
      <c r="C615" s="371" t="str">
        <f>IF(ISNA(VLOOKUP(B615,Pricelist!A:D,2,FALSE)),"",VLOOKUP(B615,Pricelist!A:D,2,FALSE))</f>
        <v/>
      </c>
      <c r="D615" s="159" t="str">
        <f>IF(ISNA(VLOOKUP(B615,Pricelist!A:D,2,FALSE)),"",VLOOKUP(B615,Pricelist!A:D,4,FALSE))</f>
        <v/>
      </c>
    </row>
    <row r="616" spans="2:4" ht="12" customHeight="1">
      <c r="B616" s="270"/>
      <c r="C616" s="371" t="str">
        <f>IF(ISNA(VLOOKUP(B616,Pricelist!A:D,2,FALSE)),"",VLOOKUP(B616,Pricelist!A:D,2,FALSE))</f>
        <v/>
      </c>
      <c r="D616" s="159" t="str">
        <f>IF(ISNA(VLOOKUP(B616,Pricelist!A:D,2,FALSE)),"",VLOOKUP(B616,Pricelist!A:D,4,FALSE))</f>
        <v/>
      </c>
    </row>
    <row r="617" spans="2:4" ht="12" customHeight="1">
      <c r="B617" s="270"/>
      <c r="C617" s="371" t="str">
        <f>IF(ISNA(VLOOKUP(B617,Pricelist!A:D,2,FALSE)),"",VLOOKUP(B617,Pricelist!A:D,2,FALSE))</f>
        <v/>
      </c>
      <c r="D617" s="159" t="str">
        <f>IF(ISNA(VLOOKUP(B617,Pricelist!A:D,2,FALSE)),"",VLOOKUP(B617,Pricelist!A:D,4,FALSE))</f>
        <v/>
      </c>
    </row>
    <row r="618" spans="2:4" ht="12" customHeight="1">
      <c r="B618" s="270"/>
      <c r="C618" s="371" t="str">
        <f>IF(ISNA(VLOOKUP(B816,Pricelist!A:D,2,FALSE)),"",VLOOKUP(B816,Pricelist!A:D,2,FALSE))</f>
        <v/>
      </c>
      <c r="D618" s="159" t="str">
        <f>IF(ISNA(VLOOKUP(B816,Pricelist!A:D,2,FALSE)),"",VLOOKUP(B816,Pricelist!A:D,4,FALSE))</f>
        <v/>
      </c>
    </row>
    <row r="619" spans="2:4" ht="12" customHeight="1">
      <c r="B619" s="270"/>
      <c r="C619" s="371" t="str">
        <f>IF(ISNA(VLOOKUP(B619,Pricelist!A:D,2,FALSE)),"",VLOOKUP(B619,Pricelist!A:D,2,FALSE))</f>
        <v/>
      </c>
      <c r="D619" s="159" t="str">
        <f>IF(ISNA(VLOOKUP(B619,Pricelist!A:D,2,FALSE)),"",VLOOKUP(B619,Pricelist!A:D,4,FALSE))</f>
        <v/>
      </c>
    </row>
    <row r="620" spans="2:4" ht="12" customHeight="1">
      <c r="B620" s="270"/>
      <c r="C620" s="371" t="str">
        <f>IF(ISNA(VLOOKUP(B620,Pricelist!A:D,2,FALSE)),"",VLOOKUP(B620,Pricelist!A:D,2,FALSE))</f>
        <v/>
      </c>
      <c r="D620" s="159" t="str">
        <f>IF(ISNA(VLOOKUP(B620,Pricelist!A:D,2,FALSE)),"",VLOOKUP(B620,Pricelist!A:D,4,FALSE))</f>
        <v/>
      </c>
    </row>
    <row r="621" spans="2:4" ht="12" customHeight="1">
      <c r="B621" s="270"/>
      <c r="C621" s="371" t="str">
        <f>IF(ISNA(VLOOKUP(B621,Pricelist!A:D,2,FALSE)),"",VLOOKUP(B621,Pricelist!A:D,2,FALSE))</f>
        <v/>
      </c>
      <c r="D621" s="159" t="str">
        <f>IF(ISNA(VLOOKUP(B621,Pricelist!A:D,2,FALSE)),"",VLOOKUP(B621,Pricelist!A:D,4,FALSE))</f>
        <v/>
      </c>
    </row>
    <row r="622" spans="2:4" ht="12" customHeight="1">
      <c r="B622" s="270"/>
      <c r="C622" s="371" t="str">
        <f>IF(ISNA(VLOOKUP(B622,Pricelist!A:D,2,FALSE)),"",VLOOKUP(B622,Pricelist!A:D,2,FALSE))</f>
        <v/>
      </c>
      <c r="D622" s="159" t="str">
        <f>IF(ISNA(VLOOKUP(B622,Pricelist!A:D,2,FALSE)),"",VLOOKUP(B622,Pricelist!A:D,4,FALSE))</f>
        <v/>
      </c>
    </row>
    <row r="623" spans="2:4" ht="12" customHeight="1">
      <c r="B623" s="270"/>
      <c r="C623" s="371" t="str">
        <f>IF(ISNA(VLOOKUP(B623,Pricelist!A:D,2,FALSE)),"",VLOOKUP(B623,Pricelist!A:D,2,FALSE))</f>
        <v/>
      </c>
      <c r="D623" s="159" t="str">
        <f>IF(ISNA(VLOOKUP(B623,Pricelist!A:D,2,FALSE)),"",VLOOKUP(B623,Pricelist!A:D,4,FALSE))</f>
        <v/>
      </c>
    </row>
    <row r="624" spans="2:4" ht="12" customHeight="1">
      <c r="B624" s="270"/>
      <c r="C624" s="371" t="str">
        <f>IF(ISNA(VLOOKUP(B624,Pricelist!A:D,2,FALSE)),"",VLOOKUP(B624,Pricelist!A:D,2,FALSE))</f>
        <v/>
      </c>
      <c r="D624" s="159" t="str">
        <f>IF(ISNA(VLOOKUP(B624,Pricelist!A:D,2,FALSE)),"",VLOOKUP(B624,Pricelist!A:D,4,FALSE))</f>
        <v/>
      </c>
    </row>
    <row r="625" spans="2:4" ht="12" customHeight="1">
      <c r="B625" s="270"/>
      <c r="C625" s="371" t="str">
        <f>IF(ISNA(VLOOKUP(B625,Pricelist!A:D,2,FALSE)),"",VLOOKUP(B625,Pricelist!A:D,2,FALSE))</f>
        <v/>
      </c>
      <c r="D625" s="159" t="str">
        <f>IF(ISNA(VLOOKUP(B625,Pricelist!A:D,2,FALSE)),"",VLOOKUP(B625,Pricelist!A:D,4,FALSE))</f>
        <v/>
      </c>
    </row>
    <row r="626" spans="2:4" ht="12" customHeight="1">
      <c r="B626" s="270"/>
      <c r="C626" s="371" t="str">
        <f>IF(ISNA(VLOOKUP(B626,Pricelist!A:D,2,FALSE)),"",VLOOKUP(B626,Pricelist!A:D,2,FALSE))</f>
        <v/>
      </c>
      <c r="D626" s="159" t="str">
        <f>IF(ISNA(VLOOKUP(B626,Pricelist!A:D,2,FALSE)),"",VLOOKUP(B626,Pricelist!A:D,4,FALSE))</f>
        <v/>
      </c>
    </row>
    <row r="627" spans="2:4" ht="12" customHeight="1">
      <c r="B627" s="270"/>
      <c r="C627" s="371" t="str">
        <f>IF(ISNA(VLOOKUP(B627,Pricelist!A:D,2,FALSE)),"",VLOOKUP(B627,Pricelist!A:D,2,FALSE))</f>
        <v/>
      </c>
      <c r="D627" s="159" t="str">
        <f>IF(ISNA(VLOOKUP(B627,Pricelist!A:D,2,FALSE)),"",VLOOKUP(B627,Pricelist!A:D,4,FALSE))</f>
        <v/>
      </c>
    </row>
    <row r="628" spans="2:4" ht="12" customHeight="1">
      <c r="B628" s="270"/>
      <c r="C628" s="371" t="str">
        <f>IF(ISNA(VLOOKUP(B628,Pricelist!A:D,2,FALSE)),"",VLOOKUP(B628,Pricelist!A:D,2,FALSE))</f>
        <v/>
      </c>
      <c r="D628" s="159" t="str">
        <f>IF(ISNA(VLOOKUP(B628,Pricelist!A:D,2,FALSE)),"",VLOOKUP(B628,Pricelist!A:D,4,FALSE))</f>
        <v/>
      </c>
    </row>
    <row r="629" spans="2:4" ht="12" customHeight="1">
      <c r="B629" s="270"/>
      <c r="C629" s="371" t="str">
        <f>IF(ISNA(VLOOKUP(B629,Pricelist!A:D,2,FALSE)),"",VLOOKUP(B629,Pricelist!A:D,2,FALSE))</f>
        <v/>
      </c>
      <c r="D629" s="159" t="str">
        <f>IF(ISNA(VLOOKUP(B629,Pricelist!A:D,2,FALSE)),"",VLOOKUP(B629,Pricelist!A:D,4,FALSE))</f>
        <v/>
      </c>
    </row>
    <row r="630" spans="2:4" ht="12" customHeight="1">
      <c r="B630" s="270"/>
      <c r="C630" s="371" t="str">
        <f>IF(ISNA(VLOOKUP(B630,Pricelist!A:D,2,FALSE)),"",VLOOKUP(B630,Pricelist!A:D,2,FALSE))</f>
        <v/>
      </c>
      <c r="D630" s="159" t="str">
        <f>IF(ISNA(VLOOKUP(B630,Pricelist!A:D,2,FALSE)),"",VLOOKUP(B630,Pricelist!A:D,4,FALSE))</f>
        <v/>
      </c>
    </row>
    <row r="631" spans="2:4" ht="12" customHeight="1">
      <c r="B631" s="270"/>
      <c r="C631" s="371" t="str">
        <f>IF(ISNA(VLOOKUP(B631,Pricelist!A:D,2,FALSE)),"",VLOOKUP(B631,Pricelist!A:D,2,FALSE))</f>
        <v/>
      </c>
      <c r="D631" s="159" t="str">
        <f>IF(ISNA(VLOOKUP(B631,Pricelist!A:D,2,FALSE)),"",VLOOKUP(B631,Pricelist!A:D,4,FALSE))</f>
        <v/>
      </c>
    </row>
    <row r="632" spans="2:4" ht="12" customHeight="1">
      <c r="B632" s="270"/>
      <c r="C632" s="371" t="str">
        <f>IF(ISNA(VLOOKUP(B632,Pricelist!A:D,2,FALSE)),"",VLOOKUP(B632,Pricelist!A:D,2,FALSE))</f>
        <v/>
      </c>
      <c r="D632" s="159" t="str">
        <f>IF(ISNA(VLOOKUP(B632,Pricelist!A:D,2,FALSE)),"",VLOOKUP(B632,Pricelist!A:D,4,FALSE))</f>
        <v/>
      </c>
    </row>
    <row r="633" spans="2:4" ht="12" customHeight="1">
      <c r="B633" s="270"/>
      <c r="C633" s="371" t="str">
        <f>IF(ISNA(VLOOKUP(B633,Pricelist!A:D,2,FALSE)),"",VLOOKUP(B633,Pricelist!A:D,2,FALSE))</f>
        <v/>
      </c>
      <c r="D633" s="159" t="str">
        <f>IF(ISNA(VLOOKUP(B633,Pricelist!A:D,2,FALSE)),"",VLOOKUP(B633,Pricelist!A:D,4,FALSE))</f>
        <v/>
      </c>
    </row>
    <row r="634" spans="2:4" ht="12" customHeight="1">
      <c r="B634" s="270"/>
      <c r="C634" s="371" t="str">
        <f>IF(ISNA(VLOOKUP(B634,Pricelist!A:D,2,FALSE)),"",VLOOKUP(B634,Pricelist!A:D,2,FALSE))</f>
        <v/>
      </c>
      <c r="D634" s="159" t="str">
        <f>IF(ISNA(VLOOKUP(B634,Pricelist!A:D,2,FALSE)),"",VLOOKUP(B634,Pricelist!A:D,4,FALSE))</f>
        <v/>
      </c>
    </row>
    <row r="635" spans="2:4" ht="12" customHeight="1">
      <c r="B635" s="270"/>
      <c r="C635" s="371" t="str">
        <f>IF(ISNA(VLOOKUP(B635,Pricelist!A:D,2,FALSE)),"",VLOOKUP(B635,Pricelist!A:D,2,FALSE))</f>
        <v/>
      </c>
      <c r="D635" s="159" t="str">
        <f>IF(ISNA(VLOOKUP(B635,Pricelist!A:D,2,FALSE)),"",VLOOKUP(B635,Pricelist!A:D,4,FALSE))</f>
        <v/>
      </c>
    </row>
    <row r="636" spans="2:4" ht="12" customHeight="1">
      <c r="B636" s="270"/>
      <c r="C636" s="371" t="str">
        <f>IF(ISNA(VLOOKUP(B636,Pricelist!A:D,2,FALSE)),"",VLOOKUP(B636,Pricelist!A:D,2,FALSE))</f>
        <v/>
      </c>
      <c r="D636" s="159" t="str">
        <f>IF(ISNA(VLOOKUP(B636,Pricelist!A:D,2,FALSE)),"",VLOOKUP(B636,Pricelist!A:D,4,FALSE))</f>
        <v/>
      </c>
    </row>
    <row r="637" spans="2:4" ht="12" customHeight="1">
      <c r="B637" s="270"/>
      <c r="C637" s="371" t="str">
        <f>IF(ISNA(VLOOKUP(B637,Pricelist!A:D,2,FALSE)),"",VLOOKUP(B637,Pricelist!A:D,2,FALSE))</f>
        <v/>
      </c>
      <c r="D637" s="159" t="str">
        <f>IF(ISNA(VLOOKUP(B637,Pricelist!A:D,2,FALSE)),"",VLOOKUP(B637,Pricelist!A:D,4,FALSE))</f>
        <v/>
      </c>
    </row>
    <row r="638" spans="2:4" ht="12" customHeight="1">
      <c r="B638" s="270"/>
      <c r="C638" s="371" t="str">
        <f>IF(ISNA(VLOOKUP(B638,Pricelist!A:D,2,FALSE)),"",VLOOKUP(B638,Pricelist!A:D,2,FALSE))</f>
        <v/>
      </c>
      <c r="D638" s="159" t="str">
        <f>IF(ISNA(VLOOKUP(B638,Pricelist!A:D,2,FALSE)),"",VLOOKUP(B638,Pricelist!A:D,4,FALSE))</f>
        <v/>
      </c>
    </row>
    <row r="639" spans="2:4" ht="12" customHeight="1">
      <c r="B639" s="270"/>
      <c r="C639" s="371" t="str">
        <f>IF(ISNA(VLOOKUP(B639,Pricelist!A:D,2,FALSE)),"",VLOOKUP(B639,Pricelist!A:D,2,FALSE))</f>
        <v/>
      </c>
      <c r="D639" s="159" t="str">
        <f>IF(ISNA(VLOOKUP(B639,Pricelist!A:D,2,FALSE)),"",VLOOKUP(B639,Pricelist!A:D,4,FALSE))</f>
        <v/>
      </c>
    </row>
    <row r="640" spans="2:4" ht="12" customHeight="1">
      <c r="B640" s="270"/>
      <c r="C640" s="371" t="str">
        <f>IF(ISNA(VLOOKUP(B640,Pricelist!A:D,2,FALSE)),"",VLOOKUP(B640,Pricelist!A:D,2,FALSE))</f>
        <v/>
      </c>
      <c r="D640" s="159" t="str">
        <f>IF(ISNA(VLOOKUP(B640,Pricelist!A:D,2,FALSE)),"",VLOOKUP(B640,Pricelist!A:D,4,FALSE))</f>
        <v/>
      </c>
    </row>
    <row r="641" spans="2:4" ht="12" customHeight="1">
      <c r="B641" s="270"/>
      <c r="C641" s="371" t="str">
        <f>IF(ISNA(VLOOKUP(B641,Pricelist!A:D,2,FALSE)),"",VLOOKUP(B641,Pricelist!A:D,2,FALSE))</f>
        <v/>
      </c>
      <c r="D641" s="159" t="str">
        <f>IF(ISNA(VLOOKUP(B641,Pricelist!A:D,2,FALSE)),"",VLOOKUP(B641,Pricelist!A:D,4,FALSE))</f>
        <v/>
      </c>
    </row>
    <row r="642" spans="2:4" ht="12" customHeight="1">
      <c r="B642" s="270"/>
      <c r="C642" s="371" t="str">
        <f>IF(ISNA(VLOOKUP(B642,Pricelist!A:D,2,FALSE)),"",VLOOKUP(B642,Pricelist!A:D,2,FALSE))</f>
        <v/>
      </c>
      <c r="D642" s="159" t="str">
        <f>IF(ISNA(VLOOKUP(B642,Pricelist!A:D,2,FALSE)),"",VLOOKUP(B642,Pricelist!A:D,4,FALSE))</f>
        <v/>
      </c>
    </row>
    <row r="643" spans="2:4" ht="12" customHeight="1">
      <c r="B643" s="270"/>
      <c r="C643" s="371" t="str">
        <f>IF(ISNA(VLOOKUP(B643,Pricelist!A:D,2,FALSE)),"",VLOOKUP(B643,Pricelist!A:D,2,FALSE))</f>
        <v/>
      </c>
      <c r="D643" s="159" t="str">
        <f>IF(ISNA(VLOOKUP(B643,Pricelist!A:D,2,FALSE)),"",VLOOKUP(B643,Pricelist!A:D,4,FALSE))</f>
        <v/>
      </c>
    </row>
    <row r="644" spans="2:4" ht="12" customHeight="1">
      <c r="B644" s="270"/>
      <c r="C644" s="371" t="str">
        <f>IF(ISNA(VLOOKUP(B644,Pricelist!A:D,2,FALSE)),"",VLOOKUP(B644,Pricelist!A:D,2,FALSE))</f>
        <v/>
      </c>
      <c r="D644" s="159" t="str">
        <f>IF(ISNA(VLOOKUP(B644,Pricelist!A:D,2,FALSE)),"",VLOOKUP(B644,Pricelist!A:D,4,FALSE))</f>
        <v/>
      </c>
    </row>
    <row r="645" spans="2:4" ht="12" customHeight="1">
      <c r="B645" s="270"/>
      <c r="C645" s="371" t="str">
        <f>IF(ISNA(VLOOKUP(B645,Pricelist!A:D,2,FALSE)),"",VLOOKUP(B645,Pricelist!A:D,2,FALSE))</f>
        <v/>
      </c>
      <c r="D645" s="159" t="str">
        <f>IF(ISNA(VLOOKUP(B645,Pricelist!A:D,2,FALSE)),"",VLOOKUP(B645,Pricelist!A:D,4,FALSE))</f>
        <v/>
      </c>
    </row>
    <row r="646" spans="2:4" ht="12" customHeight="1">
      <c r="B646" s="270"/>
      <c r="C646" s="371" t="str">
        <f>IF(ISNA(VLOOKUP(B646,Pricelist!A:D,2,FALSE)),"",VLOOKUP(B646,Pricelist!A:D,2,FALSE))</f>
        <v/>
      </c>
      <c r="D646" s="159" t="str">
        <f>IF(ISNA(VLOOKUP(B646,Pricelist!A:D,2,FALSE)),"",VLOOKUP(B646,Pricelist!A:D,4,FALSE))</f>
        <v/>
      </c>
    </row>
    <row r="647" spans="2:4" ht="12" customHeight="1">
      <c r="B647" s="270"/>
      <c r="C647" s="371" t="str">
        <f>IF(ISNA(VLOOKUP(B647,Pricelist!A:D,2,FALSE)),"",VLOOKUP(B647,Pricelist!A:D,2,FALSE))</f>
        <v/>
      </c>
      <c r="D647" s="159" t="str">
        <f>IF(ISNA(VLOOKUP(B647,Pricelist!A:D,2,FALSE)),"",VLOOKUP(B647,Pricelist!A:D,4,FALSE))</f>
        <v/>
      </c>
    </row>
    <row r="648" spans="2:4" ht="12" customHeight="1">
      <c r="B648" s="270"/>
      <c r="C648" s="371" t="str">
        <f>IF(ISNA(VLOOKUP(B648,Pricelist!A:D,2,FALSE)),"",VLOOKUP(B648,Pricelist!A:D,2,FALSE))</f>
        <v/>
      </c>
      <c r="D648" s="159" t="str">
        <f>IF(ISNA(VLOOKUP(B648,Pricelist!A:D,2,FALSE)),"",VLOOKUP(B648,Pricelist!A:D,4,FALSE))</f>
        <v/>
      </c>
    </row>
    <row r="649" spans="2:4" ht="12" customHeight="1">
      <c r="B649" s="270"/>
      <c r="C649" s="371" t="str">
        <f>IF(ISNA(VLOOKUP(B649,Pricelist!A:D,2,FALSE)),"",VLOOKUP(B649,Pricelist!A:D,2,FALSE))</f>
        <v/>
      </c>
      <c r="D649" s="159" t="str">
        <f>IF(ISNA(VLOOKUP(B649,Pricelist!A:D,2,FALSE)),"",VLOOKUP(B649,Pricelist!A:D,4,FALSE))</f>
        <v/>
      </c>
    </row>
    <row r="650" spans="2:4" ht="12" customHeight="1">
      <c r="B650" s="270"/>
      <c r="C650" s="371" t="str">
        <f>IF(ISNA(VLOOKUP(B650,Pricelist!A:D,2,FALSE)),"",VLOOKUP(B650,Pricelist!A:D,2,FALSE))</f>
        <v/>
      </c>
      <c r="D650" s="159" t="str">
        <f>IF(ISNA(VLOOKUP(B650,Pricelist!A:D,2,FALSE)),"",VLOOKUP(B650,Pricelist!A:D,4,FALSE))</f>
        <v/>
      </c>
    </row>
    <row r="651" spans="2:4" ht="12" customHeight="1">
      <c r="B651" s="270"/>
      <c r="C651" s="371" t="str">
        <f>IF(ISNA(VLOOKUP(B651,Pricelist!A:D,2,FALSE)),"",VLOOKUP(B651,Pricelist!A:D,2,FALSE))</f>
        <v/>
      </c>
      <c r="D651" s="159" t="str">
        <f>IF(ISNA(VLOOKUP(B651,Pricelist!A:D,2,FALSE)),"",VLOOKUP(B651,Pricelist!A:D,4,FALSE))</f>
        <v/>
      </c>
    </row>
    <row r="652" spans="2:4" ht="12" customHeight="1">
      <c r="B652" s="270"/>
      <c r="C652" s="371" t="str">
        <f>IF(ISNA(VLOOKUP(B652,Pricelist!A:D,2,FALSE)),"",VLOOKUP(B652,Pricelist!A:D,2,FALSE))</f>
        <v/>
      </c>
      <c r="D652" s="159" t="str">
        <f>IF(ISNA(VLOOKUP(B652,Pricelist!A:D,2,FALSE)),"",VLOOKUP(B652,Pricelist!A:D,4,FALSE))</f>
        <v/>
      </c>
    </row>
    <row r="653" spans="2:4" ht="12" customHeight="1">
      <c r="B653" s="270"/>
      <c r="C653" s="371" t="str">
        <f>IF(ISNA(VLOOKUP(B653,Pricelist!A:D,2,FALSE)),"",VLOOKUP(B653,Pricelist!A:D,2,FALSE))</f>
        <v/>
      </c>
      <c r="D653" s="159" t="str">
        <f>IF(ISNA(VLOOKUP(B653,Pricelist!A:D,2,FALSE)),"",VLOOKUP(B653,Pricelist!A:D,4,FALSE))</f>
        <v/>
      </c>
    </row>
    <row r="654" spans="2:4" ht="12" customHeight="1">
      <c r="B654" s="270"/>
      <c r="C654" s="371" t="str">
        <f>IF(ISNA(VLOOKUP(B654,Pricelist!A:D,2,FALSE)),"",VLOOKUP(B654,Pricelist!A:D,2,FALSE))</f>
        <v/>
      </c>
      <c r="D654" s="159" t="str">
        <f>IF(ISNA(VLOOKUP(B654,Pricelist!A:D,2,FALSE)),"",VLOOKUP(B654,Pricelist!A:D,4,FALSE))</f>
        <v/>
      </c>
    </row>
    <row r="655" spans="2:4" ht="12" customHeight="1">
      <c r="B655" s="270"/>
      <c r="C655" s="371" t="str">
        <f>IF(ISNA(VLOOKUP(B655,Pricelist!A:D,2,FALSE)),"",VLOOKUP(B655,Pricelist!A:D,2,FALSE))</f>
        <v/>
      </c>
      <c r="D655" s="159" t="str">
        <f>IF(ISNA(VLOOKUP(B655,Pricelist!A:D,2,FALSE)),"",VLOOKUP(B655,Pricelist!A:D,4,FALSE))</f>
        <v/>
      </c>
    </row>
    <row r="656" spans="2:4" ht="12" customHeight="1">
      <c r="B656" s="270"/>
      <c r="C656" s="371" t="str">
        <f>IF(ISNA(VLOOKUP(B656,Pricelist!A:D,2,FALSE)),"",VLOOKUP(B656,Pricelist!A:D,2,FALSE))</f>
        <v/>
      </c>
      <c r="D656" s="159" t="str">
        <f>IF(ISNA(VLOOKUP(B656,Pricelist!A:D,2,FALSE)),"",VLOOKUP(B656,Pricelist!A:D,4,FALSE))</f>
        <v/>
      </c>
    </row>
    <row r="657" spans="2:4" ht="12" customHeight="1">
      <c r="B657" s="270"/>
      <c r="C657" s="371" t="str">
        <f>IF(ISNA(VLOOKUP(B657,Pricelist!A:D,2,FALSE)),"",VLOOKUP(B657,Pricelist!A:D,2,FALSE))</f>
        <v/>
      </c>
      <c r="D657" s="159" t="str">
        <f>IF(ISNA(VLOOKUP(B657,Pricelist!A:D,2,FALSE)),"",VLOOKUP(B657,Pricelist!A:D,4,FALSE))</f>
        <v/>
      </c>
    </row>
    <row r="658" spans="2:4" ht="12" customHeight="1">
      <c r="B658" s="270"/>
      <c r="C658" s="371" t="str">
        <f>IF(ISNA(VLOOKUP(B658,Pricelist!A:D,2,FALSE)),"",VLOOKUP(B658,Pricelist!A:D,2,FALSE))</f>
        <v/>
      </c>
      <c r="D658" s="159" t="str">
        <f>IF(ISNA(VLOOKUP(B658,Pricelist!A:D,2,FALSE)),"",VLOOKUP(B658,Pricelist!A:D,4,FALSE))</f>
        <v/>
      </c>
    </row>
    <row r="659" spans="2:4" ht="12" customHeight="1">
      <c r="B659" s="270"/>
      <c r="C659" s="371" t="str">
        <f>IF(ISNA(VLOOKUP(B659,Pricelist!A:D,2,FALSE)),"",VLOOKUP(B659,Pricelist!A:D,2,FALSE))</f>
        <v/>
      </c>
      <c r="D659" s="159" t="str">
        <f>IF(ISNA(VLOOKUP(B659,Pricelist!A:D,2,FALSE)),"",VLOOKUP(B659,Pricelist!A:D,4,FALSE))</f>
        <v/>
      </c>
    </row>
    <row r="660" spans="2:4" ht="12" customHeight="1">
      <c r="B660" s="270"/>
      <c r="C660" s="371" t="str">
        <f>IF(ISNA(VLOOKUP(B660,Pricelist!A:D,2,FALSE)),"",VLOOKUP(B660,Pricelist!A:D,2,FALSE))</f>
        <v/>
      </c>
      <c r="D660" s="159" t="str">
        <f>IF(ISNA(VLOOKUP(B660,Pricelist!A:D,2,FALSE)),"",VLOOKUP(B660,Pricelist!A:D,4,FALSE))</f>
        <v/>
      </c>
    </row>
    <row r="661" spans="2:4" ht="12" customHeight="1">
      <c r="B661" s="270"/>
      <c r="C661" s="371" t="str">
        <f>IF(ISNA(VLOOKUP(B661,Pricelist!A:D,2,FALSE)),"",VLOOKUP(B661,Pricelist!A:D,2,FALSE))</f>
        <v/>
      </c>
      <c r="D661" s="159" t="str">
        <f>IF(ISNA(VLOOKUP(B661,Pricelist!A:D,2,FALSE)),"",VLOOKUP(B661,Pricelist!A:D,4,FALSE))</f>
        <v/>
      </c>
    </row>
    <row r="662" spans="2:4" ht="12" customHeight="1">
      <c r="B662" s="270"/>
      <c r="C662" s="371" t="str">
        <f>IF(ISNA(VLOOKUP(B662,Pricelist!A:D,2,FALSE)),"",VLOOKUP(B662,Pricelist!A:D,2,FALSE))</f>
        <v/>
      </c>
      <c r="D662" s="159" t="str">
        <f>IF(ISNA(VLOOKUP(B662,Pricelist!A:D,2,FALSE)),"",VLOOKUP(B662,Pricelist!A:D,4,FALSE))</f>
        <v/>
      </c>
    </row>
    <row r="663" spans="2:4" ht="12" customHeight="1">
      <c r="B663" s="270"/>
      <c r="C663" s="371" t="str">
        <f>IF(ISNA(VLOOKUP(B663,Pricelist!A:D,2,FALSE)),"",VLOOKUP(B663,Pricelist!A:D,2,FALSE))</f>
        <v/>
      </c>
      <c r="D663" s="159" t="str">
        <f>IF(ISNA(VLOOKUP(B663,Pricelist!A:D,2,FALSE)),"",VLOOKUP(B663,Pricelist!A:D,4,FALSE))</f>
        <v/>
      </c>
    </row>
    <row r="664" spans="2:4" ht="12" customHeight="1">
      <c r="B664" s="270"/>
      <c r="C664" s="371" t="str">
        <f>IF(ISNA(VLOOKUP(B664,Pricelist!A:D,2,FALSE)),"",VLOOKUP(B664,Pricelist!A:D,2,FALSE))</f>
        <v/>
      </c>
      <c r="D664" s="159" t="str">
        <f>IF(ISNA(VLOOKUP(B664,Pricelist!A:D,2,FALSE)),"",VLOOKUP(B664,Pricelist!A:D,4,FALSE))</f>
        <v/>
      </c>
    </row>
    <row r="665" spans="2:4" ht="12" customHeight="1">
      <c r="B665" s="270"/>
      <c r="C665" s="371" t="str">
        <f>IF(ISNA(VLOOKUP(B665,Pricelist!A:D,2,FALSE)),"",VLOOKUP(B665,Pricelist!A:D,2,FALSE))</f>
        <v/>
      </c>
      <c r="D665" s="159" t="str">
        <f>IF(ISNA(VLOOKUP(B665,Pricelist!A:D,2,FALSE)),"",VLOOKUP(B665,Pricelist!A:D,4,FALSE))</f>
        <v/>
      </c>
    </row>
    <row r="666" spans="2:4" ht="12" customHeight="1">
      <c r="B666" s="270"/>
      <c r="C666" s="371" t="str">
        <f>IF(ISNA(VLOOKUP(B666,Pricelist!A:D,2,FALSE)),"",VLOOKUP(B666,Pricelist!A:D,2,FALSE))</f>
        <v/>
      </c>
      <c r="D666" s="159" t="str">
        <f>IF(ISNA(VLOOKUP(B666,Pricelist!A:D,2,FALSE)),"",VLOOKUP(B666,Pricelist!A:D,4,FALSE))</f>
        <v/>
      </c>
    </row>
    <row r="667" spans="2:4" ht="12" customHeight="1">
      <c r="B667" s="270"/>
      <c r="C667" s="371" t="str">
        <f>IF(ISNA(VLOOKUP(B667,Pricelist!A:D,2,FALSE)),"",VLOOKUP(B667,Pricelist!A:D,2,FALSE))</f>
        <v/>
      </c>
      <c r="D667" s="159" t="str">
        <f>IF(ISNA(VLOOKUP(B667,Pricelist!A:D,2,FALSE)),"",VLOOKUP(B667,Pricelist!A:D,4,FALSE))</f>
        <v/>
      </c>
    </row>
    <row r="668" spans="2:4" ht="12" customHeight="1">
      <c r="B668" s="270"/>
      <c r="C668" s="371" t="str">
        <f>IF(ISNA(VLOOKUP(B668,Pricelist!A:D,2,FALSE)),"",VLOOKUP(B668,Pricelist!A:D,2,FALSE))</f>
        <v/>
      </c>
      <c r="D668" s="159" t="str">
        <f>IF(ISNA(VLOOKUP(B668,Pricelist!A:D,2,FALSE)),"",VLOOKUP(B668,Pricelist!A:D,4,FALSE))</f>
        <v/>
      </c>
    </row>
    <row r="669" spans="2:4" ht="12" customHeight="1">
      <c r="B669" s="270"/>
      <c r="C669" s="371" t="str">
        <f>IF(ISNA(VLOOKUP(B669,Pricelist!A:D,2,FALSE)),"",VLOOKUP(B669,Pricelist!A:D,2,FALSE))</f>
        <v/>
      </c>
      <c r="D669" s="159" t="str">
        <f>IF(ISNA(VLOOKUP(B669,Pricelist!A:D,2,FALSE)),"",VLOOKUP(B669,Pricelist!A:D,4,FALSE))</f>
        <v/>
      </c>
    </row>
    <row r="670" spans="2:4" ht="12" customHeight="1">
      <c r="B670" s="270"/>
      <c r="C670" s="371" t="str">
        <f>IF(ISNA(VLOOKUP(B670,Pricelist!A:D,2,FALSE)),"",VLOOKUP(B670,Pricelist!A:D,2,FALSE))</f>
        <v/>
      </c>
      <c r="D670" s="159" t="str">
        <f>IF(ISNA(VLOOKUP(B670,Pricelist!A:D,2,FALSE)),"",VLOOKUP(B670,Pricelist!A:D,4,FALSE))</f>
        <v/>
      </c>
    </row>
    <row r="671" spans="2:4" ht="12" customHeight="1">
      <c r="B671" s="270"/>
      <c r="C671" s="371" t="str">
        <f>IF(ISNA(VLOOKUP(B671,Pricelist!A:D,2,FALSE)),"",VLOOKUP(B671,Pricelist!A:D,2,FALSE))</f>
        <v/>
      </c>
      <c r="D671" s="159" t="str">
        <f>IF(ISNA(VLOOKUP(B671,Pricelist!A:D,2,FALSE)),"",VLOOKUP(B671,Pricelist!A:D,4,FALSE))</f>
        <v/>
      </c>
    </row>
    <row r="672" spans="2:4" ht="12" customHeight="1">
      <c r="B672" s="270"/>
      <c r="C672" s="371" t="str">
        <f>IF(ISNA(VLOOKUP(B672,Pricelist!A:D,2,FALSE)),"",VLOOKUP(B672,Pricelist!A:D,2,FALSE))</f>
        <v/>
      </c>
      <c r="D672" s="159" t="str">
        <f>IF(ISNA(VLOOKUP(B672,Pricelist!A:D,2,FALSE)),"",VLOOKUP(B672,Pricelist!A:D,4,FALSE))</f>
        <v/>
      </c>
    </row>
    <row r="673" spans="2:4" ht="12" customHeight="1">
      <c r="B673" s="270"/>
      <c r="C673" s="371" t="str">
        <f>IF(ISNA(VLOOKUP(B673,Pricelist!A:D,2,FALSE)),"",VLOOKUP(B673,Pricelist!A:D,2,FALSE))</f>
        <v/>
      </c>
      <c r="D673" s="159" t="str">
        <f>IF(ISNA(VLOOKUP(B673,Pricelist!A:D,2,FALSE)),"",VLOOKUP(B673,Pricelist!A:D,4,FALSE))</f>
        <v/>
      </c>
    </row>
    <row r="674" spans="2:4" ht="12" customHeight="1">
      <c r="B674" s="270"/>
      <c r="C674" s="371" t="str">
        <f>IF(ISNA(VLOOKUP(B674,Pricelist!A:D,2,FALSE)),"",VLOOKUP(B674,Pricelist!A:D,2,FALSE))</f>
        <v/>
      </c>
      <c r="D674" s="159" t="str">
        <f>IF(ISNA(VLOOKUP(B674,Pricelist!A:D,2,FALSE)),"",VLOOKUP(B674,Pricelist!A:D,4,FALSE))</f>
        <v/>
      </c>
    </row>
    <row r="675" spans="2:4" ht="12" customHeight="1">
      <c r="B675" s="270"/>
      <c r="C675" s="371" t="str">
        <f>IF(ISNA(VLOOKUP(B675,Pricelist!A:D,2,FALSE)),"",VLOOKUP(B675,Pricelist!A:D,2,FALSE))</f>
        <v/>
      </c>
      <c r="D675" s="159" t="str">
        <f>IF(ISNA(VLOOKUP(B675,Pricelist!A:D,2,FALSE)),"",VLOOKUP(B675,Pricelist!A:D,4,FALSE))</f>
        <v/>
      </c>
    </row>
    <row r="676" spans="2:4" ht="12" customHeight="1">
      <c r="B676" s="270"/>
      <c r="C676" s="371" t="str">
        <f>IF(ISNA(VLOOKUP(B676,Pricelist!A:D,2,FALSE)),"",VLOOKUP(B676,Pricelist!A:D,2,FALSE))</f>
        <v/>
      </c>
      <c r="D676" s="159" t="str">
        <f>IF(ISNA(VLOOKUP(B676,Pricelist!A:D,2,FALSE)),"",VLOOKUP(B676,Pricelist!A:D,4,FALSE))</f>
        <v/>
      </c>
    </row>
    <row r="677" spans="2:4" ht="12" customHeight="1">
      <c r="B677" s="270"/>
      <c r="C677" s="371" t="str">
        <f>IF(ISNA(VLOOKUP(B677,Pricelist!A:D,2,FALSE)),"",VLOOKUP(B677,Pricelist!A:D,2,FALSE))</f>
        <v/>
      </c>
      <c r="D677" s="159" t="str">
        <f>IF(ISNA(VLOOKUP(B677,Pricelist!A:D,2,FALSE)),"",VLOOKUP(B677,Pricelist!A:D,4,FALSE))</f>
        <v/>
      </c>
    </row>
    <row r="678" spans="2:4" ht="12" customHeight="1">
      <c r="B678" s="270"/>
      <c r="C678" s="371" t="str">
        <f>IF(ISNA(VLOOKUP(B678,Pricelist!A:D,2,FALSE)),"",VLOOKUP(B678,Pricelist!A:D,2,FALSE))</f>
        <v/>
      </c>
      <c r="D678" s="159" t="str">
        <f>IF(ISNA(VLOOKUP(B678,Pricelist!A:D,2,FALSE)),"",VLOOKUP(B678,Pricelist!A:D,4,FALSE))</f>
        <v/>
      </c>
    </row>
    <row r="679" spans="2:4" ht="12" customHeight="1">
      <c r="B679" s="270"/>
      <c r="C679" s="371" t="str">
        <f>IF(ISNA(VLOOKUP(B679,Pricelist!A:D,2,FALSE)),"",VLOOKUP(B679,Pricelist!A:D,2,FALSE))</f>
        <v/>
      </c>
      <c r="D679" s="159" t="str">
        <f>IF(ISNA(VLOOKUP(B679,Pricelist!A:D,2,FALSE)),"",VLOOKUP(B679,Pricelist!A:D,4,FALSE))</f>
        <v/>
      </c>
    </row>
    <row r="680" spans="2:4" ht="12" customHeight="1">
      <c r="B680" s="270"/>
      <c r="C680" s="371" t="str">
        <f>IF(ISNA(VLOOKUP(B680,Pricelist!A:D,2,FALSE)),"",VLOOKUP(B680,Pricelist!A:D,2,FALSE))</f>
        <v/>
      </c>
      <c r="D680" s="159" t="str">
        <f>IF(ISNA(VLOOKUP(B680,Pricelist!A:D,2,FALSE)),"",VLOOKUP(B680,Pricelist!A:D,4,FALSE))</f>
        <v/>
      </c>
    </row>
    <row r="681" spans="2:4" ht="12" customHeight="1">
      <c r="B681" s="270"/>
      <c r="C681" s="371" t="str">
        <f>IF(ISNA(VLOOKUP(B681,Pricelist!A:D,2,FALSE)),"",VLOOKUP(B681,Pricelist!A:D,2,FALSE))</f>
        <v/>
      </c>
      <c r="D681" s="159" t="str">
        <f>IF(ISNA(VLOOKUP(B681,Pricelist!A:D,2,FALSE)),"",VLOOKUP(B681,Pricelist!A:D,4,FALSE))</f>
        <v/>
      </c>
    </row>
    <row r="682" spans="2:4" ht="12" customHeight="1">
      <c r="B682" s="270"/>
      <c r="C682" s="371" t="str">
        <f>IF(ISNA(VLOOKUP(B682,Pricelist!A:D,2,FALSE)),"",VLOOKUP(B682,Pricelist!A:D,2,FALSE))</f>
        <v/>
      </c>
      <c r="D682" s="159" t="str">
        <f>IF(ISNA(VLOOKUP(B682,Pricelist!A:D,2,FALSE)),"",VLOOKUP(B682,Pricelist!A:D,4,FALSE))</f>
        <v/>
      </c>
    </row>
    <row r="683" spans="2:4" ht="12" customHeight="1">
      <c r="B683" s="270"/>
      <c r="C683" s="371" t="str">
        <f>IF(ISNA(VLOOKUP(B683,Pricelist!A:D,2,FALSE)),"",VLOOKUP(B683,Pricelist!A:D,2,FALSE))</f>
        <v/>
      </c>
      <c r="D683" s="159" t="str">
        <f>IF(ISNA(VLOOKUP(B683,Pricelist!A:D,2,FALSE)),"",VLOOKUP(B683,Pricelist!A:D,4,FALSE))</f>
        <v/>
      </c>
    </row>
    <row r="684" spans="2:4" ht="12" customHeight="1">
      <c r="B684" s="270"/>
      <c r="C684" s="371" t="str">
        <f>IF(ISNA(VLOOKUP(B684,Pricelist!A:D,2,FALSE)),"",VLOOKUP(B684,Pricelist!A:D,2,FALSE))</f>
        <v/>
      </c>
      <c r="D684" s="159" t="str">
        <f>IF(ISNA(VLOOKUP(B684,Pricelist!A:D,2,FALSE)),"",VLOOKUP(B684,Pricelist!A:D,4,FALSE))</f>
        <v/>
      </c>
    </row>
    <row r="685" spans="2:4" ht="12" customHeight="1">
      <c r="B685" s="270"/>
      <c r="C685" s="371" t="str">
        <f>IF(ISNA(VLOOKUP(B685,Pricelist!A:D,2,FALSE)),"",VLOOKUP(B685,Pricelist!A:D,2,FALSE))</f>
        <v/>
      </c>
      <c r="D685" s="159" t="str">
        <f>IF(ISNA(VLOOKUP(B685,Pricelist!A:D,2,FALSE)),"",VLOOKUP(B685,Pricelist!A:D,4,FALSE))</f>
        <v/>
      </c>
    </row>
    <row r="686" spans="2:4" ht="12" customHeight="1">
      <c r="B686" s="270"/>
      <c r="C686" s="371" t="str">
        <f>IF(ISNA(VLOOKUP(B686,Pricelist!A:D,2,FALSE)),"",VLOOKUP(B686,Pricelist!A:D,2,FALSE))</f>
        <v/>
      </c>
      <c r="D686" s="159" t="str">
        <f>IF(ISNA(VLOOKUP(B686,Pricelist!A:D,2,FALSE)),"",VLOOKUP(B686,Pricelist!A:D,4,FALSE))</f>
        <v/>
      </c>
    </row>
    <row r="687" spans="2:4" ht="12" customHeight="1">
      <c r="B687" s="270"/>
      <c r="C687" s="371" t="str">
        <f>IF(ISNA(VLOOKUP(B687,Pricelist!A:D,2,FALSE)),"",VLOOKUP(B687,Pricelist!A:D,2,FALSE))</f>
        <v/>
      </c>
      <c r="D687" s="159" t="str">
        <f>IF(ISNA(VLOOKUP(B687,Pricelist!A:D,2,FALSE)),"",VLOOKUP(B687,Pricelist!A:D,4,FALSE))</f>
        <v/>
      </c>
    </row>
    <row r="688" spans="2:4" ht="12" customHeight="1">
      <c r="B688" s="270"/>
      <c r="C688" s="371" t="str">
        <f>IF(ISNA(VLOOKUP(B688,Pricelist!A:D,2,FALSE)),"",VLOOKUP(B688,Pricelist!A:D,2,FALSE))</f>
        <v/>
      </c>
      <c r="D688" s="159" t="str">
        <f>IF(ISNA(VLOOKUP(B688,Pricelist!A:D,2,FALSE)),"",VLOOKUP(B688,Pricelist!A:D,4,FALSE))</f>
        <v/>
      </c>
    </row>
    <row r="689" spans="2:4" ht="12" customHeight="1">
      <c r="B689" s="270"/>
      <c r="C689" s="371" t="str">
        <f>IF(ISNA(VLOOKUP(B689,Pricelist!A:D,2,FALSE)),"",VLOOKUP(B689,Pricelist!A:D,2,FALSE))</f>
        <v/>
      </c>
      <c r="D689" s="159" t="str">
        <f>IF(ISNA(VLOOKUP(B689,Pricelist!A:D,2,FALSE)),"",VLOOKUP(B689,Pricelist!A:D,4,FALSE))</f>
        <v/>
      </c>
    </row>
    <row r="690" spans="2:4" ht="12" customHeight="1">
      <c r="B690" s="270"/>
      <c r="C690" s="371" t="str">
        <f>IF(ISNA(VLOOKUP(B690,Pricelist!A:D,2,FALSE)),"",VLOOKUP(B690,Pricelist!A:D,2,FALSE))</f>
        <v/>
      </c>
      <c r="D690" s="159" t="str">
        <f>IF(ISNA(VLOOKUP(B690,Pricelist!A:D,2,FALSE)),"",VLOOKUP(B690,Pricelist!A:D,4,FALSE))</f>
        <v/>
      </c>
    </row>
    <row r="691" spans="2:4" ht="12" customHeight="1">
      <c r="B691" s="270"/>
      <c r="C691" s="371" t="str">
        <f>IF(ISNA(VLOOKUP(B691,Pricelist!A:D,2,FALSE)),"",VLOOKUP(B691,Pricelist!A:D,2,FALSE))</f>
        <v/>
      </c>
      <c r="D691" s="159" t="str">
        <f>IF(ISNA(VLOOKUP(B691,Pricelist!A:D,2,FALSE)),"",VLOOKUP(B691,Pricelist!A:D,4,FALSE))</f>
        <v/>
      </c>
    </row>
    <row r="692" spans="2:4" ht="12" customHeight="1">
      <c r="B692" s="270"/>
      <c r="C692" s="371" t="str">
        <f>IF(ISNA(VLOOKUP(B692,Pricelist!A:D,2,FALSE)),"",VLOOKUP(B692,Pricelist!A:D,2,FALSE))</f>
        <v/>
      </c>
      <c r="D692" s="159" t="str">
        <f>IF(ISNA(VLOOKUP(B692,Pricelist!A:D,2,FALSE)),"",VLOOKUP(B692,Pricelist!A:D,4,FALSE))</f>
        <v/>
      </c>
    </row>
    <row r="693" spans="2:4" ht="12" customHeight="1">
      <c r="B693" s="270"/>
      <c r="C693" s="371" t="str">
        <f>IF(ISNA(VLOOKUP(B693,Pricelist!A:D,2,FALSE)),"",VLOOKUP(B693,Pricelist!A:D,2,FALSE))</f>
        <v/>
      </c>
      <c r="D693" s="159" t="str">
        <f>IF(ISNA(VLOOKUP(B693,Pricelist!A:D,2,FALSE)),"",VLOOKUP(B693,Pricelist!A:D,4,FALSE))</f>
        <v/>
      </c>
    </row>
    <row r="694" spans="2:4" ht="12" customHeight="1">
      <c r="B694" s="270"/>
      <c r="C694" s="371" t="str">
        <f>IF(ISNA(VLOOKUP(B694,Pricelist!A:D,2,FALSE)),"",VLOOKUP(B694,Pricelist!A:D,2,FALSE))</f>
        <v/>
      </c>
      <c r="D694" s="159" t="str">
        <f>IF(ISNA(VLOOKUP(B694,Pricelist!A:D,2,FALSE)),"",VLOOKUP(B694,Pricelist!A:D,4,FALSE))</f>
        <v/>
      </c>
    </row>
    <row r="695" spans="2:4" ht="12" customHeight="1">
      <c r="B695" s="270"/>
      <c r="C695" s="371" t="str">
        <f>IF(ISNA(VLOOKUP(B695,Pricelist!A:D,2,FALSE)),"",VLOOKUP(B695,Pricelist!A:D,2,FALSE))</f>
        <v/>
      </c>
      <c r="D695" s="159" t="str">
        <f>IF(ISNA(VLOOKUP(B695,Pricelist!A:D,2,FALSE)),"",VLOOKUP(B695,Pricelist!A:D,4,FALSE))</f>
        <v/>
      </c>
    </row>
    <row r="696" spans="2:4" ht="12" customHeight="1">
      <c r="B696" s="270"/>
      <c r="C696" s="371" t="str">
        <f>IF(ISNA(VLOOKUP(B696,Pricelist!A:D,2,FALSE)),"",VLOOKUP(B696,Pricelist!A:D,2,FALSE))</f>
        <v/>
      </c>
      <c r="D696" s="159" t="str">
        <f>IF(ISNA(VLOOKUP(B696,Pricelist!A:D,2,FALSE)),"",VLOOKUP(B696,Pricelist!A:D,4,FALSE))</f>
        <v/>
      </c>
    </row>
    <row r="697" spans="2:4" ht="12" customHeight="1">
      <c r="B697" s="270"/>
      <c r="C697" s="371" t="str">
        <f>IF(ISNA(VLOOKUP(B697,Pricelist!A:D,2,FALSE)),"",VLOOKUP(B697,Pricelist!A:D,2,FALSE))</f>
        <v/>
      </c>
      <c r="D697" s="159" t="str">
        <f>IF(ISNA(VLOOKUP(B697,Pricelist!A:D,2,FALSE)),"",VLOOKUP(B697,Pricelist!A:D,4,FALSE))</f>
        <v/>
      </c>
    </row>
    <row r="698" spans="2:4" ht="12" customHeight="1">
      <c r="B698" s="270"/>
      <c r="C698" s="371" t="str">
        <f>IF(ISNA(VLOOKUP(B698,Pricelist!A:D,2,FALSE)),"",VLOOKUP(B698,Pricelist!A:D,2,FALSE))</f>
        <v/>
      </c>
      <c r="D698" s="159" t="str">
        <f>IF(ISNA(VLOOKUP(B698,Pricelist!A:D,2,FALSE)),"",VLOOKUP(B698,Pricelist!A:D,4,FALSE))</f>
        <v/>
      </c>
    </row>
    <row r="699" spans="2:4" ht="12" customHeight="1">
      <c r="B699" s="270"/>
      <c r="C699" s="371" t="str">
        <f>IF(ISNA(VLOOKUP(B699,Pricelist!A:D,2,FALSE)),"",VLOOKUP(B699,Pricelist!A:D,2,FALSE))</f>
        <v/>
      </c>
      <c r="D699" s="159" t="str">
        <f>IF(ISNA(VLOOKUP(B699,Pricelist!A:D,2,FALSE)),"",VLOOKUP(B699,Pricelist!A:D,4,FALSE))</f>
        <v/>
      </c>
    </row>
    <row r="700" spans="2:4" ht="12" customHeight="1">
      <c r="B700" s="270"/>
      <c r="C700" s="371" t="str">
        <f>IF(ISNA(VLOOKUP(B700,Pricelist!A:D,2,FALSE)),"",VLOOKUP(B700,Pricelist!A:D,2,FALSE))</f>
        <v/>
      </c>
      <c r="D700" s="159" t="str">
        <f>IF(ISNA(VLOOKUP(B700,Pricelist!A:D,2,FALSE)),"",VLOOKUP(B700,Pricelist!A:D,4,FALSE))</f>
        <v/>
      </c>
    </row>
    <row r="701" spans="2:4" ht="12" customHeight="1">
      <c r="B701" s="270"/>
      <c r="C701" s="371" t="str">
        <f>IF(ISNA(VLOOKUP(B701,Pricelist!A:D,2,FALSE)),"",VLOOKUP(B701,Pricelist!A:D,2,FALSE))</f>
        <v/>
      </c>
      <c r="D701" s="159" t="str">
        <f>IF(ISNA(VLOOKUP(B701,Pricelist!A:D,2,FALSE)),"",VLOOKUP(B701,Pricelist!A:D,4,FALSE))</f>
        <v/>
      </c>
    </row>
    <row r="702" spans="2:4" ht="12" customHeight="1">
      <c r="B702" s="270"/>
      <c r="C702" s="371" t="str">
        <f>IF(ISNA(VLOOKUP(B702,Pricelist!A:D,2,FALSE)),"",VLOOKUP(B702,Pricelist!A:D,2,FALSE))</f>
        <v/>
      </c>
      <c r="D702" s="159" t="str">
        <f>IF(ISNA(VLOOKUP(B702,Pricelist!A:D,2,FALSE)),"",VLOOKUP(B702,Pricelist!A:D,4,FALSE))</f>
        <v/>
      </c>
    </row>
    <row r="703" spans="2:4" ht="12" customHeight="1">
      <c r="B703" s="270"/>
      <c r="C703" s="371" t="str">
        <f>IF(ISNA(VLOOKUP(B703,Pricelist!A:D,2,FALSE)),"",VLOOKUP(B703,Pricelist!A:D,2,FALSE))</f>
        <v/>
      </c>
      <c r="D703" s="159" t="str">
        <f>IF(ISNA(VLOOKUP(B703,Pricelist!A:D,2,FALSE)),"",VLOOKUP(B703,Pricelist!A:D,4,FALSE))</f>
        <v/>
      </c>
    </row>
    <row r="704" spans="2:4" ht="12" customHeight="1">
      <c r="B704" s="270"/>
      <c r="C704" s="371" t="str">
        <f>IF(ISNA(VLOOKUP(B704,Pricelist!A:D,2,FALSE)),"",VLOOKUP(B704,Pricelist!A:D,2,FALSE))</f>
        <v/>
      </c>
      <c r="D704" s="159" t="str">
        <f>IF(ISNA(VLOOKUP(B704,Pricelist!A:D,2,FALSE)),"",VLOOKUP(B704,Pricelist!A:D,4,FALSE))</f>
        <v/>
      </c>
    </row>
    <row r="705" spans="2:4" ht="12" customHeight="1">
      <c r="B705" s="270"/>
      <c r="C705" s="371" t="str">
        <f>IF(ISNA(VLOOKUP(B705,Pricelist!A:D,2,FALSE)),"",VLOOKUP(B705,Pricelist!A:D,2,FALSE))</f>
        <v/>
      </c>
      <c r="D705" s="159" t="str">
        <f>IF(ISNA(VLOOKUP(B705,Pricelist!A:D,2,FALSE)),"",VLOOKUP(B705,Pricelist!A:D,4,FALSE))</f>
        <v/>
      </c>
    </row>
    <row r="706" spans="2:4" ht="12" customHeight="1">
      <c r="B706" s="270"/>
      <c r="C706" s="371" t="str">
        <f>IF(ISNA(VLOOKUP(B706,Pricelist!A:D,2,FALSE)),"",VLOOKUP(B706,Pricelist!A:D,2,FALSE))</f>
        <v/>
      </c>
      <c r="D706" s="159" t="str">
        <f>IF(ISNA(VLOOKUP(B706,Pricelist!A:D,2,FALSE)),"",VLOOKUP(B706,Pricelist!A:D,4,FALSE))</f>
        <v/>
      </c>
    </row>
    <row r="707" spans="2:4" ht="12" customHeight="1">
      <c r="B707" s="270"/>
      <c r="C707" s="371" t="str">
        <f>IF(ISNA(VLOOKUP(B707,Pricelist!A:D,2,FALSE)),"",VLOOKUP(B707,Pricelist!A:D,2,FALSE))</f>
        <v/>
      </c>
      <c r="D707" s="159" t="str">
        <f>IF(ISNA(VLOOKUP(B707,Pricelist!A:D,2,FALSE)),"",VLOOKUP(B707,Pricelist!A:D,4,FALSE))</f>
        <v/>
      </c>
    </row>
    <row r="708" spans="2:4" ht="12" customHeight="1">
      <c r="B708" s="270"/>
      <c r="C708" s="371" t="str">
        <f>IF(ISNA(VLOOKUP(B708,Pricelist!A:D,2,FALSE)),"",VLOOKUP(B708,Pricelist!A:D,2,FALSE))</f>
        <v/>
      </c>
      <c r="D708" s="159" t="str">
        <f>IF(ISNA(VLOOKUP(B708,Pricelist!A:D,2,FALSE)),"",VLOOKUP(B708,Pricelist!A:D,4,FALSE))</f>
        <v/>
      </c>
    </row>
    <row r="709" spans="2:4" ht="12" customHeight="1">
      <c r="B709" s="270"/>
      <c r="C709" s="371" t="str">
        <f>IF(ISNA(VLOOKUP(B709,Pricelist!A:D,2,FALSE)),"",VLOOKUP(B709,Pricelist!A:D,2,FALSE))</f>
        <v/>
      </c>
      <c r="D709" s="159" t="str">
        <f>IF(ISNA(VLOOKUP(B709,Pricelist!A:D,2,FALSE)),"",VLOOKUP(B709,Pricelist!A:D,4,FALSE))</f>
        <v/>
      </c>
    </row>
    <row r="710" spans="2:4" ht="12" customHeight="1">
      <c r="B710" s="270"/>
      <c r="C710" s="371" t="str">
        <f>IF(ISNA(VLOOKUP(B710,Pricelist!A:D,2,FALSE)),"",VLOOKUP(B710,Pricelist!A:D,2,FALSE))</f>
        <v/>
      </c>
      <c r="D710" s="159" t="str">
        <f>IF(ISNA(VLOOKUP(B710,Pricelist!A:D,2,FALSE)),"",VLOOKUP(B710,Pricelist!A:D,4,FALSE))</f>
        <v/>
      </c>
    </row>
    <row r="711" spans="2:4" ht="12" customHeight="1">
      <c r="B711" s="270"/>
      <c r="C711" s="371" t="str">
        <f>IF(ISNA(VLOOKUP(B711,Pricelist!A:D,2,FALSE)),"",VLOOKUP(B711,Pricelist!A:D,2,FALSE))</f>
        <v/>
      </c>
      <c r="D711" s="159" t="str">
        <f>IF(ISNA(VLOOKUP(B711,Pricelist!A:D,2,FALSE)),"",VLOOKUP(B711,Pricelist!A:D,4,FALSE))</f>
        <v/>
      </c>
    </row>
    <row r="712" spans="2:4" ht="12" customHeight="1">
      <c r="B712" s="270"/>
      <c r="C712" s="371" t="str">
        <f>IF(ISNA(VLOOKUP(B712,Pricelist!A:D,2,FALSE)),"",VLOOKUP(B712,Pricelist!A:D,2,FALSE))</f>
        <v/>
      </c>
      <c r="D712" s="159" t="str">
        <f>IF(ISNA(VLOOKUP(B712,Pricelist!A:D,2,FALSE)),"",VLOOKUP(B712,Pricelist!A:D,4,FALSE))</f>
        <v/>
      </c>
    </row>
    <row r="713" spans="2:4" ht="12" customHeight="1">
      <c r="B713" s="270"/>
      <c r="C713" s="371" t="str">
        <f>IF(ISNA(VLOOKUP(B713,Pricelist!A:D,2,FALSE)),"",VLOOKUP(B713,Pricelist!A:D,2,FALSE))</f>
        <v/>
      </c>
      <c r="D713" s="159" t="str">
        <f>IF(ISNA(VLOOKUP(B713,Pricelist!A:D,2,FALSE)),"",VLOOKUP(B713,Pricelist!A:D,4,FALSE))</f>
        <v/>
      </c>
    </row>
    <row r="714" spans="2:4" ht="12" customHeight="1">
      <c r="B714" s="270"/>
      <c r="C714" s="371" t="str">
        <f>IF(ISNA(VLOOKUP(B714,Pricelist!A:D,2,FALSE)),"",VLOOKUP(B714,Pricelist!A:D,2,FALSE))</f>
        <v/>
      </c>
      <c r="D714" s="159" t="str">
        <f>IF(ISNA(VLOOKUP(B714,Pricelist!A:D,2,FALSE)),"",VLOOKUP(B714,Pricelist!A:D,4,FALSE))</f>
        <v/>
      </c>
    </row>
    <row r="715" spans="2:4" ht="12" customHeight="1">
      <c r="B715" s="270"/>
      <c r="C715" s="371" t="str">
        <f>IF(ISNA(VLOOKUP(B715,Pricelist!A:D,2,FALSE)),"",VLOOKUP(B715,Pricelist!A:D,2,FALSE))</f>
        <v/>
      </c>
      <c r="D715" s="159" t="str">
        <f>IF(ISNA(VLOOKUP(B715,Pricelist!A:D,2,FALSE)),"",VLOOKUP(B715,Pricelist!A:D,4,FALSE))</f>
        <v/>
      </c>
    </row>
    <row r="716" spans="2:4" ht="12" customHeight="1">
      <c r="B716" s="270"/>
      <c r="C716" s="371" t="str">
        <f>IF(ISNA(VLOOKUP(B716,Pricelist!A:D,2,FALSE)),"",VLOOKUP(B716,Pricelist!A:D,2,FALSE))</f>
        <v/>
      </c>
      <c r="D716" s="159" t="str">
        <f>IF(ISNA(VLOOKUP(B716,Pricelist!A:D,2,FALSE)),"",VLOOKUP(B716,Pricelist!A:D,4,FALSE))</f>
        <v/>
      </c>
    </row>
    <row r="717" spans="2:4" ht="12" customHeight="1">
      <c r="B717" s="270"/>
      <c r="C717" s="371" t="str">
        <f>IF(ISNA(VLOOKUP(B717,Pricelist!A:D,2,FALSE)),"",VLOOKUP(B717,Pricelist!A:D,2,FALSE))</f>
        <v/>
      </c>
      <c r="D717" s="159" t="str">
        <f>IF(ISNA(VLOOKUP(B717,Pricelist!A:D,2,FALSE)),"",VLOOKUP(B717,Pricelist!A:D,4,FALSE))</f>
        <v/>
      </c>
    </row>
    <row r="718" spans="2:4" ht="12" customHeight="1">
      <c r="B718" s="270"/>
      <c r="C718" s="371" t="str">
        <f>IF(ISNA(VLOOKUP(B718,Pricelist!A:D,2,FALSE)),"",VLOOKUP(B718,Pricelist!A:D,2,FALSE))</f>
        <v/>
      </c>
      <c r="D718" s="159" t="str">
        <f>IF(ISNA(VLOOKUP(B718,Pricelist!A:D,2,FALSE)),"",VLOOKUP(B718,Pricelist!A:D,4,FALSE))</f>
        <v/>
      </c>
    </row>
    <row r="719" spans="2:4" ht="12" customHeight="1">
      <c r="B719" s="270"/>
      <c r="C719" s="371" t="str">
        <f>IF(ISNA(VLOOKUP(B719,Pricelist!A:D,2,FALSE)),"",VLOOKUP(B719,Pricelist!A:D,2,FALSE))</f>
        <v/>
      </c>
      <c r="D719" s="159" t="str">
        <f>IF(ISNA(VLOOKUP(B719,Pricelist!A:D,2,FALSE)),"",VLOOKUP(B719,Pricelist!A:D,4,FALSE))</f>
        <v/>
      </c>
    </row>
    <row r="720" spans="2:4" ht="12" customHeight="1">
      <c r="B720" s="270"/>
      <c r="C720" s="371" t="str">
        <f>IF(ISNA(VLOOKUP(B720,Pricelist!A:D,2,FALSE)),"",VLOOKUP(B720,Pricelist!A:D,2,FALSE))</f>
        <v/>
      </c>
      <c r="D720" s="159" t="str">
        <f>IF(ISNA(VLOOKUP(B720,Pricelist!A:D,2,FALSE)),"",VLOOKUP(B720,Pricelist!A:D,4,FALSE))</f>
        <v/>
      </c>
    </row>
    <row r="721" spans="2:4" ht="12" customHeight="1">
      <c r="B721" s="270"/>
      <c r="C721" s="371" t="str">
        <f>IF(ISNA(VLOOKUP(B721,Pricelist!A:D,2,FALSE)),"",VLOOKUP(B721,Pricelist!A:D,2,FALSE))</f>
        <v/>
      </c>
      <c r="D721" s="159" t="str">
        <f>IF(ISNA(VLOOKUP(B721,Pricelist!A:D,2,FALSE)),"",VLOOKUP(B721,Pricelist!A:D,4,FALSE))</f>
        <v/>
      </c>
    </row>
    <row r="722" spans="2:4" ht="12" customHeight="1">
      <c r="B722" s="270"/>
      <c r="C722" s="371" t="str">
        <f>IF(ISNA(VLOOKUP(B722,Pricelist!A:D,2,FALSE)),"",VLOOKUP(B722,Pricelist!A:D,2,FALSE))</f>
        <v/>
      </c>
      <c r="D722" s="159" t="str">
        <f>IF(ISNA(VLOOKUP(B722,Pricelist!A:D,2,FALSE)),"",VLOOKUP(B722,Pricelist!A:D,4,FALSE))</f>
        <v/>
      </c>
    </row>
    <row r="723" spans="2:4" ht="12" customHeight="1">
      <c r="B723" s="270"/>
      <c r="C723" s="371" t="str">
        <f>IF(ISNA(VLOOKUP(B723,Pricelist!A:D,2,FALSE)),"",VLOOKUP(B723,Pricelist!A:D,2,FALSE))</f>
        <v/>
      </c>
      <c r="D723" s="159" t="str">
        <f>IF(ISNA(VLOOKUP(B723,Pricelist!A:D,2,FALSE)),"",VLOOKUP(B723,Pricelist!A:D,4,FALSE))</f>
        <v/>
      </c>
    </row>
    <row r="724" spans="2:4" ht="12" customHeight="1">
      <c r="B724" s="270"/>
      <c r="C724" s="371" t="str">
        <f>IF(ISNA(VLOOKUP(B724,Pricelist!A:D,2,FALSE)),"",VLOOKUP(B724,Pricelist!A:D,2,FALSE))</f>
        <v/>
      </c>
      <c r="D724" s="159" t="str">
        <f>IF(ISNA(VLOOKUP(B724,Pricelist!A:D,2,FALSE)),"",VLOOKUP(B724,Pricelist!A:D,4,FALSE))</f>
        <v/>
      </c>
    </row>
    <row r="725" spans="2:4" ht="12" customHeight="1">
      <c r="B725" s="270"/>
      <c r="C725" s="371" t="str">
        <f>IF(ISNA(VLOOKUP(B725,Pricelist!A:D,2,FALSE)),"",VLOOKUP(B725,Pricelist!A:D,2,FALSE))</f>
        <v/>
      </c>
      <c r="D725" s="159" t="str">
        <f>IF(ISNA(VLOOKUP(B725,Pricelist!A:D,2,FALSE)),"",VLOOKUP(B725,Pricelist!A:D,4,FALSE))</f>
        <v/>
      </c>
    </row>
    <row r="726" spans="2:4" ht="12" customHeight="1">
      <c r="B726" s="270"/>
      <c r="C726" s="371" t="str">
        <f>IF(ISNA(VLOOKUP(B726,Pricelist!A:D,2,FALSE)),"",VLOOKUP(B726,Pricelist!A:D,2,FALSE))</f>
        <v/>
      </c>
      <c r="D726" s="159" t="str">
        <f>IF(ISNA(VLOOKUP(B726,Pricelist!A:D,2,FALSE)),"",VLOOKUP(B726,Pricelist!A:D,4,FALSE))</f>
        <v/>
      </c>
    </row>
    <row r="727" spans="2:4" ht="12" customHeight="1">
      <c r="B727" s="270"/>
      <c r="C727" s="371" t="str">
        <f>IF(ISNA(VLOOKUP(B727,Pricelist!A:D,2,FALSE)),"",VLOOKUP(B727,Pricelist!A:D,2,FALSE))</f>
        <v/>
      </c>
      <c r="D727" s="159" t="str">
        <f>IF(ISNA(VLOOKUP(B727,Pricelist!A:D,2,FALSE)),"",VLOOKUP(B727,Pricelist!A:D,4,FALSE))</f>
        <v/>
      </c>
    </row>
    <row r="728" spans="2:4" ht="12" customHeight="1">
      <c r="B728" s="270"/>
      <c r="C728" s="371" t="str">
        <f>IF(ISNA(VLOOKUP(B728,Pricelist!A:D,2,FALSE)),"",VLOOKUP(B728,Pricelist!A:D,2,FALSE))</f>
        <v/>
      </c>
      <c r="D728" s="159" t="str">
        <f>IF(ISNA(VLOOKUP(B728,Pricelist!A:D,2,FALSE)),"",VLOOKUP(B728,Pricelist!A:D,4,FALSE))</f>
        <v/>
      </c>
    </row>
    <row r="729" spans="2:4" ht="12" customHeight="1">
      <c r="B729" s="270"/>
      <c r="C729" s="371" t="str">
        <f>IF(ISNA(VLOOKUP(B729,Pricelist!A:D,2,FALSE)),"",VLOOKUP(B729,Pricelist!A:D,2,FALSE))</f>
        <v/>
      </c>
      <c r="D729" s="159" t="str">
        <f>IF(ISNA(VLOOKUP(B729,Pricelist!A:D,2,FALSE)),"",VLOOKUP(B729,Pricelist!A:D,4,FALSE))</f>
        <v/>
      </c>
    </row>
  </sheetData>
  <pageMargins left="0.7" right="0.7" top="0.75" bottom="0.75" header="0.3" footer="0.3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Retired Kup pricelist</vt:lpstr>
      <vt:lpstr>Pricelist</vt:lpstr>
      <vt:lpstr>Payroll Transmittal Form (Acct)</vt:lpstr>
      <vt:lpstr>Floor Manager Sheet</vt:lpstr>
      <vt:lpstr>REDI FRAME PAYROLL</vt:lpstr>
      <vt:lpstr>WEEKLY TOTALS</vt:lpstr>
      <vt:lpstr>Kup 1</vt:lpstr>
      <vt:lpstr>Sup 1</vt:lpstr>
      <vt:lpstr>Sup 2</vt:lpstr>
      <vt:lpstr>Pricelist!Print_Area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Jacob Parris</cp:lastModifiedBy>
  <cp:lastPrinted>2017-12-22T19:37:19Z</cp:lastPrinted>
  <dcterms:created xsi:type="dcterms:W3CDTF">2012-02-20T16:18:02Z</dcterms:created>
  <dcterms:modified xsi:type="dcterms:W3CDTF">2023-04-17T17:12:13Z</dcterms:modified>
</cp:coreProperties>
</file>